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ham.lam\Desktop\supplier-app\data\"/>
    </mc:Choice>
  </mc:AlternateContent>
  <xr:revisionPtr revIDLastSave="0" documentId="13_ncr:1_{F80A86F0-A4AC-4785-8B62-7281DFC627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Sheet1!$A$1:$X$2682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682" i="1" l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721" i="1" l="1"/>
  <c r="J2653" i="1" l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3" i="1"/>
  <c r="J2602" i="1"/>
  <c r="J2601" i="1"/>
  <c r="J2600" i="1"/>
  <c r="J2599" i="1"/>
  <c r="J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596" i="1"/>
  <c r="W2597" i="1"/>
  <c r="W2598" i="1"/>
  <c r="W2657" i="1" l="1"/>
  <c r="W2656" i="1"/>
  <c r="W2655" i="1"/>
  <c r="W2654" i="1"/>
  <c r="W2591" i="1"/>
  <c r="W2592" i="1"/>
  <c r="W2593" i="1"/>
  <c r="W2594" i="1"/>
  <c r="W2595" i="1"/>
  <c r="W2588" i="1" l="1"/>
  <c r="W2589" i="1"/>
  <c r="W2590" i="1"/>
  <c r="W2587" i="1" l="1"/>
  <c r="A2587" i="1"/>
  <c r="W2586" i="1" l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 l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 l="1"/>
  <c r="J2542" i="1"/>
  <c r="W2541" i="1"/>
  <c r="J2541" i="1"/>
  <c r="W2540" i="1"/>
  <c r="J2540" i="1"/>
  <c r="W2539" i="1"/>
  <c r="J2539" i="1"/>
  <c r="W2538" i="1"/>
  <c r="J2538" i="1"/>
  <c r="W2537" i="1"/>
  <c r="J2537" i="1"/>
  <c r="W2536" i="1"/>
  <c r="J2536" i="1"/>
  <c r="W2535" i="1"/>
  <c r="J2535" i="1"/>
  <c r="W2534" i="1"/>
  <c r="J2534" i="1"/>
  <c r="W2533" i="1"/>
  <c r="J2533" i="1"/>
  <c r="W2532" i="1"/>
  <c r="J2532" i="1"/>
  <c r="W2531" i="1"/>
  <c r="J2531" i="1"/>
  <c r="W2530" i="1"/>
  <c r="J2530" i="1"/>
  <c r="W2529" i="1"/>
  <c r="J2529" i="1"/>
  <c r="W2528" i="1"/>
  <c r="J2528" i="1"/>
  <c r="W2527" i="1"/>
  <c r="J2527" i="1"/>
  <c r="W2526" i="1"/>
  <c r="W2525" i="1"/>
  <c r="W2524" i="1"/>
  <c r="W2523" i="1"/>
  <c r="W2522" i="1"/>
  <c r="W2521" i="1"/>
  <c r="W2520" i="1"/>
  <c r="W2519" i="1"/>
  <c r="W2518" i="1" l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 l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K2478" i="1"/>
  <c r="J2478" i="1"/>
  <c r="W2477" i="1"/>
  <c r="K2477" i="1"/>
  <c r="J2477" i="1"/>
  <c r="W2476" i="1"/>
  <c r="K2476" i="1"/>
  <c r="J2476" i="1"/>
  <c r="W2475" i="1"/>
  <c r="K2475" i="1"/>
  <c r="J2475" i="1"/>
  <c r="W2474" i="1"/>
  <c r="K2474" i="1"/>
  <c r="J2474" i="1"/>
  <c r="W2473" i="1"/>
  <c r="K2473" i="1"/>
  <c r="J2473" i="1"/>
  <c r="W2472" i="1"/>
  <c r="J2472" i="1"/>
  <c r="W2471" i="1"/>
  <c r="K2471" i="1"/>
  <c r="J2471" i="1"/>
  <c r="W2470" i="1"/>
  <c r="K2470" i="1"/>
  <c r="J2470" i="1"/>
  <c r="W2469" i="1"/>
  <c r="K2469" i="1"/>
  <c r="J2469" i="1"/>
  <c r="W2468" i="1"/>
  <c r="K2468" i="1"/>
  <c r="J2468" i="1"/>
  <c r="W2467" i="1"/>
  <c r="J2467" i="1"/>
  <c r="W2466" i="1"/>
  <c r="W2465" i="1"/>
  <c r="W2464" i="1" l="1"/>
  <c r="W2463" i="1"/>
  <c r="W2462" i="1"/>
  <c r="W2461" i="1"/>
  <c r="W2460" i="1"/>
  <c r="W2459" i="1"/>
  <c r="W2458" i="1"/>
  <c r="W2457" i="1"/>
  <c r="W2456" i="1"/>
  <c r="W2455" i="1"/>
  <c r="W2454" i="1" l="1"/>
  <c r="W2453" i="1"/>
  <c r="W2452" i="1"/>
  <c r="W2451" i="1"/>
  <c r="J2451" i="1"/>
  <c r="W2450" i="1" l="1"/>
  <c r="W2449" i="1"/>
  <c r="J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K2437" i="1"/>
  <c r="J2437" i="1"/>
  <c r="W2436" i="1"/>
  <c r="K2436" i="1"/>
  <c r="J2436" i="1"/>
  <c r="W2435" i="1"/>
  <c r="K2435" i="1"/>
  <c r="J2435" i="1"/>
  <c r="W2434" i="1"/>
  <c r="K2434" i="1"/>
  <c r="J2434" i="1"/>
  <c r="W2433" i="1"/>
  <c r="K2433" i="1"/>
  <c r="J2433" i="1"/>
  <c r="W2432" i="1"/>
  <c r="K2432" i="1"/>
  <c r="J2432" i="1"/>
  <c r="A2432" i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W2431" i="1" l="1"/>
  <c r="W2430" i="1"/>
  <c r="W2429" i="1"/>
  <c r="W2428" i="1"/>
  <c r="W2427" i="1"/>
  <c r="W2426" i="1"/>
  <c r="W2425" i="1"/>
  <c r="N2425" i="1"/>
  <c r="M2425" i="1"/>
  <c r="L2425" i="1"/>
  <c r="K2425" i="1"/>
  <c r="J2425" i="1"/>
  <c r="W2424" i="1"/>
  <c r="N2424" i="1"/>
  <c r="M2424" i="1"/>
  <c r="L2424" i="1"/>
  <c r="K2424" i="1"/>
  <c r="J2424" i="1"/>
  <c r="W2423" i="1"/>
  <c r="W2422" i="1"/>
  <c r="W2421" i="1"/>
  <c r="W2420" i="1"/>
  <c r="W2419" i="1"/>
  <c r="W2418" i="1"/>
  <c r="W2417" i="1"/>
  <c r="W2416" i="1"/>
  <c r="W2415" i="1"/>
  <c r="W2102" i="1"/>
  <c r="W2101" i="1"/>
  <c r="W2100" i="1"/>
  <c r="W2099" i="1"/>
  <c r="W2092" i="1"/>
  <c r="W2093" i="1"/>
  <c r="W2094" i="1"/>
  <c r="W2095" i="1"/>
  <c r="W1379" i="1" l="1"/>
  <c r="W1377" i="1"/>
  <c r="W1376" i="1"/>
  <c r="W1375" i="1"/>
  <c r="W2098" i="1" l="1"/>
  <c r="W2097" i="1" l="1"/>
  <c r="W2074" i="1" l="1"/>
  <c r="W2073" i="1"/>
  <c r="W2072" i="1"/>
  <c r="W2071" i="1"/>
  <c r="W1378" i="1"/>
  <c r="W1374" i="1"/>
  <c r="W1372" i="1"/>
  <c r="W1371" i="1" l="1"/>
  <c r="W1361" i="1"/>
  <c r="W1360" i="1"/>
  <c r="W1345" i="1"/>
  <c r="W1338" i="1"/>
  <c r="W2070" i="1"/>
  <c r="W2069" i="1"/>
  <c r="W2068" i="1"/>
  <c r="W2067" i="1"/>
  <c r="W2066" i="1"/>
  <c r="W1339" i="1"/>
  <c r="W1336" i="1"/>
  <c r="W1335" i="1"/>
  <c r="W1313" i="1"/>
  <c r="W1302" i="1"/>
  <c r="W1327" i="1" l="1"/>
  <c r="W2065" i="1" l="1"/>
  <c r="W2064" i="1"/>
  <c r="W2063" i="1"/>
  <c r="W2062" i="1"/>
  <c r="W2061" i="1"/>
  <c r="W2060" i="1"/>
  <c r="J2065" i="1"/>
  <c r="J2064" i="1"/>
  <c r="J2063" i="1"/>
  <c r="J2062" i="1"/>
  <c r="J2061" i="1"/>
  <c r="J2060" i="1"/>
  <c r="W1264" i="1"/>
  <c r="W1295" i="1"/>
  <c r="W1262" i="1"/>
  <c r="W1239" i="1"/>
  <c r="W1242" i="1"/>
  <c r="W1185" i="1"/>
  <c r="W1209" i="1"/>
  <c r="W1155" i="1"/>
  <c r="W1146" i="1"/>
  <c r="W1129" i="1"/>
  <c r="W1114" i="1"/>
  <c r="W1062" i="1"/>
  <c r="W1025" i="1"/>
  <c r="W1023" i="1"/>
  <c r="W1020" i="1"/>
  <c r="W1014" i="1"/>
  <c r="W990" i="1"/>
  <c r="W985" i="1"/>
  <c r="W981" i="1"/>
  <c r="W976" i="1"/>
  <c r="W975" i="1"/>
  <c r="W966" i="1"/>
  <c r="W953" i="1"/>
  <c r="W951" i="1"/>
  <c r="W919" i="1"/>
  <c r="W851" i="1"/>
  <c r="W2059" i="1" l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1504" i="1"/>
  <c r="W1324" i="1"/>
  <c r="W1321" i="1"/>
  <c r="W1315" i="1"/>
  <c r="W1304" i="1"/>
  <c r="W1296" i="1"/>
  <c r="W1292" i="1"/>
  <c r="W1290" i="1"/>
  <c r="W1288" i="1"/>
  <c r="W1280" i="1"/>
  <c r="W1268" i="1"/>
  <c r="W1267" i="1"/>
  <c r="W1261" i="1"/>
  <c r="W1259" i="1"/>
  <c r="W1258" i="1"/>
  <c r="W1201" i="1"/>
  <c r="W1200" i="1"/>
  <c r="W1198" i="1"/>
  <c r="W1190" i="1"/>
  <c r="W1120" i="1"/>
  <c r="W1108" i="1"/>
  <c r="W1041" i="1"/>
  <c r="W1035" i="1"/>
  <c r="W936" i="1"/>
  <c r="W883" i="1"/>
  <c r="W865" i="1"/>
  <c r="W862" i="1"/>
  <c r="W2096" i="1"/>
  <c r="W2042" i="1"/>
  <c r="J2042" i="1"/>
  <c r="W2041" i="1"/>
  <c r="J2041" i="1"/>
  <c r="W2040" i="1"/>
  <c r="J2040" i="1"/>
  <c r="W2039" i="1"/>
  <c r="J2039" i="1"/>
  <c r="W2038" i="1"/>
  <c r="J2038" i="1"/>
  <c r="W2037" i="1"/>
  <c r="J2037" i="1"/>
  <c r="W2036" i="1"/>
  <c r="J2036" i="1"/>
  <c r="W2035" i="1"/>
  <c r="J2035" i="1"/>
  <c r="W2034" i="1"/>
  <c r="J2034" i="1"/>
  <c r="W2033" i="1"/>
  <c r="J2033" i="1"/>
  <c r="W2032" i="1"/>
  <c r="J2032" i="1"/>
  <c r="W2031" i="1"/>
  <c r="J2031" i="1"/>
  <c r="W1503" i="1"/>
  <c r="W1502" i="1"/>
  <c r="W1501" i="1"/>
  <c r="W828" i="1"/>
  <c r="W808" i="1"/>
  <c r="W794" i="1"/>
  <c r="W782" i="1"/>
  <c r="W710" i="1"/>
  <c r="W707" i="1"/>
  <c r="W674" i="1"/>
  <c r="W673" i="1"/>
  <c r="W665" i="1"/>
  <c r="W627" i="1"/>
  <c r="W649" i="1"/>
  <c r="W600" i="1"/>
  <c r="W581" i="1"/>
  <c r="W550" i="1"/>
  <c r="W540" i="1"/>
  <c r="W534" i="1"/>
  <c r="W526" i="1"/>
  <c r="W519" i="1"/>
  <c r="W507" i="1"/>
  <c r="W495" i="1"/>
  <c r="W473" i="1"/>
  <c r="W462" i="1"/>
  <c r="W470" i="1"/>
  <c r="W459" i="1"/>
  <c r="W456" i="1"/>
  <c r="W417" i="1"/>
  <c r="W2081" i="1"/>
  <c r="W2082" i="1"/>
  <c r="W2083" i="1"/>
  <c r="W2084" i="1"/>
  <c r="W2085" i="1"/>
  <c r="W2086" i="1"/>
  <c r="W2087" i="1"/>
  <c r="W2088" i="1"/>
  <c r="W2089" i="1"/>
  <c r="W2090" i="1"/>
  <c r="W2091" i="1"/>
  <c r="W2075" i="1" l="1"/>
  <c r="W2076" i="1"/>
  <c r="W2077" i="1"/>
  <c r="W2078" i="1"/>
  <c r="W2079" i="1"/>
  <c r="W2080" i="1"/>
  <c r="W2030" i="1" l="1"/>
  <c r="W2029" i="1"/>
  <c r="W825" i="1"/>
  <c r="W768" i="1"/>
  <c r="W729" i="1"/>
  <c r="W722" i="1"/>
  <c r="W701" i="1"/>
  <c r="W683" i="1"/>
  <c r="W594" i="1"/>
  <c r="W408" i="1"/>
  <c r="W363" i="1"/>
  <c r="W2414" i="1"/>
  <c r="W2413" i="1"/>
  <c r="W2028" i="1"/>
  <c r="W2027" i="1"/>
  <c r="W2026" i="1"/>
  <c r="W769" i="1"/>
  <c r="W744" i="1"/>
  <c r="W726" i="1"/>
  <c r="W694" i="1"/>
  <c r="W595" i="1"/>
  <c r="W570" i="1"/>
  <c r="W407" i="1"/>
  <c r="W341" i="1"/>
  <c r="W184" i="1"/>
  <c r="W183" i="1"/>
  <c r="W3" i="1"/>
  <c r="W2" i="1"/>
  <c r="W2025" i="1"/>
  <c r="J2025" i="1"/>
  <c r="W2024" i="1"/>
  <c r="J2024" i="1"/>
  <c r="W414" i="1"/>
  <c r="W398" i="1"/>
  <c r="W393" i="1"/>
  <c r="W383" i="1"/>
  <c r="W376" i="1"/>
  <c r="W372" i="1"/>
  <c r="W353" i="1"/>
  <c r="W349" i="1"/>
  <c r="W344" i="1"/>
  <c r="W311" i="1"/>
  <c r="W2023" i="1" l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2412" i="1" l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126" i="1"/>
  <c r="W1500" i="1"/>
  <c r="W1499" i="1"/>
  <c r="W1498" i="1"/>
  <c r="W1497" i="1"/>
  <c r="W1496" i="1"/>
  <c r="W1495" i="1"/>
  <c r="W1989" i="1"/>
  <c r="W1988" i="1"/>
  <c r="W1987" i="1"/>
  <c r="W1986" i="1"/>
  <c r="W1985" i="1"/>
  <c r="W1984" i="1"/>
  <c r="W1983" i="1"/>
  <c r="W1982" i="1"/>
  <c r="W1981" i="1"/>
  <c r="W1596" i="1"/>
  <c r="W1573" i="1"/>
  <c r="W2103" i="1"/>
  <c r="W1494" i="1"/>
  <c r="W1275" i="1" l="1"/>
  <c r="W1348" i="1"/>
  <c r="W1212" i="1"/>
  <c r="W486" i="1"/>
  <c r="W1026" i="1"/>
  <c r="W1344" i="1"/>
  <c r="W684" i="1"/>
  <c r="W530" i="1"/>
  <c r="W509" i="1"/>
  <c r="W805" i="1"/>
  <c r="W1077" i="1"/>
  <c r="W1132" i="1"/>
  <c r="W455" i="1"/>
  <c r="W1125" i="1"/>
  <c r="W896" i="1"/>
  <c r="W566" i="1"/>
  <c r="W664" i="1"/>
  <c r="W632" i="1"/>
  <c r="W434" i="1"/>
  <c r="W1233" i="1"/>
  <c r="W484" i="1"/>
  <c r="W1260" i="1"/>
  <c r="W529" i="1"/>
  <c r="W832" i="1"/>
  <c r="W432" i="1"/>
  <c r="W771" i="1"/>
  <c r="W662" i="1"/>
  <c r="W586" i="1"/>
  <c r="W1013" i="1"/>
  <c r="W957" i="1"/>
  <c r="W875" i="1"/>
  <c r="W428" i="1"/>
  <c r="W696" i="1"/>
  <c r="W478" i="1"/>
  <c r="W755" i="1"/>
  <c r="W1168" i="1"/>
  <c r="W295" i="1"/>
  <c r="W1187" i="1"/>
  <c r="W5" i="1" l="1"/>
  <c r="W6" i="1"/>
  <c r="W390" i="1"/>
  <c r="W10" i="1"/>
  <c r="W399" i="1"/>
  <c r="W840" i="1"/>
  <c r="W400" i="1"/>
  <c r="W402" i="1"/>
  <c r="W403" i="1"/>
  <c r="W404" i="1"/>
  <c r="W405" i="1"/>
  <c r="W406" i="1"/>
  <c r="W409" i="1"/>
  <c r="W410" i="1"/>
  <c r="W411" i="1"/>
  <c r="W419" i="1"/>
  <c r="W17" i="1"/>
  <c r="W21" i="1"/>
  <c r="W882" i="1"/>
  <c r="W439" i="1"/>
  <c r="W441" i="1"/>
  <c r="W442" i="1"/>
  <c r="W188" i="1"/>
  <c r="W26" i="1"/>
  <c r="W445" i="1"/>
  <c r="W450" i="1"/>
  <c r="W452" i="1"/>
  <c r="W463" i="1"/>
  <c r="W464" i="1"/>
  <c r="W465" i="1"/>
  <c r="W323" i="1"/>
  <c r="W467" i="1"/>
  <c r="W475" i="1"/>
  <c r="W481" i="1"/>
  <c r="W498" i="1"/>
  <c r="W37" i="1"/>
  <c r="W1341" i="1"/>
  <c r="W516" i="1"/>
  <c r="W523" i="1"/>
  <c r="W543" i="1"/>
  <c r="W337" i="1"/>
  <c r="W547" i="1"/>
  <c r="W41" i="1"/>
  <c r="W42" i="1"/>
  <c r="W43" i="1"/>
  <c r="W44" i="1"/>
  <c r="W45" i="1"/>
  <c r="W46" i="1"/>
  <c r="W47" i="1"/>
  <c r="W48" i="1"/>
  <c r="W551" i="1"/>
  <c r="W552" i="1"/>
  <c r="W553" i="1"/>
  <c r="W554" i="1"/>
  <c r="W555" i="1"/>
  <c r="W556" i="1"/>
  <c r="W557" i="1"/>
  <c r="W558" i="1"/>
  <c r="W559" i="1"/>
  <c r="W561" i="1"/>
  <c r="W567" i="1"/>
  <c r="W568" i="1"/>
  <c r="W569" i="1"/>
  <c r="W578" i="1"/>
  <c r="W50" i="1"/>
  <c r="W582" i="1"/>
  <c r="W51" i="1"/>
  <c r="W585" i="1"/>
  <c r="W587" i="1"/>
  <c r="W590" i="1"/>
  <c r="W591" i="1"/>
  <c r="W592" i="1"/>
  <c r="W593" i="1"/>
  <c r="W597" i="1"/>
  <c r="W53" i="1"/>
  <c r="W55" i="1"/>
  <c r="W56" i="1"/>
  <c r="W57" i="1"/>
  <c r="W58" i="1"/>
  <c r="W609" i="1"/>
  <c r="W615" i="1"/>
  <c r="W616" i="1"/>
  <c r="W619" i="1"/>
  <c r="W59" i="1"/>
  <c r="W60" i="1"/>
  <c r="W61" i="1"/>
  <c r="W633" i="1"/>
  <c r="W1505" i="1"/>
  <c r="W634" i="1"/>
  <c r="W636" i="1"/>
  <c r="W62" i="1"/>
  <c r="W641" i="1"/>
  <c r="W644" i="1"/>
  <c r="W645" i="1"/>
  <c r="W647" i="1"/>
  <c r="W648" i="1"/>
  <c r="W65" i="1"/>
  <c r="W652" i="1"/>
  <c r="W653" i="1"/>
  <c r="W655" i="1"/>
  <c r="W656" i="1"/>
  <c r="W1506" i="1"/>
  <c r="W657" i="1"/>
  <c r="W658" i="1"/>
  <c r="W659" i="1"/>
  <c r="W68" i="1"/>
  <c r="W660" i="1"/>
  <c r="W661" i="1"/>
  <c r="W71" i="1"/>
  <c r="W72" i="1"/>
  <c r="W73" i="1"/>
  <c r="W74" i="1"/>
  <c r="W75" i="1"/>
  <c r="W78" i="1"/>
  <c r="W79" i="1"/>
  <c r="W80" i="1"/>
  <c r="W81" i="1"/>
  <c r="W668" i="1"/>
  <c r="W82" i="1"/>
  <c r="W83" i="1"/>
  <c r="W669" i="1"/>
  <c r="W670" i="1"/>
  <c r="W671" i="1"/>
  <c r="W675" i="1"/>
  <c r="W676" i="1"/>
  <c r="W92" i="1"/>
  <c r="W93" i="1"/>
  <c r="W681" i="1"/>
  <c r="W682" i="1"/>
  <c r="W1359" i="1"/>
  <c r="W1507" i="1"/>
  <c r="W685" i="1"/>
  <c r="W687" i="1"/>
  <c r="W1508" i="1"/>
  <c r="W688" i="1"/>
  <c r="W690" i="1"/>
  <c r="W672" i="1"/>
  <c r="W692" i="1"/>
  <c r="W693" i="1"/>
  <c r="W695" i="1"/>
  <c r="W100" i="1"/>
  <c r="W101" i="1"/>
  <c r="W102" i="1"/>
  <c r="W103" i="1"/>
  <c r="W104" i="1"/>
  <c r="W108" i="1"/>
  <c r="W109" i="1"/>
  <c r="W1509" i="1"/>
  <c r="W697" i="1"/>
  <c r="W698" i="1"/>
  <c r="W1301" i="1"/>
  <c r="W360" i="1"/>
  <c r="W361" i="1"/>
  <c r="W362" i="1"/>
  <c r="W700" i="1"/>
  <c r="W112" i="1"/>
  <c r="W711" i="1"/>
  <c r="W712" i="1"/>
  <c r="W713" i="1"/>
  <c r="W714" i="1"/>
  <c r="W767" i="1"/>
  <c r="W318" i="1"/>
  <c r="W319" i="1"/>
  <c r="W113" i="1"/>
  <c r="W720" i="1"/>
  <c r="W723" i="1"/>
  <c r="W724" i="1"/>
  <c r="W725" i="1"/>
  <c r="W727" i="1"/>
  <c r="W728" i="1"/>
  <c r="W730" i="1"/>
  <c r="W119" i="1"/>
  <c r="W120" i="1"/>
  <c r="W732" i="1"/>
  <c r="W1510" i="1"/>
  <c r="W733" i="1"/>
  <c r="W1511" i="1"/>
  <c r="W735" i="1"/>
  <c r="W741" i="1"/>
  <c r="W689" i="1"/>
  <c r="W742" i="1"/>
  <c r="W122" i="1"/>
  <c r="W745" i="1"/>
  <c r="W749" i="1"/>
  <c r="W734" i="1"/>
  <c r="W750" i="1"/>
  <c r="W126" i="1"/>
  <c r="W752" i="1"/>
  <c r="W756" i="1"/>
  <c r="W127" i="1"/>
  <c r="W128" i="1"/>
  <c r="W743" i="1"/>
  <c r="W764" i="1"/>
  <c r="W765" i="1"/>
  <c r="W130" i="1"/>
  <c r="W852" i="1"/>
  <c r="W766" i="1"/>
  <c r="W133" i="1"/>
  <c r="W70" i="1"/>
  <c r="W774" i="1"/>
  <c r="W775" i="1"/>
  <c r="W776" i="1"/>
  <c r="W777" i="1"/>
  <c r="W778" i="1"/>
  <c r="W779" i="1"/>
  <c r="W780" i="1"/>
  <c r="W781" i="1"/>
  <c r="W787" i="1"/>
  <c r="W788" i="1"/>
  <c r="W789" i="1"/>
  <c r="W790" i="1"/>
  <c r="W791" i="1"/>
  <c r="W139" i="1"/>
  <c r="W797" i="1"/>
  <c r="W803" i="1"/>
  <c r="W804" i="1"/>
  <c r="W142" i="1"/>
  <c r="W810" i="1"/>
  <c r="W811" i="1"/>
  <c r="W143" i="1"/>
  <c r="W147" i="1"/>
  <c r="W813" i="1"/>
  <c r="W814" i="1"/>
  <c r="W910" i="1"/>
  <c r="W148" i="1"/>
  <c r="W153" i="1"/>
  <c r="W819" i="1"/>
  <c r="W1028" i="1"/>
  <c r="W820" i="1"/>
  <c r="W822" i="1"/>
  <c r="W823" i="1"/>
  <c r="W824" i="1"/>
  <c r="W1170" i="1"/>
  <c r="W826" i="1"/>
  <c r="W156" i="1"/>
  <c r="W829" i="1"/>
  <c r="W830" i="1"/>
  <c r="W1217" i="1"/>
  <c r="W837" i="1"/>
  <c r="W838" i="1"/>
  <c r="W839" i="1"/>
  <c r="W1362" i="1"/>
  <c r="W157" i="1"/>
  <c r="W158" i="1"/>
  <c r="W842" i="1"/>
  <c r="W160" i="1"/>
  <c r="W847" i="1"/>
  <c r="W1389" i="1"/>
  <c r="W340" i="1"/>
  <c r="W856" i="1"/>
  <c r="W1512" i="1"/>
  <c r="W857" i="1"/>
  <c r="W165" i="1"/>
  <c r="W166" i="1"/>
  <c r="W860" i="1"/>
  <c r="W861" i="1"/>
  <c r="W863" i="1"/>
  <c r="W864" i="1"/>
  <c r="W871" i="1"/>
  <c r="W872" i="1"/>
  <c r="W878" i="1"/>
  <c r="W879" i="1"/>
  <c r="W880" i="1"/>
  <c r="W881" i="1"/>
  <c r="W1513" i="1"/>
  <c r="W884" i="1"/>
  <c r="W352" i="1"/>
  <c r="W887" i="1"/>
  <c r="W889" i="1"/>
  <c r="W24" i="1"/>
  <c r="W890" i="1"/>
  <c r="W189" i="1"/>
  <c r="W893" i="1"/>
  <c r="W894" i="1"/>
  <c r="W895" i="1"/>
  <c r="W654" i="1"/>
  <c r="W190" i="1"/>
  <c r="W191" i="1"/>
  <c r="W821" i="1"/>
  <c r="W897" i="1"/>
  <c r="W901" i="1"/>
  <c r="W902" i="1"/>
  <c r="W904" i="1"/>
  <c r="W905" i="1"/>
  <c r="W906" i="1"/>
  <c r="W907" i="1"/>
  <c r="W198" i="1"/>
  <c r="W908" i="1"/>
  <c r="W159" i="1"/>
  <c r="W909" i="1"/>
  <c r="W911" i="1"/>
  <c r="W912" i="1"/>
  <c r="W859" i="1"/>
  <c r="W913" i="1"/>
  <c r="W914" i="1"/>
  <c r="W201" i="1"/>
  <c r="W922" i="1"/>
  <c r="W925" i="1"/>
  <c r="W915" i="1"/>
  <c r="W928" i="1"/>
  <c r="W204" i="1"/>
  <c r="W934" i="1"/>
  <c r="W206" i="1"/>
  <c r="W207" i="1"/>
  <c r="W208" i="1"/>
  <c r="W209" i="1"/>
  <c r="W937" i="1"/>
  <c r="W938" i="1"/>
  <c r="W939" i="1"/>
  <c r="W942" i="1"/>
  <c r="W943" i="1"/>
  <c r="W947" i="1"/>
  <c r="W952" i="1"/>
  <c r="W954" i="1"/>
  <c r="W955" i="1"/>
  <c r="W958" i="1"/>
  <c r="W959" i="1"/>
  <c r="W218" i="1"/>
  <c r="W219" i="1"/>
  <c r="W962" i="1"/>
  <c r="W1040" i="1"/>
  <c r="W963" i="1"/>
  <c r="W977" i="1"/>
  <c r="W986" i="1"/>
  <c r="W987" i="1"/>
  <c r="W988" i="1"/>
  <c r="W989" i="1"/>
  <c r="W993" i="1"/>
  <c r="W994" i="1"/>
  <c r="W995" i="1"/>
  <c r="W996" i="1"/>
  <c r="W997" i="1"/>
  <c r="W999" i="1"/>
  <c r="W1000" i="1"/>
  <c r="W1228" i="1"/>
  <c r="W228" i="1"/>
  <c r="W1004" i="1"/>
  <c r="W1005" i="1"/>
  <c r="W1007" i="1"/>
  <c r="W1008" i="1"/>
  <c r="W1009" i="1"/>
  <c r="W1252" i="1"/>
  <c r="W356" i="1"/>
  <c r="W230" i="1"/>
  <c r="W1015" i="1"/>
  <c r="W1016" i="1"/>
  <c r="W1265" i="1"/>
  <c r="W1027" i="1"/>
  <c r="W1032" i="1"/>
  <c r="W1033" i="1"/>
  <c r="W1034" i="1"/>
  <c r="W1272" i="1"/>
  <c r="W1037" i="1"/>
  <c r="W235" i="1"/>
  <c r="W1326" i="1"/>
  <c r="W1039" i="1"/>
  <c r="W1042" i="1"/>
  <c r="W49" i="1"/>
  <c r="W237" i="1"/>
  <c r="W1045" i="1"/>
  <c r="W238" i="1"/>
  <c r="W1050" i="1"/>
  <c r="W1051" i="1"/>
  <c r="W1052" i="1"/>
  <c r="W1053" i="1"/>
  <c r="W1054" i="1"/>
  <c r="W239" i="1"/>
  <c r="W1057" i="1"/>
  <c r="W1058" i="1"/>
  <c r="W1337" i="1"/>
  <c r="W241" i="1"/>
  <c r="W1064" i="1"/>
  <c r="W1514" i="1"/>
  <c r="W1065" i="1"/>
  <c r="W1066" i="1"/>
  <c r="W1067" i="1"/>
  <c r="W1068" i="1"/>
  <c r="W1071" i="1"/>
  <c r="W1072" i="1"/>
  <c r="W1515" i="1"/>
  <c r="W1074" i="1"/>
  <c r="W1075" i="1"/>
  <c r="W1080" i="1"/>
  <c r="W1081" i="1"/>
  <c r="W1516" i="1"/>
  <c r="W1083" i="1"/>
  <c r="W1084" i="1"/>
  <c r="W252" i="1"/>
  <c r="W1087" i="1"/>
  <c r="W1092" i="1"/>
  <c r="W1093" i="1"/>
  <c r="W1094" i="1"/>
  <c r="W378" i="1"/>
  <c r="W1103" i="1"/>
  <c r="W1104" i="1"/>
  <c r="W1106" i="1"/>
  <c r="W1107" i="1"/>
  <c r="W1118" i="1"/>
  <c r="W1119" i="1"/>
  <c r="W1121" i="1"/>
  <c r="W1122" i="1"/>
  <c r="W1123" i="1"/>
  <c r="W1517" i="1"/>
  <c r="W258" i="1"/>
  <c r="W380" i="1"/>
  <c r="W262" i="1"/>
  <c r="W263" i="1"/>
  <c r="W1133" i="1"/>
  <c r="W1134" i="1"/>
  <c r="W1140" i="1"/>
  <c r="W1142" i="1"/>
  <c r="W1518" i="1"/>
  <c r="W1143" i="1"/>
  <c r="W1150" i="1"/>
  <c r="W264" i="1"/>
  <c r="W266" i="1"/>
  <c r="W267" i="1"/>
  <c r="W268" i="1"/>
  <c r="W270" i="1"/>
  <c r="W274" i="1"/>
  <c r="W275" i="1"/>
  <c r="W1169" i="1"/>
  <c r="W1519" i="1"/>
  <c r="W277" i="1"/>
  <c r="W278" i="1"/>
  <c r="W1173" i="1"/>
  <c r="W280" i="1"/>
  <c r="W1175" i="1"/>
  <c r="W1176" i="1"/>
  <c r="W1520" i="1"/>
  <c r="W1177" i="1"/>
  <c r="W1178" i="1"/>
  <c r="W1180" i="1"/>
  <c r="W1521" i="1"/>
  <c r="W1183" i="1"/>
  <c r="W386" i="1"/>
  <c r="W1188" i="1"/>
  <c r="W1191" i="1"/>
  <c r="W1192" i="1"/>
  <c r="W1193" i="1"/>
  <c r="W1194" i="1"/>
  <c r="W1522" i="1"/>
  <c r="W1196" i="1"/>
  <c r="W288" i="1"/>
  <c r="W289" i="1"/>
  <c r="W290" i="1"/>
  <c r="W291" i="1"/>
  <c r="W1197" i="1"/>
  <c r="W292" i="1"/>
  <c r="W293" i="1"/>
  <c r="W1205" i="1"/>
  <c r="W387" i="1"/>
  <c r="W388" i="1"/>
  <c r="W686" i="1"/>
  <c r="W1207" i="1"/>
  <c r="W296" i="1"/>
  <c r="W827" i="1"/>
  <c r="W297" i="1"/>
  <c r="W1210" i="1"/>
  <c r="W1211" i="1"/>
  <c r="W1213" i="1"/>
  <c r="W1214" i="1"/>
  <c r="W929" i="1"/>
  <c r="W1216" i="1"/>
  <c r="W1218" i="1"/>
  <c r="W299" i="1"/>
  <c r="W1220" i="1"/>
  <c r="W1221" i="1"/>
  <c r="W1195" i="1"/>
  <c r="W298" i="1"/>
  <c r="W1223" i="1"/>
  <c r="W304" i="1"/>
  <c r="W305" i="1"/>
  <c r="W1225" i="1"/>
  <c r="W1226" i="1"/>
  <c r="W300" i="1"/>
  <c r="W1229" i="1"/>
  <c r="W1230" i="1"/>
  <c r="W1231" i="1"/>
  <c r="W1232" i="1"/>
  <c r="W1234" i="1"/>
  <c r="W1276" i="1"/>
  <c r="W1236" i="1"/>
  <c r="W1238" i="1"/>
  <c r="W1240" i="1"/>
  <c r="W345" i="1"/>
  <c r="W1243" i="1"/>
  <c r="W1244" i="1"/>
  <c r="W1245" i="1"/>
  <c r="W1246" i="1"/>
  <c r="W312" i="1"/>
  <c r="W313" i="1"/>
  <c r="W368" i="1"/>
  <c r="W1247" i="1"/>
  <c r="W314" i="1"/>
  <c r="W1367" i="1"/>
  <c r="W1250" i="1"/>
  <c r="W1251" i="1"/>
  <c r="W315" i="1"/>
  <c r="W1390" i="1"/>
  <c r="W1255" i="1"/>
  <c r="W1256" i="1"/>
  <c r="W1257" i="1"/>
  <c r="W317" i="1"/>
  <c r="W357" i="1"/>
  <c r="W1266" i="1"/>
  <c r="W1391" i="1"/>
  <c r="W320" i="1"/>
  <c r="W1523" i="1"/>
  <c r="W1270" i="1"/>
  <c r="W1271" i="1"/>
  <c r="W1524" i="1"/>
  <c r="W1273" i="1"/>
  <c r="W1274" i="1"/>
  <c r="W321" i="1"/>
  <c r="W1525" i="1"/>
  <c r="W1277" i="1"/>
  <c r="W1526" i="1"/>
  <c r="W1278" i="1"/>
  <c r="W1281" i="1"/>
  <c r="W1282" i="1"/>
  <c r="W1283" i="1"/>
  <c r="W1284" i="1"/>
  <c r="W1285" i="1"/>
  <c r="W1286" i="1"/>
  <c r="W1287" i="1"/>
  <c r="W324" i="1"/>
  <c r="W1289" i="1"/>
  <c r="W1291" i="1"/>
  <c r="W325" i="1"/>
  <c r="W1294" i="1"/>
  <c r="W1300" i="1"/>
  <c r="W326" i="1"/>
  <c r="W1303" i="1"/>
  <c r="W327" i="1"/>
  <c r="W1306" i="1"/>
  <c r="W1314" i="1"/>
  <c r="W1316" i="1"/>
  <c r="W1317" i="1"/>
  <c r="W1318" i="1"/>
  <c r="W1319" i="1"/>
  <c r="W1320" i="1"/>
  <c r="W328" i="1"/>
  <c r="W1323" i="1"/>
  <c r="W331" i="1"/>
  <c r="W1325" i="1"/>
  <c r="W1527" i="1"/>
  <c r="W1330" i="1"/>
  <c r="W1334" i="1"/>
  <c r="W333" i="1"/>
  <c r="W334" i="1"/>
  <c r="W635" i="1"/>
  <c r="W1340" i="1"/>
  <c r="W699" i="1"/>
  <c r="W1342" i="1"/>
  <c r="W1343" i="1"/>
  <c r="W731" i="1"/>
  <c r="W1347" i="1"/>
  <c r="W1349" i="1"/>
  <c r="W1350" i="1"/>
  <c r="W336" i="1"/>
  <c r="W384" i="1"/>
  <c r="W1351" i="1"/>
  <c r="W1352" i="1"/>
  <c r="W1353" i="1"/>
  <c r="W1354" i="1"/>
  <c r="W1355" i="1"/>
  <c r="W1356" i="1"/>
  <c r="W1357" i="1"/>
  <c r="W1358" i="1"/>
  <c r="W888" i="1"/>
  <c r="W961" i="1"/>
  <c r="W1363" i="1"/>
  <c r="W1364" i="1"/>
  <c r="W1063" i="1"/>
  <c r="W1366" i="1"/>
  <c r="W1141" i="1"/>
  <c r="W1368" i="1"/>
  <c r="W1254" i="1"/>
  <c r="W1269" i="1"/>
  <c r="W1370" i="1"/>
  <c r="W1380" i="1"/>
  <c r="W1382" i="1"/>
  <c r="W1392" i="1"/>
  <c r="W1383" i="1"/>
  <c r="W1393" i="1"/>
  <c r="W1384" i="1"/>
  <c r="W1386" i="1"/>
  <c r="W1387" i="1"/>
  <c r="W1388" i="1"/>
  <c r="W1528" i="1"/>
  <c r="W1398" i="1"/>
  <c r="W1399" i="1"/>
  <c r="W1400" i="1"/>
  <c r="W1401" i="1"/>
  <c r="W1529" i="1"/>
  <c r="W1402" i="1"/>
  <c r="W1403" i="1"/>
  <c r="W1404" i="1"/>
  <c r="W1405" i="1"/>
  <c r="W1530" i="1"/>
  <c r="W1406" i="1"/>
  <c r="W1407" i="1"/>
  <c r="W1408" i="1"/>
  <c r="W1409" i="1"/>
  <c r="W1531" i="1"/>
  <c r="W1410" i="1"/>
  <c r="W1411" i="1"/>
  <c r="W1412" i="1"/>
  <c r="W1413" i="1"/>
  <c r="W1532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394" i="1"/>
  <c r="W1395" i="1"/>
  <c r="W1396" i="1"/>
  <c r="W1397" i="1"/>
  <c r="W1483" i="1"/>
  <c r="W1484" i="1"/>
  <c r="W1485" i="1"/>
  <c r="W1486" i="1"/>
  <c r="W1487" i="1"/>
  <c r="W1488" i="1"/>
  <c r="W1489" i="1"/>
  <c r="W1490" i="1"/>
  <c r="W1491" i="1"/>
  <c r="W1492" i="1"/>
  <c r="W1493" i="1"/>
  <c r="W1533" i="1"/>
  <c r="W1593" i="1"/>
  <c r="W1594" i="1"/>
  <c r="W1595" i="1"/>
  <c r="W1534" i="1"/>
  <c r="W1597" i="1"/>
  <c r="W1598" i="1"/>
  <c r="W1599" i="1"/>
  <c r="W401" i="1"/>
  <c r="W1600" i="1"/>
  <c r="W1601" i="1"/>
  <c r="W1602" i="1"/>
  <c r="W40" i="1"/>
  <c r="W1603" i="1"/>
  <c r="W1604" i="1"/>
  <c r="W1605" i="1"/>
  <c r="W751" i="1"/>
  <c r="W1606" i="1"/>
  <c r="W1607" i="1"/>
  <c r="W1608" i="1"/>
  <c r="W129" i="1"/>
  <c r="W1609" i="1"/>
  <c r="W1610" i="1"/>
  <c r="W1611" i="1"/>
  <c r="W1001" i="1"/>
  <c r="W1612" i="1"/>
  <c r="W1613" i="1"/>
  <c r="W1614" i="1"/>
  <c r="W1036" i="1"/>
  <c r="W1615" i="1"/>
  <c r="W1616" i="1"/>
  <c r="W1617" i="1"/>
  <c r="W1073" i="1"/>
  <c r="W1618" i="1"/>
  <c r="W1619" i="1"/>
  <c r="W1620" i="1"/>
  <c r="W1082" i="1"/>
  <c r="W1621" i="1"/>
  <c r="W1622" i="1"/>
  <c r="W1623" i="1"/>
  <c r="W1182" i="1"/>
  <c r="W1624" i="1"/>
  <c r="W1625" i="1"/>
  <c r="W1626" i="1"/>
  <c r="W1369" i="1"/>
  <c r="W1627" i="1"/>
  <c r="W1628" i="1"/>
  <c r="W1629" i="1"/>
  <c r="W1373" i="1"/>
  <c r="W1630" i="1"/>
  <c r="W1631" i="1"/>
  <c r="W1632" i="1"/>
  <c r="W1381" i="1"/>
  <c r="W1633" i="1"/>
  <c r="W1634" i="1"/>
  <c r="W1635" i="1"/>
  <c r="W1385" i="1"/>
  <c r="W1636" i="1"/>
  <c r="W1637" i="1"/>
  <c r="W1638" i="1"/>
  <c r="W548" i="1"/>
  <c r="W1639" i="1"/>
  <c r="W1640" i="1"/>
  <c r="W1641" i="1"/>
  <c r="W818" i="1"/>
  <c r="W1642" i="1"/>
  <c r="W1643" i="1"/>
  <c r="W1644" i="1"/>
  <c r="W1237" i="1"/>
  <c r="W1645" i="1"/>
  <c r="W1646" i="1"/>
  <c r="W1647" i="1"/>
  <c r="W1279" i="1"/>
  <c r="W1648" i="1"/>
  <c r="W1649" i="1"/>
  <c r="W1650" i="1"/>
  <c r="W1346" i="1"/>
  <c r="W1651" i="1"/>
  <c r="W1652" i="1"/>
  <c r="W1653" i="1"/>
  <c r="W1365" i="1"/>
  <c r="W1654" i="1"/>
  <c r="W1655" i="1"/>
  <c r="W1656" i="1"/>
  <c r="W715" i="1"/>
  <c r="W1657" i="1"/>
  <c r="W1658" i="1"/>
  <c r="W1659" i="1"/>
  <c r="W892" i="1"/>
  <c r="W1660" i="1"/>
  <c r="W1661" i="1"/>
  <c r="W1662" i="1"/>
  <c r="W192" i="1"/>
  <c r="W1663" i="1"/>
  <c r="W1664" i="1"/>
  <c r="W1665" i="1"/>
  <c r="W1010" i="1"/>
  <c r="W1666" i="1"/>
  <c r="W1667" i="1"/>
  <c r="W1668" i="1"/>
  <c r="W1059" i="1"/>
  <c r="W1669" i="1"/>
  <c r="W1670" i="1"/>
  <c r="W1671" i="1"/>
  <c r="W1124" i="1"/>
  <c r="W1672" i="1"/>
  <c r="W1673" i="1"/>
  <c r="W1674" i="1"/>
  <c r="W1174" i="1"/>
  <c r="W1675" i="1"/>
  <c r="W1676" i="1"/>
  <c r="W1677" i="1"/>
  <c r="W389" i="1"/>
  <c r="W1678" i="1"/>
  <c r="W1679" i="1"/>
  <c r="W1680" i="1"/>
  <c r="W1222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7" i="1"/>
  <c r="W2128" i="1"/>
  <c r="W2129" i="1"/>
  <c r="W1971" i="1"/>
  <c r="W1972" i="1"/>
  <c r="W1973" i="1"/>
  <c r="W1974" i="1"/>
  <c r="W1975" i="1"/>
  <c r="W1976" i="1"/>
  <c r="W1977" i="1"/>
  <c r="W1978" i="1"/>
  <c r="W1979" i="1"/>
  <c r="W1980" i="1"/>
  <c r="W2385" i="1"/>
  <c r="W1206" i="1"/>
  <c r="W1006" i="1"/>
  <c r="W646" i="1"/>
  <c r="W1227" i="1"/>
  <c r="W1017" i="1"/>
  <c r="W960" i="1"/>
  <c r="W1179" i="1"/>
  <c r="W105" i="1"/>
  <c r="W560" i="1"/>
  <c r="W903" i="1"/>
  <c r="W815" i="1"/>
  <c r="W998" i="1"/>
  <c r="W1235" i="1"/>
  <c r="W391" i="1"/>
  <c r="W392" i="1"/>
  <c r="W394" i="1"/>
  <c r="W395" i="1"/>
  <c r="W396" i="1"/>
  <c r="W397" i="1"/>
  <c r="W342" i="1"/>
  <c r="W343" i="1"/>
  <c r="W7" i="1"/>
  <c r="W8" i="1"/>
  <c r="W412" i="1"/>
  <c r="W413" i="1"/>
  <c r="W415" i="1"/>
  <c r="W416" i="1"/>
  <c r="W11" i="1"/>
  <c r="W12" i="1"/>
  <c r="W13" i="1"/>
  <c r="W418" i="1"/>
  <c r="W14" i="1"/>
  <c r="W420" i="1"/>
  <c r="W421" i="1"/>
  <c r="W422" i="1"/>
  <c r="W423" i="1"/>
  <c r="W424" i="1"/>
  <c r="W425" i="1"/>
  <c r="W15" i="1"/>
  <c r="W426" i="1"/>
  <c r="W427" i="1"/>
  <c r="W16" i="1"/>
  <c r="W18" i="1"/>
  <c r="W19" i="1"/>
  <c r="W20" i="1"/>
  <c r="W429" i="1"/>
  <c r="W430" i="1"/>
  <c r="W431" i="1"/>
  <c r="W22" i="1"/>
  <c r="W23" i="1"/>
  <c r="W433" i="1"/>
  <c r="W435" i="1"/>
  <c r="W436" i="1"/>
  <c r="W437" i="1"/>
  <c r="W438" i="1"/>
  <c r="W25" i="1"/>
  <c r="W440" i="1"/>
  <c r="W185" i="1"/>
  <c r="W186" i="1"/>
  <c r="W187" i="1"/>
  <c r="W443" i="1"/>
  <c r="W444" i="1"/>
  <c r="W446" i="1"/>
  <c r="W447" i="1"/>
  <c r="W448" i="1"/>
  <c r="W449" i="1"/>
  <c r="W451" i="1"/>
  <c r="W453" i="1"/>
  <c r="W454" i="1"/>
  <c r="W27" i="1"/>
  <c r="W457" i="1"/>
  <c r="W458" i="1"/>
  <c r="W28" i="1"/>
  <c r="W460" i="1"/>
  <c r="W461" i="1"/>
  <c r="W322" i="1"/>
  <c r="W29" i="1"/>
  <c r="W466" i="1"/>
  <c r="W468" i="1"/>
  <c r="W469" i="1"/>
  <c r="W471" i="1"/>
  <c r="W472" i="1"/>
  <c r="W30" i="1"/>
  <c r="W31" i="1"/>
  <c r="W474" i="1"/>
  <c r="W476" i="1"/>
  <c r="W477" i="1"/>
  <c r="W479" i="1"/>
  <c r="W480" i="1"/>
  <c r="W482" i="1"/>
  <c r="W485" i="1"/>
  <c r="W487" i="1"/>
  <c r="W488" i="1"/>
  <c r="W489" i="1"/>
  <c r="W490" i="1"/>
  <c r="W491" i="1"/>
  <c r="W1297" i="1"/>
  <c r="W1298" i="1"/>
  <c r="W1299" i="1"/>
  <c r="W492" i="1"/>
  <c r="W493" i="1"/>
  <c r="W494" i="1"/>
  <c r="W32" i="1"/>
  <c r="W33" i="1"/>
  <c r="W496" i="1"/>
  <c r="W497" i="1"/>
  <c r="W34" i="1"/>
  <c r="W35" i="1"/>
  <c r="W36" i="1"/>
  <c r="W499" i="1"/>
  <c r="W500" i="1"/>
  <c r="W501" i="1"/>
  <c r="W502" i="1"/>
  <c r="W503" i="1"/>
  <c r="W504" i="1"/>
  <c r="W505" i="1"/>
  <c r="W506" i="1"/>
  <c r="W508" i="1"/>
  <c r="W510" i="1"/>
  <c r="W511" i="1"/>
  <c r="W512" i="1"/>
  <c r="W38" i="1"/>
  <c r="W39" i="1"/>
  <c r="W513" i="1"/>
  <c r="W514" i="1"/>
  <c r="W515" i="1"/>
  <c r="W517" i="1"/>
  <c r="W518" i="1"/>
  <c r="W520" i="1"/>
  <c r="W521" i="1"/>
  <c r="W522" i="1"/>
  <c r="W524" i="1"/>
  <c r="W525" i="1"/>
  <c r="W527" i="1"/>
  <c r="W528" i="1"/>
  <c r="W347" i="1"/>
  <c r="W348" i="1"/>
  <c r="W531" i="1"/>
  <c r="W532" i="1"/>
  <c r="W533" i="1"/>
  <c r="W535" i="1"/>
  <c r="W536" i="1"/>
  <c r="W537" i="1"/>
  <c r="W538" i="1"/>
  <c r="W539" i="1"/>
  <c r="W541" i="1"/>
  <c r="W542" i="1"/>
  <c r="W544" i="1"/>
  <c r="W545" i="1"/>
  <c r="W546" i="1"/>
  <c r="W549" i="1"/>
  <c r="W562" i="1"/>
  <c r="W563" i="1"/>
  <c r="W564" i="1"/>
  <c r="W565" i="1"/>
  <c r="W571" i="1"/>
  <c r="W572" i="1"/>
  <c r="W573" i="1"/>
  <c r="W574" i="1"/>
  <c r="W575" i="1"/>
  <c r="W576" i="1"/>
  <c r="W577" i="1"/>
  <c r="W579" i="1"/>
  <c r="W580" i="1"/>
  <c r="W583" i="1"/>
  <c r="W584" i="1"/>
  <c r="W588" i="1"/>
  <c r="W589" i="1"/>
  <c r="W596" i="1"/>
  <c r="W52" i="1"/>
  <c r="W598" i="1"/>
  <c r="W599" i="1"/>
  <c r="W369" i="1"/>
  <c r="W370" i="1"/>
  <c r="W371" i="1"/>
  <c r="W54" i="1"/>
  <c r="W601" i="1"/>
  <c r="W602" i="1"/>
  <c r="W603" i="1"/>
  <c r="W604" i="1"/>
  <c r="W605" i="1"/>
  <c r="W606" i="1"/>
  <c r="W607" i="1"/>
  <c r="W608" i="1"/>
  <c r="W610" i="1"/>
  <c r="W611" i="1"/>
  <c r="W612" i="1"/>
  <c r="W613" i="1"/>
  <c r="W614" i="1"/>
  <c r="W617" i="1"/>
  <c r="W618" i="1"/>
  <c r="W620" i="1"/>
  <c r="W621" i="1"/>
  <c r="W622" i="1"/>
  <c r="W623" i="1"/>
  <c r="W624" i="1"/>
  <c r="W625" i="1"/>
  <c r="W626" i="1"/>
  <c r="W628" i="1"/>
  <c r="W629" i="1"/>
  <c r="W630" i="1"/>
  <c r="W631" i="1"/>
  <c r="W637" i="1"/>
  <c r="W638" i="1"/>
  <c r="W639" i="1"/>
  <c r="W640" i="1"/>
  <c r="W63" i="1"/>
  <c r="W642" i="1"/>
  <c r="W643" i="1"/>
  <c r="W64" i="1"/>
  <c r="W650" i="1"/>
  <c r="W651" i="1"/>
  <c r="W66" i="1"/>
  <c r="W67" i="1"/>
  <c r="W1331" i="1"/>
  <c r="W1332" i="1"/>
  <c r="W663" i="1"/>
  <c r="W76" i="1"/>
  <c r="W77" i="1"/>
  <c r="W666" i="1"/>
  <c r="W667" i="1"/>
  <c r="W84" i="1"/>
  <c r="W85" i="1"/>
  <c r="W86" i="1"/>
  <c r="W87" i="1"/>
  <c r="W88" i="1"/>
  <c r="W89" i="1"/>
  <c r="W90" i="1"/>
  <c r="W91" i="1"/>
  <c r="W677" i="1"/>
  <c r="W678" i="1"/>
  <c r="W679" i="1"/>
  <c r="W680" i="1"/>
  <c r="W94" i="1"/>
  <c r="W95" i="1"/>
  <c r="W96" i="1"/>
  <c r="W97" i="1"/>
  <c r="W98" i="1"/>
  <c r="W99" i="1"/>
  <c r="W691" i="1"/>
  <c r="W106" i="1"/>
  <c r="W107" i="1"/>
  <c r="W110" i="1"/>
  <c r="W9" i="1"/>
  <c r="W702" i="1"/>
  <c r="W703" i="1"/>
  <c r="W704" i="1"/>
  <c r="W705" i="1"/>
  <c r="W706" i="1"/>
  <c r="W708" i="1"/>
  <c r="W709" i="1"/>
  <c r="W111" i="1"/>
  <c r="W716" i="1"/>
  <c r="W717" i="1"/>
  <c r="W718" i="1"/>
  <c r="W719" i="1"/>
  <c r="W114" i="1"/>
  <c r="W115" i="1"/>
  <c r="W116" i="1"/>
  <c r="W117" i="1"/>
  <c r="W118" i="1"/>
  <c r="W736" i="1"/>
  <c r="W737" i="1"/>
  <c r="W738" i="1"/>
  <c r="W739" i="1"/>
  <c r="W740" i="1"/>
  <c r="W121" i="1"/>
  <c r="W123" i="1"/>
  <c r="W124" i="1"/>
  <c r="W125" i="1"/>
  <c r="W746" i="1"/>
  <c r="W747" i="1"/>
  <c r="W748" i="1"/>
  <c r="W753" i="1"/>
  <c r="W754" i="1"/>
  <c r="W377" i="1"/>
  <c r="W757" i="1"/>
  <c r="W758" i="1"/>
  <c r="W759" i="1"/>
  <c r="W760" i="1"/>
  <c r="W761" i="1"/>
  <c r="W762" i="1"/>
  <c r="W763" i="1"/>
  <c r="W131" i="1"/>
  <c r="W770" i="1"/>
  <c r="W329" i="1"/>
  <c r="W330" i="1"/>
  <c r="W132" i="1"/>
  <c r="W69" i="1"/>
  <c r="W772" i="1"/>
  <c r="W773" i="1"/>
  <c r="W134" i="1"/>
  <c r="W135" i="1"/>
  <c r="W783" i="1"/>
  <c r="W784" i="1"/>
  <c r="W785" i="1"/>
  <c r="W786" i="1"/>
  <c r="W136" i="1"/>
  <c r="W137" i="1"/>
  <c r="W792" i="1"/>
  <c r="W793" i="1"/>
  <c r="W138" i="1"/>
  <c r="W795" i="1"/>
  <c r="W796" i="1"/>
  <c r="W798" i="1"/>
  <c r="W799" i="1"/>
  <c r="W140" i="1"/>
  <c r="W800" i="1"/>
  <c r="W801" i="1"/>
  <c r="W802" i="1"/>
  <c r="W141" i="1"/>
  <c r="W806" i="1"/>
  <c r="W807" i="1"/>
  <c r="W809" i="1"/>
  <c r="W144" i="1"/>
  <c r="W812" i="1"/>
  <c r="W145" i="1"/>
  <c r="W146" i="1"/>
  <c r="W816" i="1"/>
  <c r="W817" i="1"/>
  <c r="W149" i="1"/>
  <c r="W150" i="1"/>
  <c r="W151" i="1"/>
  <c r="W152" i="1"/>
  <c r="W154" i="1"/>
  <c r="W155" i="1"/>
  <c r="W831" i="1"/>
  <c r="W833" i="1"/>
  <c r="W834" i="1"/>
  <c r="W835" i="1"/>
  <c r="W836" i="1"/>
  <c r="W841" i="1"/>
  <c r="W381" i="1"/>
  <c r="W382" i="1"/>
  <c r="W843" i="1"/>
  <c r="W844" i="1"/>
  <c r="W845" i="1"/>
  <c r="W846" i="1"/>
  <c r="W848" i="1"/>
  <c r="W849" i="1"/>
  <c r="W850" i="1"/>
  <c r="W161" i="1"/>
  <c r="W338" i="1"/>
  <c r="W339" i="1"/>
  <c r="W162" i="1"/>
  <c r="W163" i="1"/>
  <c r="W164" i="1"/>
  <c r="W853" i="1"/>
  <c r="W854" i="1"/>
  <c r="W855" i="1"/>
  <c r="W307" i="1"/>
  <c r="W308" i="1"/>
  <c r="W858" i="1"/>
  <c r="W167" i="1"/>
  <c r="W168" i="1"/>
  <c r="W169" i="1"/>
  <c r="W170" i="1"/>
  <c r="W171" i="1"/>
  <c r="W866" i="1"/>
  <c r="W867" i="1"/>
  <c r="W868" i="1"/>
  <c r="W172" i="1"/>
  <c r="W173" i="1"/>
  <c r="W869" i="1"/>
  <c r="W870" i="1"/>
  <c r="W174" i="1"/>
  <c r="W175" i="1"/>
  <c r="W176" i="1"/>
  <c r="W873" i="1"/>
  <c r="W874" i="1"/>
  <c r="W177" i="1"/>
  <c r="W178" i="1"/>
  <c r="W179" i="1"/>
  <c r="W876" i="1"/>
  <c r="W877" i="1"/>
  <c r="W358" i="1"/>
  <c r="W359" i="1"/>
  <c r="W180" i="1"/>
  <c r="W181" i="1"/>
  <c r="W182" i="1"/>
  <c r="W885" i="1"/>
  <c r="W886" i="1"/>
  <c r="W350" i="1"/>
  <c r="W351" i="1"/>
  <c r="W366" i="1"/>
  <c r="W891" i="1"/>
  <c r="W898" i="1"/>
  <c r="W899" i="1"/>
  <c r="W900" i="1"/>
  <c r="W193" i="1"/>
  <c r="W194" i="1"/>
  <c r="W196" i="1"/>
  <c r="W197" i="1"/>
  <c r="W199" i="1"/>
  <c r="W200" i="1"/>
  <c r="W916" i="1"/>
  <c r="W917" i="1"/>
  <c r="W918" i="1"/>
  <c r="W1307" i="1"/>
  <c r="W1308" i="1"/>
  <c r="W1309" i="1"/>
  <c r="W1310" i="1"/>
  <c r="W1311" i="1"/>
  <c r="W202" i="1"/>
  <c r="W203" i="1"/>
  <c r="W920" i="1"/>
  <c r="W921" i="1"/>
  <c r="W923" i="1"/>
  <c r="W924" i="1"/>
  <c r="W926" i="1"/>
  <c r="W927" i="1"/>
  <c r="W483" i="1"/>
  <c r="W930" i="1"/>
  <c r="W931" i="1"/>
  <c r="W205" i="1"/>
  <c r="W932" i="1"/>
  <c r="W933" i="1"/>
  <c r="W935" i="1"/>
  <c r="W940" i="1"/>
  <c r="W941" i="1"/>
  <c r="W210" i="1"/>
  <c r="W211" i="1"/>
  <c r="W212" i="1"/>
  <c r="W213" i="1"/>
  <c r="W214" i="1"/>
  <c r="W944" i="1"/>
  <c r="W945" i="1"/>
  <c r="W946" i="1"/>
  <c r="W948" i="1"/>
  <c r="W949" i="1"/>
  <c r="W950" i="1"/>
  <c r="W215" i="1"/>
  <c r="W216" i="1"/>
  <c r="W956" i="1"/>
  <c r="W217" i="1"/>
  <c r="W335" i="1"/>
  <c r="W964" i="1"/>
  <c r="W965" i="1"/>
  <c r="W967" i="1"/>
  <c r="W968" i="1"/>
  <c r="W969" i="1"/>
  <c r="W220" i="1"/>
  <c r="W221" i="1"/>
  <c r="W970" i="1"/>
  <c r="W971" i="1"/>
  <c r="W222" i="1"/>
  <c r="W972" i="1"/>
  <c r="W973" i="1"/>
  <c r="W974" i="1"/>
  <c r="W978" i="1"/>
  <c r="W979" i="1"/>
  <c r="W980" i="1"/>
  <c r="W982" i="1"/>
  <c r="W983" i="1"/>
  <c r="W984" i="1"/>
  <c r="W223" i="1"/>
  <c r="W224" i="1"/>
  <c r="W225" i="1"/>
  <c r="W991" i="1"/>
  <c r="W992" i="1"/>
  <c r="W226" i="1"/>
  <c r="W227" i="1"/>
  <c r="W1002" i="1"/>
  <c r="W1003" i="1"/>
  <c r="W229" i="1"/>
  <c r="W1011" i="1"/>
  <c r="W1012" i="1"/>
  <c r="W354" i="1"/>
  <c r="W355" i="1"/>
  <c r="W1018" i="1"/>
  <c r="W1019" i="1"/>
  <c r="W231" i="1"/>
  <c r="W1021" i="1"/>
  <c r="W1022" i="1"/>
  <c r="W1024" i="1"/>
  <c r="W232" i="1"/>
  <c r="W233" i="1"/>
  <c r="W234" i="1"/>
  <c r="W1029" i="1"/>
  <c r="W1328" i="1"/>
  <c r="W1031" i="1"/>
  <c r="W236" i="1"/>
  <c r="W1038" i="1"/>
  <c r="W1043" i="1"/>
  <c r="W1044" i="1"/>
  <c r="W1046" i="1"/>
  <c r="W1047" i="1"/>
  <c r="W1048" i="1"/>
  <c r="W1049" i="1"/>
  <c r="W1333" i="1"/>
  <c r="W1055" i="1"/>
  <c r="W1056" i="1"/>
  <c r="W1060" i="1"/>
  <c r="W1061" i="1"/>
  <c r="W240" i="1"/>
  <c r="W242" i="1"/>
  <c r="W243" i="1"/>
  <c r="W244" i="1"/>
  <c r="W1069" i="1"/>
  <c r="W1070" i="1"/>
  <c r="W245" i="1"/>
  <c r="W246" i="1"/>
  <c r="W364" i="1"/>
  <c r="W365" i="1"/>
  <c r="W247" i="1"/>
  <c r="W248" i="1"/>
  <c r="W1076" i="1"/>
  <c r="W249" i="1"/>
  <c r="W1078" i="1"/>
  <c r="W1079" i="1"/>
  <c r="W250" i="1"/>
  <c r="W251" i="1"/>
  <c r="W253" i="1"/>
  <c r="W1085" i="1"/>
  <c r="W1086" i="1"/>
  <c r="W1088" i="1"/>
  <c r="W1089" i="1"/>
  <c r="W1090" i="1"/>
  <c r="W1091" i="1"/>
  <c r="W379" i="1"/>
  <c r="W1095" i="1"/>
  <c r="W1096" i="1"/>
  <c r="W254" i="1"/>
  <c r="W255" i="1"/>
  <c r="W256" i="1"/>
  <c r="W1097" i="1"/>
  <c r="W1098" i="1"/>
  <c r="W1099" i="1"/>
  <c r="W1100" i="1"/>
  <c r="W1101" i="1"/>
  <c r="W1102" i="1"/>
  <c r="W1105" i="1"/>
  <c r="W1109" i="1"/>
  <c r="W1110" i="1"/>
  <c r="W1111" i="1"/>
  <c r="W257" i="1"/>
  <c r="W1112" i="1"/>
  <c r="W1113" i="1"/>
  <c r="W1115" i="1"/>
  <c r="W1116" i="1"/>
  <c r="W1117" i="1"/>
  <c r="W1126" i="1"/>
  <c r="W1329" i="1"/>
  <c r="W1030" i="1"/>
  <c r="W1127" i="1"/>
  <c r="W1128" i="1"/>
  <c r="W259" i="1"/>
  <c r="W260" i="1"/>
  <c r="W261" i="1"/>
  <c r="W1130" i="1"/>
  <c r="W1131" i="1"/>
  <c r="W1135" i="1"/>
  <c r="W1136" i="1"/>
  <c r="W1137" i="1"/>
  <c r="W1138" i="1"/>
  <c r="W1139" i="1"/>
  <c r="W1144" i="1"/>
  <c r="W1145" i="1"/>
  <c r="W1147" i="1"/>
  <c r="W1148" i="1"/>
  <c r="W1149" i="1"/>
  <c r="W1151" i="1"/>
  <c r="W1152" i="1"/>
  <c r="W1153" i="1"/>
  <c r="W1154" i="1"/>
  <c r="W1156" i="1"/>
  <c r="W1157" i="1"/>
  <c r="W1158" i="1"/>
  <c r="W1159" i="1"/>
  <c r="W1160" i="1"/>
  <c r="W374" i="1"/>
  <c r="W375" i="1"/>
  <c r="W265" i="1"/>
  <c r="W269" i="1"/>
  <c r="W1161" i="1"/>
  <c r="W1162" i="1"/>
  <c r="W1163" i="1"/>
  <c r="W1164" i="1"/>
  <c r="W1165" i="1"/>
  <c r="W1166" i="1"/>
  <c r="W1167" i="1"/>
  <c r="W271" i="1"/>
  <c r="W272" i="1"/>
  <c r="W273" i="1"/>
  <c r="W276" i="1"/>
  <c r="W1171" i="1"/>
  <c r="W1172" i="1"/>
  <c r="W279" i="1"/>
  <c r="W281" i="1"/>
  <c r="W1181" i="1"/>
  <c r="W1184" i="1"/>
  <c r="W282" i="1"/>
  <c r="W283" i="1"/>
  <c r="W284" i="1"/>
  <c r="W1186" i="1"/>
  <c r="W385" i="1"/>
  <c r="W1189" i="1"/>
  <c r="W285" i="1"/>
  <c r="W286" i="1"/>
  <c r="W287" i="1"/>
  <c r="W373" i="1"/>
  <c r="W1199" i="1"/>
  <c r="W1202" i="1"/>
  <c r="W1203" i="1"/>
  <c r="W1204" i="1"/>
  <c r="W294" i="1"/>
  <c r="W1208" i="1"/>
  <c r="W346" i="1"/>
  <c r="W1215" i="1"/>
  <c r="W1219" i="1"/>
  <c r="W301" i="1"/>
  <c r="W302" i="1"/>
  <c r="W1224" i="1"/>
  <c r="W306" i="1"/>
  <c r="W309" i="1"/>
  <c r="W310" i="1"/>
  <c r="W1241" i="1"/>
  <c r="W367" i="1"/>
  <c r="W1248" i="1"/>
  <c r="W1249" i="1"/>
  <c r="W316" i="1"/>
  <c r="W1253" i="1"/>
  <c r="W195" i="1"/>
  <c r="W1263" i="1"/>
  <c r="W1293" i="1"/>
  <c r="W1305" i="1"/>
  <c r="W332" i="1"/>
  <c r="W1322" i="1"/>
  <c r="W1312" i="1"/>
  <c r="W2386" i="1"/>
  <c r="W2387" i="1"/>
  <c r="W2388" i="1"/>
  <c r="W2389" i="1"/>
  <c r="W2390" i="1"/>
  <c r="W2391" i="1"/>
  <c r="W2392" i="1"/>
  <c r="W303" i="1"/>
  <c r="W2393" i="1"/>
  <c r="W4" i="1"/>
  <c r="O1307" i="1"/>
  <c r="N1307" i="1"/>
  <c r="O866" i="1"/>
  <c r="N866" i="1"/>
  <c r="O162" i="1"/>
  <c r="N162" i="1"/>
  <c r="O161" i="1"/>
  <c r="N161" i="1"/>
  <c r="O800" i="1"/>
  <c r="N800" i="1"/>
  <c r="O716" i="1"/>
  <c r="N716" i="1"/>
  <c r="O369" i="1"/>
  <c r="N369" i="1"/>
  <c r="O520" i="1"/>
  <c r="N5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 Thi Ngoc Diem</author>
  </authors>
  <commentList>
    <comment ref="D874" authorId="0" shapeId="0" xr:uid="{5776A581-219D-439D-BCA2-A97472CDDE77}">
      <text>
        <r>
          <rPr>
            <b/>
            <sz val="9"/>
            <color indexed="81"/>
            <rFont val="Tahoma"/>
            <family val="2"/>
          </rPr>
          <t>CTY CP Hoá Chất Công Nghiệp Á Châu</t>
        </r>
      </text>
    </comment>
    <comment ref="D1299" authorId="0" shapeId="0" xr:uid="{1BEC6A89-F43F-4F1E-8C03-AF08D069ACAB}">
      <text>
        <r>
          <rPr>
            <b/>
            <sz val="9"/>
            <color indexed="81"/>
            <rFont val="Tahoma"/>
            <family val="2"/>
          </rPr>
          <t>Doanh Nghiệp Tư Nhân Máy Và Thiết Bị Á Châu</t>
        </r>
      </text>
    </comment>
    <comment ref="D1311" authorId="0" shapeId="0" xr:uid="{53C57295-B202-4390-996B-4CD7856B024C}">
      <text>
        <r>
          <rPr>
            <b/>
            <sz val="9"/>
            <color indexed="81"/>
            <rFont val="Tahoma"/>
            <family val="2"/>
          </rPr>
          <t>Công ty TNHH Đại Việt Long An</t>
        </r>
      </text>
    </comment>
    <comment ref="D1333" authorId="0" shapeId="0" xr:uid="{FC7F35ED-D300-4D65-97DE-629EAEB87DC3}">
      <text>
        <r>
          <rPr>
            <b/>
            <sz val="9"/>
            <color indexed="81"/>
            <rFont val="Tahoma"/>
            <family val="2"/>
          </rPr>
          <t>Ngô Thị Sáu</t>
        </r>
      </text>
    </comment>
  </commentList>
</comments>
</file>

<file path=xl/sharedStrings.xml><?xml version="1.0" encoding="utf-8"?>
<sst xmlns="http://schemas.openxmlformats.org/spreadsheetml/2006/main" count="27542" uniqueCount="4211">
  <si>
    <t>No.</t>
  </si>
  <si>
    <t>Vendor code</t>
  </si>
  <si>
    <t>Audit 
date</t>
  </si>
  <si>
    <t>Supplier Name</t>
  </si>
  <si>
    <t>Purchasing 
Group</t>
  </si>
  <si>
    <t>Product 
Group</t>
  </si>
  <si>
    <t>Location</t>
  </si>
  <si>
    <t>Address</t>
  </si>
  <si>
    <t>Kind of 
supplier</t>
  </si>
  <si>
    <t xml:space="preserve">           PU006
</t>
  </si>
  <si>
    <t xml:space="preserve">        Social
</t>
  </si>
  <si>
    <t>Red point
18 points: 06 Months</t>
  </si>
  <si>
    <t>ISO</t>
  </si>
  <si>
    <t>Likelihood ration</t>
  </si>
  <si>
    <t>Audit 
expiry date</t>
  </si>
  <si>
    <t>Other</t>
  </si>
  <si>
    <t>Note</t>
  </si>
  <si>
    <t>Công ty cổ phần đầu tư công nghệ mới Việt Thành</t>
  </si>
  <si>
    <t>General</t>
  </si>
  <si>
    <t>Packaging</t>
  </si>
  <si>
    <t>Hà Nội</t>
  </si>
  <si>
    <t>KM12, Ngọc Hồi, Thanh Trì, Hà Nội</t>
  </si>
  <si>
    <t>Manufacturer</t>
  </si>
  <si>
    <t>1 Year</t>
  </si>
  <si>
    <t>Re-audit 2019</t>
  </si>
  <si>
    <t>Công Ty TNHH Box - Pak (Hà Nội)</t>
  </si>
  <si>
    <t>Bắc Ninh</t>
  </si>
  <si>
    <t>Số 12, đường 11, VSIP Bắc Ninh, X. Phù Chẩn, TX. Từ Sơn,  T. Bắc Ninh</t>
  </si>
  <si>
    <t>2 Years</t>
  </si>
  <si>
    <t xml:space="preserve">
</t>
  </si>
  <si>
    <t>ISO 9001:2015
ISO 14001:2015</t>
  </si>
  <si>
    <t>Công Ty CP TM Xăng Dầu Hà Nam</t>
  </si>
  <si>
    <t>Fuel</t>
  </si>
  <si>
    <t>Hà Nam</t>
  </si>
  <si>
    <t>X.Thanh Sơn, H.Kim Bảng, Hà Nam.</t>
  </si>
  <si>
    <t>Công Ty Cổ Phần Bao Bì Liksin Phương Bắc</t>
  </si>
  <si>
    <t>Số 13, đường TS5, KCN Tiên Sơn, Từ Sơn, Bắc Ninh</t>
  </si>
  <si>
    <t xml:space="preserve"> ISO 22000:2018</t>
  </si>
  <si>
    <t>Công Ty TNHH Thương Mại Dịch Vụ Và Vận Tải Phước Lộc</t>
  </si>
  <si>
    <t>Spare part</t>
  </si>
  <si>
    <t>Số Nhà 107, Tổ 3 Khu Tân Bình,  Thị Trấn Xuân Mai, Huyện Chương Mỹ,  Thành Phố Hà Nội, Việt Nam</t>
  </si>
  <si>
    <t>Supplier</t>
  </si>
  <si>
    <t>Cơ Sở Kinh Doanh Xuân Phúc</t>
  </si>
  <si>
    <t>Ingredient</t>
  </si>
  <si>
    <t>Thôn Cao Sơn, xã Tiên Phương, huyện Chương Mỹ,  Thành Phố Hà Nội</t>
  </si>
  <si>
    <t>Công Ty TNHH Thanh Thúy Lương Sơn</t>
  </si>
  <si>
    <t>Số Nhà 208, Tiểu Khu 8, Thị Trấn Lương Sơn, Huyện Lương Sơn,  Tỉnh Hòa Bình, Việt Nam</t>
  </si>
  <si>
    <t>Công Ty TNHH Phát Triển Sản Xuất Và Thương Mại Cơ Điện Minh Việt</t>
  </si>
  <si>
    <t>Km28+200 Quốc Lộ 6, Đồi 1, Xã Đông  Phương Yên, H.Chương Mỹ,   TP. Hà Nội</t>
  </si>
  <si>
    <t>Lô Số 4, Cụm Công nghiệp Lai Xá,  X. Kim Chung, H. Hoài Đức,   TP. Hà Nội, Việt Nam</t>
  </si>
  <si>
    <t>ISO 9001:2015</t>
  </si>
  <si>
    <t>Công Ty Cổ Phần Thiết Bị SISC Việt Nam</t>
  </si>
  <si>
    <t>Chemical/Lab</t>
  </si>
  <si>
    <t>Số 19 Thọ Tháp, P.Mai Dịch  Q.Cầu Giấy   Tp. Hà Nội</t>
  </si>
  <si>
    <t>Công Ty TNHH Thiết Bị Khoa Học Và Công Nghệ Kim Ngân</t>
  </si>
  <si>
    <t>Tầng 1, tòa Lilama 10, Phố Tô Hữu, P. Trung Văn,Q. Nam Từ Liêm, Tp. Hà Nội</t>
  </si>
  <si>
    <t>Công Ty TNHH Thương Mại Và Sản Xuất Tuấn Phát</t>
  </si>
  <si>
    <t>Số 12, Ngách 1/38/16 phố Kẻ Tạnh, Phường Giang Biên, Quận Long Biên  Thành Phố Hà Nội, Việt Nam</t>
  </si>
  <si>
    <t>Công Ty Cổ Phần Vận Tải Thương Mại Và Dịch Vụ Hà Nội</t>
  </si>
  <si>
    <t>H18 Ngô Thì Nhậm, Phường Hà Cầu, Quận Hà Đông,  Thành Phố Hà Nội, Việt Nam</t>
  </si>
  <si>
    <t>Công Ty TNHH Đầu Tư Thương Mại Tổng Hợp Thanh Bình</t>
  </si>
  <si>
    <t xml:space="preserve">Khu E ngõ 50 , Lương Thế Vinh , Quận Thanh Xuân Hà Nội </t>
  </si>
  <si>
    <t>Công Ty TNHH Sinh Học Phòng Thí Nghiệm và Công Nghệ</t>
  </si>
  <si>
    <t>Số 32, Lô N4D, Khu Tái Định Cư X2A, P. Yên sở, Q. Hoàng Mai, Thành Phố Hà Nội, Việt Nam</t>
  </si>
  <si>
    <t>Công Ty TNHH Nhất Lộ Phát 168</t>
  </si>
  <si>
    <t>lô CN5 - KCN Thạch Thất - Quốc Oai, xã Phùng Xá, huyện Thạch Thất, Hà Nội</t>
  </si>
  <si>
    <t>Công Ty Cổ Phần Thương Mại Và Công Nghệ TST Việt Nam</t>
  </si>
  <si>
    <t>Số 24 Dãy E, Ngõ 68, Đường Trung Kính, Quận Cầu Giấy,TP. Hà Nội</t>
  </si>
  <si>
    <t>CÔNG TY CỔ PHẦN TRẦN NGUYỄN HÀ</t>
  </si>
  <si>
    <t>Ngõ 464 Phúc Diễn, Xuân Phương, Nam Từ Liêm, Hà Nội</t>
  </si>
  <si>
    <t>Công ty TNHH Đầu tư và thương mại Minh Nam</t>
  </si>
  <si>
    <t>Số 22, Phố Hạ Đình, P. Thanh Xuân Trung,  Q. Thanh Xuân,   TP. Hà Nội, Việt Nam</t>
  </si>
  <si>
    <t>Công Ty TNHH Quốc Anh</t>
  </si>
  <si>
    <t>Nam Định</t>
  </si>
  <si>
    <t xml:space="preserve">Yên Xá, Ý Yên, Nam Định </t>
  </si>
  <si>
    <t>Công ty TNHH UFO Việt Nam</t>
  </si>
  <si>
    <t>Số nhà 185, Ngõ 192, Lê Trọng Tấn, Định Công, Hoàng Mai, Hà Nội</t>
  </si>
  <si>
    <t>Công ty TNHH Phát Triển Công Nghệ Biển Xanh</t>
  </si>
  <si>
    <t>C7, Ngõ 194, TT Hải Quan, Giải Phóng, Thanh Xuân, Hà Nội</t>
  </si>
  <si>
    <t xml:space="preserve">Công ty TNHH Phát Triển Công Nghệ Ứng Dụng Việt Nam </t>
  </si>
  <si>
    <t>Tầng 6, 314 Minh Khai, Hai Bà Trưng, Hà Nội</t>
  </si>
  <si>
    <t>Công Ty TNHH Đầu Tư Ứng Dụng Sản Xuất Bao Bì Việt</t>
  </si>
  <si>
    <t>Hưng Yên</t>
  </si>
  <si>
    <t>Đường D, KCN Phố Nối A, Xã Giai Phạm, Huyện Yên Mỹ, Hưng Yên</t>
  </si>
  <si>
    <t>Công Ty Cổ Phần Phân Phối Công Nghệ T&amp;C</t>
  </si>
  <si>
    <t>KCN Quang Minh, Huyện Mê Linh, Hà Nội</t>
  </si>
  <si>
    <t>ISO 9001:2008</t>
  </si>
  <si>
    <t>Công Ty TNHH Kỹ Thuật Lalimex</t>
  </si>
  <si>
    <t>Cụm CN Lai Xá, Hoài Đức, Hà Nội</t>
  </si>
  <si>
    <t>Công Ty Cổ Phần Đầu Tư Vinama Việt Nam</t>
  </si>
  <si>
    <t>P1107, Thăng Long Tower, Ngụy Như Con Tum, Nhân Chính, Thanh Xuân, Hà Nội</t>
  </si>
  <si>
    <t>Công Ty TNHH Ngọn Lửa Xanh Hải Phòng</t>
  </si>
  <si>
    <t>Hải Phòng</t>
  </si>
  <si>
    <t>Thôn Bảo Ngãi, xã Trấn Dương, huyện Vĩnh Bảo,  Tp Hải Phòng, Việt Nam</t>
  </si>
  <si>
    <t>CN Công ty TNHH Kiến Vương tại Bắc Ninh</t>
  </si>
  <si>
    <t>Lô 22, đường N2, KCN Đại Đồng, X.Hoàn Sơn, H.Tiên Du, T.Bắc Ninh</t>
  </si>
  <si>
    <t>Công Ty Cổ Phần Minh Long Phú Thọ</t>
  </si>
  <si>
    <t>Phú Thọ</t>
  </si>
  <si>
    <t>Số Nhà 09, Tổ 01, Phường Âu Cơ,Thị xã Phú Thọ,Tỉnh Phú Thọ, Việt Nam</t>
  </si>
  <si>
    <t>Công Ty TNHH Thiết Bị Vật Tư Nguyễn Gia</t>
  </si>
  <si>
    <t>Thôn Ninh Sơn, Thị Trấn Chúc Sơn, Huyện Chương Mỹ,  Thành Phố Hà Nội, Việt Nam</t>
  </si>
  <si>
    <t>Công Ty Cổ Phần Sản Xuất Và Thương Mại HT</t>
  </si>
  <si>
    <t>Thôn Tiên Lữ, Xã Tiên Phương, H. Chương  Mỹ , TP. Hà Nội  Hà Nội</t>
  </si>
  <si>
    <t>Tổ 1, khu Tân Bình , Thị Trấn Xuân Mai, huyện Chương Mỹ, thành phố Hà Nội, Việt Nam</t>
  </si>
  <si>
    <t>Lô 16-D24 KDT Geleximco, Lê Trọng Tấn, Hà Đông Hà Nội</t>
  </si>
  <si>
    <t>Thôn Thế Trụ, Xã Nghĩa Hương,  Huyện Quốc Oai,   Hà Nội</t>
  </si>
  <si>
    <t>Công Ty Cổ Phần Bao Bì Thuận Hoà Phát</t>
  </si>
  <si>
    <t>Thôn Nghĩa Lộ, Xã Chỉ Đạo,   Huyện Văn Lâm,   Tỉnh Hưng Yên, Việt Nam</t>
  </si>
  <si>
    <t>ISO 9001 : 2015</t>
  </si>
  <si>
    <t>Công Ty TNHH Thương Mại Sản Xuất Bao Bì Carton Geleximco</t>
  </si>
  <si>
    <t>Quốc lộ 5A, xã Đình Dù, Huyện Văn Lâm,  Tỉnh Hưng Yên, Việt Nam</t>
  </si>
  <si>
    <t>Đường 196, Xã Minh Hải, Văn Lâm, Hưng Yên</t>
  </si>
  <si>
    <t>Công Ty TNHH Khoa Học Kỹ Thuật VietLab</t>
  </si>
  <si>
    <t xml:space="preserve">Hà Nội </t>
  </si>
  <si>
    <t>Phòng 302, Tòa nhà Rainbow office, Văn Quán , Hà Đông, Hà Nội</t>
  </si>
  <si>
    <t>Công Ty TNHH Một Thành Viên Thương Mại Và Dịch Vụ Nguyễn Hưng</t>
  </si>
  <si>
    <t>Hải Dương</t>
  </si>
  <si>
    <t>Số Nhà 9, Phố Vũ Thạnh, P. Hải Tân,  TP. Hải Dương,   T.Hải Dương, Việt Nam
Kho: P.Cẩm Thượng, Q.Ngô Quyền, TP.HD</t>
  </si>
  <si>
    <t>Thôn Quý Dương, Xã Tân Trường,  H.Cẩm Giàng,   T.Hải Dương</t>
  </si>
  <si>
    <t>Công Ty TNHH Hoa Hạ Việt Nam</t>
  </si>
  <si>
    <t>Cụm CN già khê, X.Tiên Hưng, H.Lục Nam, BG</t>
  </si>
  <si>
    <t>ISO 9001:2015 ISO 22000:2005</t>
  </si>
  <si>
    <t>Công Ty Cổ Phần Thương Mại Xăng Dầu Việt Nam</t>
  </si>
  <si>
    <t>Tầng 9, Khách sạn Thể Thao, Số 15 Lê Văn Thiêm, Nhân Chính, Thanh Xuân, Hà Nội</t>
  </si>
  <si>
    <t>Thôn Tiên Trượng, Xã Thủy Xuân Tiên, Huyện Chương Mỹ, Hà Nội</t>
  </si>
  <si>
    <t>Công Ty Cổ Phần Công Nghệ Lefa</t>
  </si>
  <si>
    <t>106 Tôn Đức Thắng, Đống Đa</t>
  </si>
  <si>
    <t>Hợp Tác Xã Công Nghiệp 27-7 Phù Đổng</t>
  </si>
  <si>
    <t>Thôn Phù Đổng 3, Xã Phù Đổng Huyện Gia Lâm, Hà Nội</t>
  </si>
  <si>
    <t>Công ty TNHH thương mại Hoàng Nghĩa</t>
  </si>
  <si>
    <t>Số 488 Hà Huy Tập, Yên Viên, Hà Nội.</t>
  </si>
  <si>
    <t>Công Ty Cổ Phần Sản Xuất Và Thương Mại ESK Việt Nam</t>
  </si>
  <si>
    <t>222 Hoàng Văn Thái, Thanh Xuân, Hà Nội.</t>
  </si>
  <si>
    <t>Công Ty TNHH Quảng Cáo Lan Anh</t>
  </si>
  <si>
    <t>Số 16, dãy A13 Đầm trấu , P. Bạch Đằng, Q. Hai Bà Trưng, Hà Nội</t>
  </si>
  <si>
    <t>Công Ty Cổ Phần Kỹ Thuật Và Xây Dựng Việt Thiên Hà Nội</t>
  </si>
  <si>
    <t xml:space="preserve">kho: KCN Ngọc Hồi, H.Thanh Trì, TP. Hà Nội
vp: Biệt Thự 15BT2, Khu Bán Đảo Linh Đàm, Q. Hoàng Mai, TP. Hà Nội </t>
  </si>
  <si>
    <t>Công Ty TNHH Đầu Tư Kinh Doanh Thuận Phát</t>
  </si>
  <si>
    <t>Lô LA2, cụm CN vừa và nhỏ Phương Canh, Q.Nam Từ Liêm, HN</t>
  </si>
  <si>
    <t>Công Ty TNHH Ứng Dụng Giải Pháp Công Nghệ</t>
  </si>
  <si>
    <t>tầng 2 toà D Việt Đức complex , ngõ 61 ngụy như Kon Tum , Thanh xuân, Hà nội .</t>
  </si>
  <si>
    <t>Công Ty TNHH B.C.E Việt Nam</t>
  </si>
  <si>
    <t>Tầng 10, Toà Nhà licogi 13, Số 164,Khuất  Duy Tiến, P.Nhân Chính, Q.Thanh Xuân   Tp. Hà Nội</t>
  </si>
  <si>
    <t>Công Ty Cổ Phần Công Nghệ Hợp Long</t>
  </si>
  <si>
    <t>Kho: 946 Bạch Đằng, Hai Bà Trưng, Hà Nội</t>
  </si>
  <si>
    <t>Công Ty Việt Đức</t>
  </si>
  <si>
    <t>Certificate</t>
  </si>
  <si>
    <t>Công Ty TNHH Một Thành Viên Xây Dựng Hoàng Quốc Hiếu</t>
  </si>
  <si>
    <t>Services</t>
  </si>
  <si>
    <t>Huế</t>
  </si>
  <si>
    <t>Thôn Nhất Tây, Xã Điền Lộc, Huyện Phong Điền, Huế</t>
  </si>
  <si>
    <t>Công Ty TNHH MTV Xây Dựng Công Nghiệp Phan Nguyễn</t>
  </si>
  <si>
    <t>Lô G12 KQH Bắc Hương Sơ, P. Hương Sơ, TP. Huế,</t>
  </si>
  <si>
    <t>Công Ty Xăng Dầu Thừa Thiên Huế</t>
  </si>
  <si>
    <t>48 Hùng Vương, P. Phú Nhuận, TP. Huế</t>
  </si>
  <si>
    <t>Số 3 Kiệt 25 Ông Ích Khiêm Phường Thuận Hòa, Tp.Huế</t>
  </si>
  <si>
    <t>Công Ty Trách Nhiệm Hữu Hạn Sản Xuất Và Thương Mại Phúc Hưng</t>
  </si>
  <si>
    <t>137 Huỳnh Thúc Kháng, P. Phú Hòa, TP. Huế</t>
  </si>
  <si>
    <t>Công Ty TNHH Anh Đào</t>
  </si>
  <si>
    <t>VP: 58 Trần Phú, Phường Phước Vĩnh, TP. Huế,
kho 1: Lô 14, KQH An Cựu, Phường An Đông, TP, Huế
kho 2: Lô 16-18, KQH An Cựu, Phường An Đông, TP. Huế</t>
  </si>
  <si>
    <t>Công Ty TNHH Sản Xuất Thương Mại Việt Phú Hưng</t>
  </si>
  <si>
    <t>19 Trưng Nữ Vương, Phường Phú Bài, Thị Xã Hương Thủy, Thừa Thiên Huế</t>
  </si>
  <si>
    <t>Công Ty TNHH Quan Châu</t>
  </si>
  <si>
    <t>Quảng Nam</t>
  </si>
  <si>
    <t>Khu Công Nghiệp Bắc Chu Lai, Xã Tam Hiệp, Huyện Núi Thành,Quảng Nam</t>
  </si>
  <si>
    <t>ISO 22000:2018</t>
  </si>
  <si>
    <t>ISO 45001:2018
ISO 14001:2015
ISO 9001:2015</t>
  </si>
  <si>
    <t>Công Ty Cổ Phần Vật Tư Và Dịch Vụ Kỹ Thuật</t>
  </si>
  <si>
    <t>Đà Nẵng</t>
  </si>
  <si>
    <t>04 Trần Kế Xương, Tổ 10, Phường Hải Châu II, Quận Hải Châu, Đà Nẵng</t>
  </si>
  <si>
    <t>Công Ty TNHH AUE Việt Nam</t>
  </si>
  <si>
    <t>Tầng 3 Lô 13-A4 Nguyễn Sinh Sắc, Phường Hòa Minh, Quận Liên Chiểu, Đà Nẵng.</t>
  </si>
  <si>
    <t>Công Ty TNHH TM &amp; DV Tiết Kiệm Năng Lượng An Phát</t>
  </si>
  <si>
    <t>243 Nguyễn Lương Bằng, P.Hòa Khánh Bắc Q.Liên Chiều, Đà Nẵng</t>
  </si>
  <si>
    <t>Chi Nhánh Công Ty Cổ Phần TM &amp; DV Ngọc Hà Tại Đà Nẵng</t>
  </si>
  <si>
    <t>131 Nguyễn Nhược Pháp, Hòa Minh, Liên Chiểu, Đà Nẵng</t>
  </si>
  <si>
    <t>Công Ty TNHH Bao Bì Tân Long</t>
  </si>
  <si>
    <t>Lô H đường số 3 KCN Hòa Khánh</t>
  </si>
  <si>
    <t>Công Ty TNHH Thương Mại Núi Thành</t>
  </si>
  <si>
    <t>469 Núi Thành, Phường Hòa Cường Nam, Quận Hải Châu,</t>
  </si>
  <si>
    <t>Công Ty Cổ Phần Xây Dựng Và Xử Lý Nền Móng Hồng Nguyên</t>
  </si>
  <si>
    <t>Tầng 04, Tòa EIC, số 01/10B đường Lê Hồng Phong, Đằng Hải, Hải Châu, Hải Phòng</t>
  </si>
  <si>
    <t>Số 223 đường Mạc Đăng Doanh, phường Hưng Đạo, quận Dương Kinh, Hải Phòng</t>
  </si>
  <si>
    <t xml:space="preserve">
ISO 22000:2018</t>
  </si>
  <si>
    <t>ISO 5001:2011
ISO 9001:2015
ISO 14000:2015</t>
  </si>
  <si>
    <t>Khu E, Ngõ 50, Lương Thế Vinh, Q. Thanh Xuân, Hà Nội.</t>
  </si>
  <si>
    <t>Re-audit 2020</t>
  </si>
  <si>
    <t>Công Ty TNHH Thương Mại Và Dịch Vụ Kỹ Thuật Nam Phát</t>
  </si>
  <si>
    <t>tầng 15, toà nhà văn phòng Nam Cường, km4, đường Tố Hữu, Hà Đông, Hà Nội</t>
  </si>
  <si>
    <t>Công ty TNHH Quang Quân</t>
  </si>
  <si>
    <t>Xã Bính Hòa, Huyện Thanh Oai, Thành phố Hà Nội.</t>
  </si>
  <si>
    <t>Công Ty TNHH Xuất Nhập Khẩu Minh Hải</t>
  </si>
  <si>
    <t>Cụm Tiểu Thủ Công Nghiệp Kim Bình, X. Kim Bình, TP. Phủ Lý, Hà Nam.</t>
  </si>
  <si>
    <t xml:space="preserve">ISO 22000:2018
</t>
  </si>
  <si>
    <t>Số 14, đường 11, KCN, đô thị và dịch vụ VSIP Bắc Ninh, p Phù Chẩn, TX. Từ Sơn, bn</t>
  </si>
  <si>
    <t>Số 07, đường số 09, KCN Đô thị và Dịch vụ VSIP Bắc Ninh, Xã Phù Chuẩn, Thị Xã Từ Sơn, Tỉnh Bắc Ninh, Việt Nam.</t>
  </si>
  <si>
    <t>Km12, Đường Ngọc Hồi, Xã Vình Quỳnh, Huyện Thanh Trì, Hà Nội.</t>
  </si>
  <si>
    <t>C.TY TNHH QUỲNH KHÔI</t>
  </si>
  <si>
    <t>Tổ 6 Khu Chiến Thắng, Thị Trấn Xuân Mai, Huyện Chương Mỹ, Thành phố Hà Nội, Việt Nam</t>
  </si>
  <si>
    <t>Công Ty TNHH Thương Mại Và  Xây Dựng Minh Chung</t>
  </si>
  <si>
    <t>Tầng 13, N05, Ngõ 49 Trần Đăng Ninh, Q. Cầu Giấy, TP. Hà Nội.</t>
  </si>
  <si>
    <t>251 Âu Cơ, Quận Tây Hồ, Thành Phố Hà Nội.</t>
  </si>
  <si>
    <t>Công Ty Cổ Phần KPM Vina</t>
  </si>
  <si>
    <t>Thôn Thúy Hội, Xã Tân Hội, Huyện Đan Phượng, Hà Nội</t>
  </si>
  <si>
    <t>Công Ty Cổ Phần Thiết Bị Tự Động Hoá Vitech</t>
  </si>
  <si>
    <t>Số 7 Ngách 72/123 ,Phố Quan Nhân, P.Trung Hòa, Q.Cầu Giấy, TP. Hà Nội, Việt Nam</t>
  </si>
  <si>
    <t>Công Ty TNHH Phát Triển Khoa Học ViTech</t>
  </si>
  <si>
    <t>Số 13, Lô 1G, Khu Đô Thị Trung Yên, Trung Hòa, Cầu Giấy</t>
  </si>
  <si>
    <t>Công Ty TNHH Thương Mại Châu Á - Thái Bình Dương miền bắc</t>
  </si>
  <si>
    <t>Số G42 Khu Tái Định Cư LK19a,LK19b,X7, Đ.Lê Trọng Tấn,P.Dương Nội,Q.Hà Đông,Hà Nội</t>
  </si>
  <si>
    <t>Công Ty TNHH Xây Lắp Cơ Điện Hoa Mai</t>
  </si>
  <si>
    <t>Khu Bình Sơn, Thị Trấn Chúc Sơn, Huyện Chương Mỹ,Hà Nội</t>
  </si>
  <si>
    <t>2000019184</t>
  </si>
  <si>
    <t>Công Ty TNHH Xây Dựng Bình Phát</t>
  </si>
  <si>
    <t>Thôn Yên Trường, Xã Trường Yên,Huyện Chương Mỹ,Thành Phố Hà Nội, Việt Nam</t>
  </si>
  <si>
    <t>Số Nhà 208, Tiểu Khu 8, Thị Trấn Lương Sơn, Huyện Lương Sơn,</t>
  </si>
  <si>
    <t>Số 12, Ngách 1/38/16 phố Kẻ Tạnh,
 Phường Giang Biên, Quận Long Biên</t>
  </si>
  <si>
    <t>Số 5 Phố Đặng Dung, P. Trúc Bạch,
 Q. Ba Đình, TP. Hà Nội</t>
  </si>
  <si>
    <t>Công Ty TNHH Dịch Vụ Và Thương Mại Thịnh Phát</t>
  </si>
  <si>
    <t>Khu 2, TT. Lai Cách, Huyện Cẩm Giàng,Hải Dương</t>
  </si>
  <si>
    <t>Công Ty Cổ Phần Đầu Tư Công Nghệ Việt</t>
  </si>
  <si>
    <t>Số 15/23, Ngõ 73, Đường Đức Diễn, Phường Phúc Diễn, Quận Bắc Từ Liêm,Hà Nội</t>
  </si>
  <si>
    <t>Công Ty TNHH Dịch Vụ Kỹ Thuật Bơm Năm Sao</t>
  </si>
  <si>
    <t>Số 15 A19, Phố Nghĩa Tân, Phường Nghĩa Tân, Quận Cầu Giấy,Hà Nội</t>
  </si>
  <si>
    <t>Công Ty TNHH Thiết Bị Khoa Học Việt Anh</t>
  </si>
  <si>
    <t>Số 2 - Lô 3A - Khu Đô Thị Trung Yên, P. Trung Hòa, Q. Cầu Giấy</t>
  </si>
  <si>
    <t>Công Ty TNHH Thương Mại Và Dịch Vụ SECO Việt Nam</t>
  </si>
  <si>
    <t>Xóm Chùa Tổng, Xã La Phù, H. Hoài Đức, Hà Nội</t>
  </si>
  <si>
    <t>Số 45 Bà Triệu, Phường Bà Triệu, Thành Phố Nam Định,</t>
  </si>
  <si>
    <t>Công Ty TNHH Xây Dựng Hùng Đức Thịnh</t>
  </si>
  <si>
    <t>Xã Điền Hải, Huyện Phong Điền, Huế</t>
  </si>
  <si>
    <t>Công Ty Cổ Phần Công Nghệ Toàn Phương</t>
  </si>
  <si>
    <t>Lô DM7-4 Khu Đất Làng Nghề Dệt Lụa, P. Vạn Phúc, Q. Hà Đông</t>
  </si>
  <si>
    <t>Công Ty TNHH Cơ Khí Tuấn Hằng</t>
  </si>
  <si>
    <t>Thôn Thọ Am, Xã Liên Ninh, Huyện Thanh Trì,Hà Nội</t>
  </si>
  <si>
    <t>Nguyễn Văn Quý</t>
  </si>
  <si>
    <t>Điền Hòa, Phong Điền,</t>
  </si>
  <si>
    <t>Trần Thị Tuyến</t>
  </si>
  <si>
    <t>Quảng Bình</t>
  </si>
  <si>
    <t>Thanh Thủy , Lệ Thủy, Quảng Bình</t>
  </si>
  <si>
    <t>Trần Công Duyền</t>
  </si>
  <si>
    <t>Thôn Thượng Giang, TT. Kiến Giang, H. Lệ Thủy</t>
  </si>
  <si>
    <t>Công Ty TNHH Xây Dựng Tổng Hợp Giang Sơn</t>
  </si>
  <si>
    <t>Chợ Mai, Xã Hưng Thủy, Huyện Lệ Thủy,</t>
  </si>
  <si>
    <t>Công Ty TNHH Anh Tuấn QT</t>
  </si>
  <si>
    <t>Quảng Trị</t>
  </si>
  <si>
    <t>Số 3 đường Nguyễn Thị Lý, phường 2, Thị xã Quảng Trị,</t>
  </si>
  <si>
    <t>2.75</t>
  </si>
  <si>
    <t>2000021413</t>
  </si>
  <si>
    <t>Công Ty TNHH TS - Solution Việt Nam</t>
  </si>
  <si>
    <t>Số nhà 3 ngách 32/13 Tô Ngọc Vân,Phường Quảng An, Quận Tây Hồ,TP. Hà Nội, VN</t>
  </si>
  <si>
    <t>Thửa Đất Số 11, Khu Tập Thể Bưu Điện, Tổ 3, Phường Phú La, Quận Hà Đông,</t>
  </si>
  <si>
    <t>Thôn 2, Thanh Mỹ, Thanh Thủy,H. Lệ Thủy</t>
  </si>
  <si>
    <t>Số 21, Ngách 13, Ngõ 55, Hoàng Hoa Thám P.Ngọc Hà, Ba Đình</t>
  </si>
  <si>
    <t>Số nhà 17 Hoàng Văn Thái, Phường Khương Mai, Quận Thanh Xuân,</t>
  </si>
  <si>
    <t>Số 7 Ngách 115/2 Phố Nguyễn Văn Trỗi, Phường Định Công, Quận Hoàng Mai,</t>
  </si>
  <si>
    <t>Công Ty Cổ Phần Semic Việt Nam</t>
  </si>
  <si>
    <t>Số 17, Ngõ 30/32/3 Phố Phan Đình Giót P.Phương Liệt, Q.Thanh Xuân Tp.Hà Nội</t>
  </si>
  <si>
    <t>Công Ty TNHH Xuất Nhập Khẩu Hóa Chất Và Thiết Bị HTD</t>
  </si>
  <si>
    <t>Số 5, Ngách 71, Ngõ 68 Cầu Giấy,Phường Quan Hoa, Quận Cầu Giấy,Thành Phố Hà Nội, Việt Nam</t>
  </si>
  <si>
    <t>Hoàng Thanh Giang</t>
  </si>
  <si>
    <t>Hòa Bình</t>
  </si>
  <si>
    <t>Đội 16, Thôn Đông Tiến, Xã Tân Tiến, Huyện Chương Mỹ, Hà Nội</t>
  </si>
  <si>
    <t>Công Ty TNHH Một Thành Viên Nguyễn Minh</t>
  </si>
  <si>
    <t>Đội 2, Xã Bảo Hiệu, H.Yên Thủy, Hòa Bình</t>
  </si>
  <si>
    <t>Công Ty TNHH Thương Mại Và Kỹ Thuật Tuấn Đức</t>
  </si>
  <si>
    <t>Nhà L1, Khách Sạn La Thành, 218 Phố Đội Cấn, Phường Liễu Giai, Quận Ba Đình, Hà Nội</t>
  </si>
  <si>
    <t>Hồ Như Lâm</t>
  </si>
  <si>
    <t>Hội Yên, Hải Quế, Hải Lăng, Quảng Trị</t>
  </si>
  <si>
    <t>Võ Bá Tánh</t>
  </si>
  <si>
    <t>Nguyễn Thị Thanh</t>
  </si>
  <si>
    <t>Thanh Thủy, Huyện Lệ Thủy,</t>
  </si>
  <si>
    <t>Nguyễn Tịnh</t>
  </si>
  <si>
    <t>Quảng trị</t>
  </si>
  <si>
    <t>Thôn Phương Lang, Xã Hải Ba, Huyện Hải Lăng ,</t>
  </si>
  <si>
    <t>Công Ty TNHH Vận Tải Đỗ Sang</t>
  </si>
  <si>
    <t>Thôn Quyết Thượng, Xã Đông Sơn, Huyện Chương Mỹ, Hà Nội</t>
  </si>
  <si>
    <t>Công Ty TNHH Hương Liệu Thực Phẩm Việt Nam</t>
  </si>
  <si>
    <t>QL.10, X. Đông Sơn, H. Thủy Nguyên,Hải Phòng</t>
  </si>
  <si>
    <t>FSSC 22000</t>
  </si>
  <si>
    <t>Khương Trung Dũng</t>
  </si>
  <si>
    <t>Ngô Sỹ Liên, KP 3, Phường 2, TP. Đông Hà, Quảng Trị</t>
  </si>
  <si>
    <t>Nguyễn Hữu Tuấn</t>
  </si>
  <si>
    <t>150 Trần Hưng Đạo, Thị Xã Quảng Trị,</t>
  </si>
  <si>
    <t>Hoàng Đức Khởi</t>
  </si>
  <si>
    <t>Xã Triệu Trung, Huyện Triệu Phong, Quảng trị</t>
  </si>
  <si>
    <t>Công Ty TNHH Một Thành Viên Phương Lang</t>
  </si>
  <si>
    <t>Thôn Phương Lang, Xã Hải Ba, H. Hải Lăng, Quảng Trị</t>
  </si>
  <si>
    <t>Số 292 Lê Duẩn - Phường Đông Giang - Thành phố Đông Hà, Quảng Trị</t>
  </si>
  <si>
    <t>Lê Thị Hoàn</t>
  </si>
  <si>
    <t xml:space="preserve">Chợ Cưởi, Thanh Thủy, Lệ Thủy, Quảng Bình </t>
  </si>
  <si>
    <t xml:space="preserve">98 Phạm Nhữ Tăng, Phường Hòa Khê, Quận Thanh Khê, Đà Nẵng </t>
  </si>
  <si>
    <t>Nguyễn Hữu Nhị</t>
  </si>
  <si>
    <t>SERVICES</t>
  </si>
  <si>
    <t>Thôn Mỹ Phú, xã Phong Chương, huyện Phong Điền, Huế</t>
  </si>
  <si>
    <t>Số Nhà 107, Tổ 3 Khu Tân Bình, Thị Trấn Xuân Mai, Huyện Chương Mỹ, HN</t>
  </si>
  <si>
    <t>Re-Audit 2020</t>
  </si>
  <si>
    <t>Cửa Hàng Vương Gia</t>
  </si>
  <si>
    <t>Đội 2, Quý Dương, Tân Trường, Cẩm Giàng</t>
  </si>
  <si>
    <t>Lô Số 4, Cụm Công nghiệp Lai Xá, X. Kim Chung, H. Hoài Đức,Hn</t>
  </si>
  <si>
    <t>Công Ty TNHH Thương Mại Và Dịch Vụ Trường An</t>
  </si>
  <si>
    <t>Số 8/31, Tổ 13, Phường Long Biên, Quận Long Biên,Hà Nội</t>
  </si>
  <si>
    <t>Công Ty Cổ Phần Xây Dựng ATK</t>
  </si>
  <si>
    <t>Số 14, Liền Kề 2, Khu Đô Thị Xa La, Phường Phúc La, Quận Hà Đông,</t>
  </si>
  <si>
    <t>Thôn Mỹ Lương, Xã Mỹ Lương, Huyện Chương Mỹ,</t>
  </si>
  <si>
    <t>Hồ Văn Vinh</t>
  </si>
  <si>
    <t>Thị Trấn Phong Điền, H. Phong Điền,</t>
  </si>
  <si>
    <t>Công Ty TNHH MTV Quảng Cáo Và In Ấn Thành Danh</t>
  </si>
  <si>
    <t>Thôn Khánh Mỹ, Thị Trấn Phong Điền,Huyện Phong Điền</t>
  </si>
  <si>
    <t>Công Ty Cổ Phần ECOBA Việt Nam</t>
  </si>
  <si>
    <t>Tầng 5,Tòa Nhà UDIC COMPLEX,Đường Hoàng Đạo Thúy,Phường Trung Hòa,Q.Cầu Giấy,</t>
  </si>
  <si>
    <t>ISO 9001: 2015
ISO 14001: 2015</t>
  </si>
  <si>
    <t>Chi Nhánh Công Ty Cổ Phần Bao Bì Và In Nông Nghiệp Tại Hưng Yên</t>
  </si>
  <si>
    <t>Hưng yên</t>
  </si>
  <si>
    <t>Đường C1, Khu Công Nghiệp Phố Nối A, Xã Lạc Hồng, Huyện Văn Lâm, Hưng Yên</t>
  </si>
  <si>
    <t>ISO 9001: 2015
ISO 14001: 2016</t>
  </si>
  <si>
    <t>Thôn Cao Sơn, xã Tiên Phương, huyện Chương Mỹ,</t>
  </si>
  <si>
    <t>Công Ty TNHH Sản Xuất Và Thương Mại PLC</t>
  </si>
  <si>
    <t>181 Ngõ 192 Lê Trọng Tấn, Phường Định Công, Quận Hoàng Mai</t>
  </si>
  <si>
    <t>Công Ty CP XNK Kỹ Thuật Technimex</t>
  </si>
  <si>
    <t>Số 70 Trần Hưng Đạo, Phường Trần Hưng Đạo, Quận Hoàn Kiếm, Hà Nội</t>
  </si>
  <si>
    <t>CÔNG TY CỔ PHẦN TB ĐO LƯỜNG ĐÔNG ĐÔ</t>
  </si>
  <si>
    <t>Tương Mai Hoàng Mai</t>
  </si>
  <si>
    <t>ISO 9001: 2015</t>
  </si>
  <si>
    <t>Công Ty TNHH Kỹ Thuật Sơn Khoa</t>
  </si>
  <si>
    <t>80 Đường 3 Tháng 2, Phường Thuận Phước, Quận Hải Châu,</t>
  </si>
  <si>
    <t>Công Ty TNHH Cân Điện Tử Pro Việt Nam</t>
  </si>
  <si>
    <t>Số 35, Ngõ 9, Phố Minh Khai, Quận Hai Bà Trưng, Hà Nội</t>
  </si>
  <si>
    <t>Công Ty TNHH Thương Mại Yên Hưng</t>
  </si>
  <si>
    <t>Số 1, Ngõ 120 Đường Trường Chinh, Phường Phương Mai, Quận Đống Đa, Tp.Hà Nội, Việt Nam</t>
  </si>
  <si>
    <t>Công Ty Cổ Phần Kỹ Thuật Cơ Điện EMT</t>
  </si>
  <si>
    <t>Số 4, ngõ 89A phố Lý Nam Đế, phường Cửa Đông, Quận Hoàn Kiếm, TP Hà nội</t>
  </si>
  <si>
    <t>Công Ty TNHH Wall Tech Việt</t>
  </si>
  <si>
    <t>Thôn Đại Đồng, Xã Đại Mạch, Huyện Đông Anh, Hà Nội</t>
  </si>
  <si>
    <t>Công Ty Cổ Phần Fanco</t>
  </si>
  <si>
    <t>Số 19 đường Hàm Nghi, Phường Cầu Diễn, Quận Nam Từ Liêm, Thành Phố Hà Nội, Việt Nam</t>
  </si>
  <si>
    <t>Công Ty Cổ Phần Dầu Khí Quốc Tế PS</t>
  </si>
  <si>
    <t>Số 1, Ngõ 71 Láng Hạ, Phường Thành Công, Quận Ba Đình Hà Nội</t>
  </si>
  <si>
    <t>CTY CP Xây Dựng Và Đầu Tư Phát Triển TM Sơn Lâm</t>
  </si>
  <si>
    <t>Xóm Hạ, Thôn Phú Vinh, Xã Phú Nghĩa, Huyện Chương Mỹ, Thành Phố Hà Nội, Việt Nam</t>
  </si>
  <si>
    <t>CTY TNHH Tư Vấn Và Xây Dựng Tổng Hợp Thịnh Việt</t>
  </si>
  <si>
    <t>Thôn Sa Động, Xã Bảo Ninh, TP.Đồng Hới Quảng Bình</t>
  </si>
  <si>
    <t>K235/87 Tiểu La, P. Hòa Cường Bắc, Quận Hải Châu, Đà Nẵng</t>
  </si>
  <si>
    <t>CTY CP Tập Đoàn Công Nghiệp Việt</t>
  </si>
  <si>
    <t>Phòng 801, Tòa Nhà SilverWings, 137A Nguyễn Văn Cừ, Phường Ngọc Lâm, Quận Long Biên, TP. Hà Nội, Việt Nam</t>
  </si>
  <si>
    <t>CÔNG TY TNHH MỘT THÀNH VIÊN THƯƠNG MẠI ĐIỆN TỬ BƯU CHÍNH VIETTEL</t>
  </si>
  <si>
    <t>Tòa nhà N2, Km số 2, Đại Lộ Thăng Long,  Phường Mễ Trì, Quận Nam Từ Liêm, Thành Phố Hà Nội, Việt Nam</t>
  </si>
  <si>
    <t>supplier</t>
  </si>
  <si>
    <t>Công Ty TNHH Cơ Khí - Thương Mại Khải Minh</t>
  </si>
  <si>
    <t>Số 19, Tổ 7, Khu Ga, TT.Văn Điển, H.Thanh Trì,  TP. Hà Nội, Việt Nam</t>
  </si>
  <si>
    <t>Công Ty Cổ Phần Xây Dựng Và Đầu Tư Visicons</t>
  </si>
  <si>
    <t>Tầng 5 - Tòa Nhà 29T2, Phố Hoàng Đạo Thúy, Phường Trung Hòa, Quận Cầu Giấy, TP. Hà Nội, Việt Nam</t>
  </si>
  <si>
    <t>ISO 9001: 2015
ISO 45001: 2018</t>
  </si>
  <si>
    <t>Công Ty Cổ Phần Đại Hữu</t>
  </si>
  <si>
    <t>Xóm Đồng, Thôn Văn Điển, Tứ Hiệp, H.Thanh Trì, Hà Nội</t>
  </si>
  <si>
    <t>Thôn Thế Trụ, Xã Nghĩa Hương, Huyện Quốc Oai, Hà Nội</t>
  </si>
  <si>
    <t>Số 38 Ngõ 416, Tổ 42, P. Nhật Tân, Q. Tây Hồ, Hà Nội</t>
  </si>
  <si>
    <t>Tổng Công Ty Cổ Phần Đầu Tư Phát Triển NASOCO</t>
  </si>
  <si>
    <t>Số nhà 5, Tổ 15, Khu 2A, Phường Nông Trang, Thành phố Việt Trì, Tỉnh Phú Thọ, Việt Nam</t>
  </si>
  <si>
    <t>CÔNG TY CỔ PHẦN HTCOM</t>
  </si>
  <si>
    <t>Số 22-162/1 đường Khương Đình, Phường Hạ Đình, Quận Thanh Xuân, Thành phố Hà Nội, Việt Nam</t>
  </si>
  <si>
    <t>CÔNG TY CỔ PHẦN THƯƠNG MẠI VÀ DỊCH VỤ NGỌC HÀ</t>
  </si>
  <si>
    <t>B22-Lô 19, khu đô thị Định Công, đường Trần Điền, Phường Định Công, Quận Hoàng Mai, Hà Nội</t>
  </si>
  <si>
    <t>TỔNG CÔNG TY 319 BỘ QUỐC PHÒNG</t>
  </si>
  <si>
    <t>aD03-11 Đường Anh Đào, KĐT Vinhomes Riverside, P. Việt Hưng, Q. Long Biên, TP. Hà Nội, VN</t>
  </si>
  <si>
    <t>Công Ty Cổ Phần Giải Pháp TSA Việt Nam</t>
  </si>
  <si>
    <t>Số 2 ngõ 79 Thái Thịnh, Phường Thịnh Quan, Quận Đống Đa, Thành phố Hà Nội</t>
  </si>
  <si>
    <t>Ngã 5 đường Nguyễn Văn Cừ, phường Lê Hồng Phong, TP. Phủ Lý, tỉnh Hà Nam</t>
  </si>
  <si>
    <t>3 Years</t>
  </si>
  <si>
    <t>Lô G12 KQH Bắc Hương Sơ, P. Hương Sơ, TP. Huế, Tỉnh Thừa Thiên Huế, Việt Nam</t>
  </si>
  <si>
    <t>CTY TNHH MTV Xây Dựng Và TM Hav</t>
  </si>
  <si>
    <t>20 Dương Văn An, P. Xuân Phú, TP. Huế Thừa Thiên Huế</t>
  </si>
  <si>
    <t>Công Ty TNHH Quốc Lộc</t>
  </si>
  <si>
    <t>Chemical/lab</t>
  </si>
  <si>
    <t>860 Tôn Đản, Quận Cẩm Lệ,  Thành Phố Đà Nẵng</t>
  </si>
  <si>
    <t>Công ty Cổ Phần Cơ Khí Và Kỹ Thuật Điện Việt Long Sơn</t>
  </si>
  <si>
    <t>Maintenance</t>
  </si>
  <si>
    <t>125 Tố Hữu, Phường Hòa Cường Nam, Quận Hải Châu, Thành Phố Đà Nẵng (VP)
Lô B 17 KĐT Đảo Nổi, phường Khuê Trung, quận Cẩm Lệ, Đà Nẵng, Việt Nam (xưởng)</t>
  </si>
  <si>
    <t>Công Ty TNHH Thiết kế In Ấn Lê Vĩnh Hòa</t>
  </si>
  <si>
    <t>463 Núi Thành, P. Hòa Cường Nam, Q. Hải Châu, Tp. Đà Nẵng, Việt Nam
Xưởng: 31 Cẩm Nam 6, Phường Hòa Xuân, Quận Cẩm Lệ, TP Đà Nẵng.</t>
  </si>
  <si>
    <t>Số 131 Nguyễn Nhược Pháp, KĐT Phước Lý, P. Hòa Minh, Q. Liên Chiểu, TP. Đà Nẵng, Việt Nam</t>
  </si>
  <si>
    <t>Công Ty Cổ Phần Nội Thất Gia Lâm</t>
  </si>
  <si>
    <t>68 Lê Duẫn, P. 1, Thị Xã Quảng Trị, Tỉnh Quảng trị</t>
  </si>
  <si>
    <t>Công Ty TNHH Một Thành Viên Châu Mỹ Phát</t>
  </si>
  <si>
    <t>Số 28B đường Trần Hưng Đạo, Phường 3, Thị xã Quảng Trị, tỉnh Quảng Trị, Việt Nam</t>
  </si>
  <si>
    <t>Công ty TNHH T&amp;M Nguyễn Hoàng</t>
  </si>
  <si>
    <t>Thôn Tam Hữu, xã Triệu Trung, huyện Triệu Phong, tỉnh Quảng Trị</t>
  </si>
  <si>
    <t>Công Ty TNHH Trường An</t>
  </si>
  <si>
    <t>559B Lý Thường Kiệt, P.Bắc Lý, Đồng Hới Quảng Bình</t>
  </si>
  <si>
    <t>Công Ty TNHH Hương Thành</t>
  </si>
  <si>
    <t>Thôn Ngư Hòa, Ngư Thủy Bắc, Lệ Thủy Quảng Bình</t>
  </si>
  <si>
    <t>Công Ty TNHH Tổng Hợp Thông Đạt</t>
  </si>
  <si>
    <t>Tổ Dân Phố Diêm Bắc 1P. Đức Ninh Nông,TP Đồng Hới Tỉnh Quảng Bình</t>
  </si>
  <si>
    <t>Công Ty TNHH Hải Vân</t>
  </si>
  <si>
    <t>Thôn Giao Tế, xã Đức Ninh, Thành Phố Đồng Hới, tỉnh Quảng Bình, Việt Nam</t>
  </si>
  <si>
    <t>Công ty Cổ Phần Khí Công Nghiệp Nghệ An</t>
  </si>
  <si>
    <t>Nghệ An</t>
  </si>
  <si>
    <t>Số 16, Đường 01, KCN Vsip Nghệ An, X. Hưng Tây, H. Hưng Yên, T. Nghệ An</t>
  </si>
  <si>
    <t>ISO 13485: 2016</t>
  </si>
  <si>
    <t>Công Ty Cổ Phần Công Nghiệp CNV Miền Trung</t>
  </si>
  <si>
    <t>Tầng 3, Tòa nhà Savico, số 66 Võ Văn Tần, P.Chính Gián, Q. Thanh Khê, TP. Đà Nẵng, Việt Nam.</t>
  </si>
  <si>
    <t>Số 1C, Ngõ 22/8 Trung Kính, Phường Trung Hòa, Quận Cầu Giấy, Thành Phố Hà Nội, Việt Nam.</t>
  </si>
  <si>
    <t>Công Ty TNHH MTV Hóa Chất Và Môi Trường Nhật Anh</t>
  </si>
  <si>
    <t>Số 3 Kiệt 25 Ông Ích Khiêm, P. Thuận Hòa, TP Huê, T. Thừa Thiên Huế</t>
  </si>
  <si>
    <t>Số nhà 251 đường Âu Cơ, Phường Quảng An, Quận Tây Hồ, Thành phố Hà Nội, Việt Nam</t>
  </si>
  <si>
    <t>Công Ty TNHH XNK Vật Tư Khoa Học Quốc Tế</t>
  </si>
  <si>
    <t>Kho Điện tử, P. Tây Mỗ, Q. Nam Từ Liêm, Hà Nội
VP: BT1B- A312 khu đô thị Mễ Trì Thượng, P. Mễ Trì, Q. Nam Từ Liêm, Hà Nội</t>
  </si>
  <si>
    <t>Công Ty Cổ Phần Kỹ Thuật TST</t>
  </si>
  <si>
    <t>Tòa C14 Bắc Hà, Đ. Tố Hữu, P. Nhân Chính, Q. Nam Từ Liêm Hà Nội</t>
  </si>
  <si>
    <t>Công Ty Cổ Phần Nội Thất Và DV Phòng Thí Nghiệm Đông Dương</t>
  </si>
  <si>
    <t>VPGD: P407-408 Tòa nhà CC2A Bắc Linh Đàm, Đại Kim, Hoàng Mai, Hà Nội
Xưởng: Cụm CN Thanh Oai, xã Ứng Hòa, huyện Thanh Oai</t>
  </si>
  <si>
    <t>Ô 1 A, Lô 3, CCN Lai Xá, xã Kim Chung, huyện Hoài Đức, TP. Hà Nội, Việt Nam</t>
  </si>
  <si>
    <t>TT4-KD09.08, Khu Đô Thị Ecoriver Hải Dương, P. Hải Tân, TP. Hải Dương, T. Hải Dương, VN</t>
  </si>
  <si>
    <t xml:space="preserve">Công Ty Cổ Phần Vật Tư Thiết Bị Giang Sơn  </t>
  </si>
  <si>
    <t>Số 164, đường Nguyễn Thị Duệ, Phường Thanh Bình, Thành Phố Hải Dương, Tỉnh Hải Dương</t>
  </si>
  <si>
    <t>Công Ty Cổ Phần Đầu Tư Và Tư Vấn Việt Nhật</t>
  </si>
  <si>
    <t>Xưởng: 356 đường Giải Phóng, TP. Nam Định, T. Nam Định</t>
  </si>
  <si>
    <t>Công Ty TNHH Kỹ Thương Duy Hưng</t>
  </si>
  <si>
    <t>Văn phòng: Tầng 29, Tòa nhà Sông Đà, 110 Trần Phú, Mộ Lao, Hà Đông, Hà Nội
Kho: Tòa thư viện, trường đào tạo nhân lực viettinbank, KĐT Xuân Phương, Vân Canh, Hoài Đức, Hà Nội</t>
  </si>
  <si>
    <t>Công Ty Cổ Phần Công Nghiệp Lạnh Nam Phú Thái</t>
  </si>
  <si>
    <t>Số nhà 15-17, khu nhà liền kề 2, khu liền kề CT6 Xala, Hà Đông, Hà nội</t>
  </si>
  <si>
    <t>Công Ty TNHH Xây Dựng Và Trang Trí Nội Thất Việt Hải</t>
  </si>
  <si>
    <t>Số 245 Phố Nguyễn Lương Bằng, Khu 8 Phường Việt Hòa TP Hải Dương Tỉnh Hải Dương, Việt Nam</t>
  </si>
  <si>
    <t>Công Ty Cổ Phần Khoa Học Công Nghệ Bảo Tín</t>
  </si>
  <si>
    <t>Số 63 đường Cao Lỗ, xã Uy Nỗ huyện Đông Anh, Hà Nội</t>
  </si>
  <si>
    <t>CÔNG TY CỔ PHẦN ĐT&amp;TM THIẾT BỊ CƠ ĐIỆN BÌNH MINH</t>
  </si>
  <si>
    <t>Lô 18C, Khu Đồng Đỏ Ngọn, Quốc lộ 6, Thị trấn Xuân Mai, Huyện Chương Mỹ, Thành phố Hà Nội, Việt Nam</t>
  </si>
  <si>
    <t>Công Ty TNHH Thương Mại Và Gia Công Cơ Khí Vương Hiệp</t>
  </si>
  <si>
    <t>Thôn Quan Châm, Xã Phú Nghĩa, Huyện Chương Mỹ, Thành phố Hà Nội, Việt Nam</t>
  </si>
  <si>
    <t>Số 14 - C40 Khu C Khu đô thị Geleximco,  Đuờng Lê Trọng Tấn, P. Dương Nội, Q. Hà Đông</t>
  </si>
  <si>
    <t>Công Ty Cổ Phần In ĐTQ</t>
  </si>
  <si>
    <t>Số 231 Phố Nguyễn Văn Trỗi, P. Mộ Lao, Q. Hà Đông Thành Phố Hà Nội, Việt Nam</t>
  </si>
  <si>
    <t>Công ty trách nhiệm hữu hạn Quốc Tế Welltrix</t>
  </si>
  <si>
    <t>Số 154, đường Quang Trung, phường Quang Trung, quận Hà Đông, thành phố Hà Nội, Việt Nam</t>
  </si>
  <si>
    <t>Công Ty Cổ Phần Mediamart Việt Nam</t>
  </si>
  <si>
    <t>Số 29F Hai Bà Trưng, phường Tràng Tiền, quận Hoàn Kiếm, Thành phố Hà Nội</t>
  </si>
  <si>
    <t>Công Ty Cổ Phần Đầu Tư Và Phát Triển Thái Dương</t>
  </si>
  <si>
    <t>Khu CN Phố Nối A, Xã Lạc Đạo, Huyện VănLâm,Tỉnh Hưng Yên</t>
  </si>
  <si>
    <t>Công Ty Cổ Phần Công Nghệ Bao Bì Phương Bắc</t>
  </si>
  <si>
    <t>Số 84, Đường Phạm Ngũ Lão, Thôn Xuân Đào, Xã Xuân Dục, Thị Xã Mỹ Hào, Tỉnh Hưng Yên</t>
  </si>
  <si>
    <t>ISO 22000:2015</t>
  </si>
  <si>
    <t>Công Ty TNHH Cơ Điện Tự Động Hóa Thái Hưng</t>
  </si>
  <si>
    <t xml:space="preserve">ĐƯờng Nguyễn Bình, P Nhân Hòa, Thị Xã Mỹ hào, Hưng Yên. </t>
  </si>
  <si>
    <t>Công Ty TNHH An Phú</t>
  </si>
  <si>
    <t>Đường Nguyễn Bình, Tổ dân phố Long Đằng, Phường Phùng Chí Kiên, Thị xã Mỹ Hào, Tỉnh Hưng Yên</t>
  </si>
  <si>
    <t>Số 12, đường 11, VSIP Bắc Ninh, xã Phù Chẩn, thị xã Từ Sơn, tỉnh Bắc Ninh, Việt Nam</t>
  </si>
  <si>
    <t>Công Ty Cổ Phần I.T.C Việt Nam</t>
  </si>
  <si>
    <t>Kho: Số 65, ngõ 124 Vĩnh Tuy, Phường Vĩnh Tuy, Hai Bà Trưng, Hà Nội
VP: Số 123 Nguyễn Khoái, Phường Bạch Đằng, Quận Hai Bà Trưng, Hà Nội</t>
  </si>
  <si>
    <t>Công Ty TNHH Thương Mại Và Dịch Vụ Kỹ Thuật Virgo</t>
  </si>
  <si>
    <t>O DV17; lô số 4; khu dat dich vu, P.Hoang Liet; Q.Hoang Mai; tp Ha Noi; Viet Nam</t>
  </si>
  <si>
    <t>Công Ty Cổ Phần Thiết Bị Điện Dân Chủ</t>
  </si>
  <si>
    <t>Xưởng: Nằm trong Công ty TNHH nông nghiệp nhiệt đới, KCN Tân Quang, Thôn Ngọc Loan, xã Tân Quang, huyện Văn Lâm, tỉnh Hưng Yên</t>
  </si>
  <si>
    <t>Công ty TNHH MTV sản xuất cơ khí Cao Thắng</t>
  </si>
  <si>
    <t>Số 139 phố Bình Minh- phường Phạm Ngũ Lão- TP Hải Dương
Xưởng : 251 Đường Gom, An Định, Tp. Hải Dương</t>
  </si>
  <si>
    <t>Khu Công Nghiệp Phố Nối A, Xã Giai Phạm, huyện Yên Mỹ, tỉnh Hưng Yên</t>
  </si>
  <si>
    <t>ISO 9001: 20115, ISO 14001: 2015
ISO 50001: 2011, SA 8000: 2014.</t>
  </si>
  <si>
    <t>Công Ty TNHH Thương Mại Hoàng Lê</t>
  </si>
  <si>
    <t>Vp:Số 21/8 Phố Lý Nam Đế, P. Hàng Mã, Q.  Hoàn Kiếm , TP Hà Nội, Việt Nam
Kho: Km10 Dương xá Gia Lâm</t>
  </si>
  <si>
    <t>488 Hà Huy Tập, Yên Viên, Gia Lâm, Hà Nội</t>
  </si>
  <si>
    <t>Ngõ 464 Phúc Diễm, Xuân Phương, Nam Từ Liêm, Hà Nội</t>
  </si>
  <si>
    <t>Số 11,  Ngõ 68, Đường Trung Kính, Quận Cầu Giấy, Thành phố Hà Nội</t>
  </si>
  <si>
    <t>Số 48, Ngõ 245, Phố Mai Dịch, Phường Mai Dịch, Quận Cầu Giấy, Thành Phố Hà Nội</t>
  </si>
  <si>
    <t>Tổ 07, Khu Tân Bình, TT Xuân Mai, H Chương Mỹ, Hà Nội</t>
  </si>
  <si>
    <t xml:space="preserve">Số 32, Lô N4D, Khu tái định cư X2A, Phường  Yên Sở, Hoàng  Mai, Thành Phố Hà Nội, Việt Nam </t>
  </si>
  <si>
    <t>Công Ty TNHH Đầu Tư Và Thương Mại Đại Vũ I.C.T</t>
  </si>
  <si>
    <t>kho : Thôn Vân La - xã Vân Tảo - huyện Thường Tín Hà Nội
vp: Trụ sở văn Phòng : số 81 phố Trần Hòa - Định Công - Hoàng Mai - Hà Nội</t>
  </si>
  <si>
    <t>CTY CP Cơ Điện Và Xây Dựng Hà Nội</t>
  </si>
  <si>
    <t>Lô 487, DV10, Hàng Bè, P. Kiến Hưng, Hà Đông, Hà Nội</t>
  </si>
  <si>
    <t>Công Ty Cổ Phần Bao Bì PP</t>
  </si>
  <si>
    <t>Số 97 Đinh Nhu - Phường Niệm Nghĩa - Quận Lê Chân - TP Hải Phòng</t>
  </si>
  <si>
    <t>ISO 22000: 2018</t>
  </si>
  <si>
    <t>Số 22 Phố Hạ Đình, Phường Thanh Xuân Trung, Quận Thanh Xuân, Thành phố Hà Nội, Việt Nam</t>
  </si>
  <si>
    <t>Công ty cổ phần xuất nhập khẩu dược mặt trời</t>
  </si>
  <si>
    <t>Agro Vet Drug</t>
  </si>
  <si>
    <t>Thôn Hành Lạc, Thị Trấn Như Quỳnh, H.Văn Lâm, Hưng Yên</t>
  </si>
  <si>
    <t>Cty TNHH TM Hoàng Lâm Việt Nam</t>
  </si>
  <si>
    <t>Thôn 3, Vạn Phúc, Huyện Thanh Trì, Thành phố Hà Nội, Việt Nam</t>
  </si>
  <si>
    <t>Công Ty Cổ Phần Dịch Vụ Kỹ Thuật Bảo An</t>
  </si>
  <si>
    <t>Số 3A Phố Lý Tự Trọng, Phường Minh Khai,Quận Hồng Bàng,Thành Phố Hải Phòng, Việt Nam</t>
  </si>
  <si>
    <t>Công Ty TNHH Thuốc Thú Y TW1 (VINAVETCO)</t>
  </si>
  <si>
    <t>Thôn Bình Lương, Xã Tân Quang, Huyện Văn Lâm, Tỉnh Hưng Yên, Việt Nam</t>
  </si>
  <si>
    <t>Công Ty Cổ Phần Kinh Doanh Thuốc Thú Y Amavet</t>
  </si>
  <si>
    <t>AD03-11 Đường Anh Đào, KĐT Vinhomes Riverside, P. Việt Hưng, Q. Long Biên, TP. Hà Nội, VN
Lô CN 06-8, KCN Ninh Hiệp - Gia Lâm - Hà Nội</t>
  </si>
  <si>
    <t>Số 6/123 Lãng Yên, phường Thanh Lương, quận Hai Bà Trưng, thành phố Hà Nội, Việt Nam</t>
  </si>
  <si>
    <t>Công Ty Cổ Phần Apharma</t>
  </si>
  <si>
    <t>Quốc Lộ 5A, thôn Ngọc Lịch, xã Trưng Trắc, huyện Văn Lâm, tỉnh Hưng Yên, Việt Nam</t>
  </si>
  <si>
    <t>Công Ty TNHH Dệt May Minh anh</t>
  </si>
  <si>
    <t>Xóm 11 Hải Toàn , Hải Hậu , Nam Định</t>
  </si>
  <si>
    <t>Số Nhà 107, Tổ 3 Khu Tân Bình, Thị Trấn Xuân Mai, Huyện Chương Mỹ,	Hà Nội</t>
  </si>
  <si>
    <t>fuel</t>
  </si>
  <si>
    <t>Đội 16, Thôn Đông Tiến, Xã Tân Tiến, Huyện Chương Mỹ, TP Hà Nội</t>
  </si>
  <si>
    <t>Nhà L1, Khách sạn La Thành, 218 phố Đội Cấn, P. Liêu Giai, Q. ba Đình, Tp Hà Nội</t>
  </si>
  <si>
    <t>Cụm CN Lai Xá Hoài Đức, Hà Nội</t>
  </si>
  <si>
    <t>Thôn Tống Xã, Xã Yên Xá, Huyện Ý Yên, Tỉnh Nam Định, Việt Nam</t>
  </si>
  <si>
    <t>Công Ty Cổ Phần Công Nghệ QCM</t>
  </si>
  <si>
    <t>Lô A 4-1, Đường Số 2, Khu Công Nghệ Cao, Xã Hòa Liên, Huyện Hòa Vang, Thành Phố Đà Nẵng, Việt Nam</t>
  </si>
  <si>
    <t>Công Ty TNHH Thiết Bị Và Hóa Chất Công Nghiệp Trường Thi</t>
  </si>
  <si>
    <t>02/11 QUẢNG TẾ, PHƯỜNG THỦY XUÂN, TP HUẾ, TỈNH TT HUẾ, VIỆT NAM</t>
  </si>
  <si>
    <t>Công Ty TNHH  MTV QT Tịnh Nguyễn</t>
  </si>
  <si>
    <t>Thôn Phương Hải-Xã Hải Ba-Huyện Hải Lăng-Tỉnh Quảng Trị</t>
  </si>
  <si>
    <t>Công ty TNHH Thương mại Dịch vụ Tổng hợp Đức Đạt</t>
  </si>
  <si>
    <t>Thôn 2 Thanh Mỵ , Thanh Thuỷ, Lệ Thuỷ, Quảng Bình</t>
  </si>
  <si>
    <t>Chợ Mai, Xã Hưng Thủy, Huyện Lệ Thủy,Tỉnh Quảng Bình, Việt Nam</t>
  </si>
  <si>
    <t>Công ty TNHH XDTH Tấn Thịnh</t>
  </si>
  <si>
    <t>Thôn Hòa Bình, xã Quảng Hưng, huyện Quảng Trạch, tỉnh Quảng Bình</t>
  </si>
  <si>
    <t>Công Ty TNHH MTV Dịch Vụ Và Công Nghê Nuôi Trồng Thủy Sản</t>
  </si>
  <si>
    <t>KCN Nam Cấm Nghi Lộc Nghệ An</t>
  </si>
  <si>
    <t>Khu 14, Xã Đồng Lương, Huyện Cẩm Khuê, Tỉnh Phú Thọ</t>
  </si>
  <si>
    <t>Lô C2-2, Đường N2, KCN Đại Đồng- Hoàn Sơn, X. Hoàn Sơn, H. Tiên Du, Bắc Ninh</t>
  </si>
  <si>
    <t>Thôn Quyết Thượng, xã Đông Sơn, Huyện Chương Mỹ, TP Hà Nội, Việt Nam</t>
  </si>
  <si>
    <t>KĐT The Spark Phường Yên Nghĩa, Q. Hà Đông, Hà Nội</t>
  </si>
  <si>
    <t>Thôn Nghĩa Lộ, Xã Chỉ Đạo, Huyện Văn Lâm, Tỉnh Hưng Yên, Việt Nam</t>
  </si>
  <si>
    <t>Số 85, phố Đức Giang, phường Đức Giang, quận Long Biên, thành phố Hà Nội, Việt Nam
Factory:  Đường 196, Thôn Hoàng Nha, Xã Minh Hải, Huyện Văn Lâm, Tỉnh Hưng Yên</t>
  </si>
  <si>
    <t>CTY TNHH Công Nghệ Thuận Phát Thái Nguyên</t>
  </si>
  <si>
    <t>Thái Nguyên</t>
  </si>
  <si>
    <t>Tầng 1, SN 1006, đường Dương Tự Minh, Tổ 5, Phường Quang Vinh, TP Thái Nguyên, tỉnh Thái Nguyên</t>
  </si>
  <si>
    <t>P302, Tầng 3, Tòa nhà rainbow Văn Quán, Đường 19-05, P. Phúc La, Q. Hà Đông, Hà Nội</t>
  </si>
  <si>
    <t>193 Ngõ 192 Lê Trọng Tấn, Phường Định Công, Quận Hoàng Mai Hà Nội</t>
  </si>
  <si>
    <t>14BT5, KĐT Cầu Bưu, Tân Triều, Thanh Trì, Hà Nội.</t>
  </si>
  <si>
    <t>Số Nhà 9 , Phố Vũ Thạnh, Phường Hải Tân, Thành Phố Hải Dương, Tỉnh Hải Dương
kho: hàng tại kho Viettel ngã 4 Ngô quyền Hải dương cạnh đường tầu đi vào</t>
  </si>
  <si>
    <t>Thôn Quý Dương, Xã Tân Trường, Huyện Cẩm Giàng, Tình Hải Dương</t>
  </si>
  <si>
    <t>222 hoàng văn thái khương mai thanh xuân hà nội</t>
  </si>
  <si>
    <t>số 26- Cụm Công Nghiệp Trường An, An khánh, Hoài Đức, Hà Nội</t>
  </si>
  <si>
    <t>Tầng 9 Khách Sạn Thể Thao, Số 15 Lê Văn Thiêm, Nhân Chính, Thanh Xuân, Thành phố Hà Nội, Việt Nam</t>
  </si>
  <si>
    <t>Kho: km1 - đường phan trọng tuệ, thanh trì, hà nội
Văn phòng:số 05-BT3, Trung Văn Vinaconex 3,đường Trung Văn, Nam Từ Liêm, Hà Nội</t>
  </si>
  <si>
    <t>Số nhà 36, ngách 241/61 Ngõ chợ Khâm Thiên,Phường Phương Liên,Quận Đống Đa, Thành Phố Hà Nội, Việt Nam</t>
  </si>
  <si>
    <t>Thôn Tiên Trượng, Xã Thủy Xuân Tiên, Huyện Chương Mỹ, thành phố Hà Nội</t>
  </si>
  <si>
    <t>70 Trần Hưng Đạo - Hoàn Kiếm Hà Nội</t>
  </si>
  <si>
    <t>Tầng 10, Toà Nhà licogi 13, Số 164,Khuất Duy Tiến, P.Nhân Chính, Q.Thanh Xuân Tp. Hà Nội</t>
  </si>
  <si>
    <t>Kho: KCN NGọc Hồi Thanh Trì Hà Nội
VP: BT 15BT2, Bán Đảo Linh Đàm, Hoàng Mai, Hà Nội</t>
  </si>
  <si>
    <t>Tầng 02, Toàn D, Việt Đức Complex, Ngõ 39 Lê Văn Lương, Q. Thanh Xuân, Hà Nội</t>
  </si>
  <si>
    <t>946 Bạch đằng, Hai Bà Trưng, Hà Nội</t>
  </si>
  <si>
    <t>Công ty Việt Đức</t>
  </si>
  <si>
    <t>Khu Hành Chính, Thị Trấn Lâm Thao, Huyện Lâm Thao, Phú Thọ</t>
  </si>
  <si>
    <t>Cụm công nghiệp Quất Động, xã Quất Động, huyện Thường Tín, TP Hà Nội</t>
  </si>
  <si>
    <t>CTY TNHH SX Và Xây Dựng Verix</t>
  </si>
  <si>
    <t>Đội 2, thôn Quý Dương, X. Tân Trường,H. Cẩm Giàng,T. Hải Dương, VN</t>
  </si>
  <si>
    <t>Công Ty TNHH Sơn Lâm Việt Nam</t>
  </si>
  <si>
    <t>Vĩnh Phúc</t>
  </si>
  <si>
    <t>Nguyễn Văn Cừ, Đồng Lập, Phúc Yên ,T.Vĩnh Phúc, VN</t>
  </si>
  <si>
    <t>Khu Công Nghiệp, Quất Động, Thường Tín, Hà Nội</t>
  </si>
  <si>
    <t>Công Ty Cổ Phần Bao Bì VLC</t>
  </si>
  <si>
    <t>Hải phòng</t>
  </si>
  <si>
    <t>Lô D1, KCN Tràng Duệ, X. Hồng Phong,H. An Dương,TP. Hải Phòng, VN</t>
  </si>
  <si>
    <t>ISO 9001: 2015
 ISO 14001: 2016</t>
  </si>
  <si>
    <t>2000031670</t>
  </si>
  <si>
    <t>CTY TNHH Thiết Bị Công Nghiệp Tiến Dũng</t>
  </si>
  <si>
    <t>Số 185 đường 5 mới, P. Hùng Vương, Q. Hồng Bàng, TP. Hải Phòng, Việt Nam</t>
  </si>
  <si>
    <t>Công Ty Cổ Phần Thiết Kế Và Xây Dựng Điện Hà Nội I</t>
  </si>
  <si>
    <t>Phòng 4B1 tòa nhà CT4, KĐT mới Văn Khê, P. La Khê, Q. Hà Đông, TP. Hà Nội</t>
  </si>
  <si>
    <t>CTY CP Thuốc Thú Y Trung Ương Vetvaco</t>
  </si>
  <si>
    <t>Km18, Quốc Lộ 32, Xã Đức Thượng, H.Hoài Đức Tp.Hà Nội</t>
  </si>
  <si>
    <t>ISO 9001: 2015
ISO 14001:2015</t>
  </si>
  <si>
    <t>Quảng Ngãi</t>
  </si>
  <si>
    <t>466 Lê Lợi, Tổ 3, P. Nghĩa Lộ,TP. Quảng Ngãi,T. Quảng Ngãi, VN
Xưởng : Đường N6, Khu ĐT Ngọc Bảo Viên . Tp. Quang Ngãi, T. Quảng Ngãi, VN</t>
  </si>
  <si>
    <t>ISO 9001: 2015
ISO 14001: 2015
ISO 45001: 2018</t>
  </si>
  <si>
    <t>532 Cách Mạng Tháng Tám, P.Hoà Thọ Đông, Q.Cẩm Lệ, TP.Đà Nẵng, Việt Nam</t>
  </si>
  <si>
    <t>CTY TNHH MTV Thiên Kỳ Tâm</t>
  </si>
  <si>
    <t>28 Hồ Biểu Chánh, Phường Hòa Cường Nam,Quận Hải Châu,TP. Đà Nẵng, Việt Nam</t>
  </si>
  <si>
    <t>CTY TNHH MTV Kỹ Thuật Hoàng Đức</t>
  </si>
  <si>
    <t>Thôn Xuân Tam Mỹ, X. Triệu Trung,H. Triệu Phong,T. Quảng Trị</t>
  </si>
  <si>
    <t>CTY TNHH MTV Tiến Phát QT</t>
  </si>
  <si>
    <t>Khu Đô Thị Võ Thị Sáu, KP. 4,P. 3, TX. Quảng Trị,T. Quảng Trị</t>
  </si>
  <si>
    <t>Mỏ đá khe cuồi, X. Quảng Đông, H. Quảng Trạch, T. Quảng Bình, Việt Nam.</t>
  </si>
  <si>
    <t>Xưởng: Ngõ 115 Định Công, Hoàng Mai, Hà Nội</t>
  </si>
  <si>
    <t>Số 5 đường 3 KCN Đô Thị Và Dịch Vụ VSIP Bắc Ninh, P. Phù Chẩn, TP.Từ Sơn,T. Bắc Ninh, VN</t>
  </si>
  <si>
    <t>HACCP</t>
  </si>
  <si>
    <t>CTY TNHH Vật Tư Công Nghệ Phẩm TTN</t>
  </si>
  <si>
    <t>Lô CN4, KCN Yên Mỹ, Xã Tân Lập, H. Yên Mỹ, T. Hưng Yên</t>
  </si>
  <si>
    <t>Khu CN Đồng Văn 1,Phường Bạch Thượng, Thị Xã Duy Tiên,Tỉnh Hà Nam, VN</t>
  </si>
  <si>
    <t>VP: Tầng 3, tòa nhà Hoa Mai, số 262 Ngô Quyền, Phường Tân Bình, Thành phố Hải Dương, Tỉnh Hải Dương, VN
Kho: Xóm 9 xã Ứng Hòe, h. Ninh Giang, Hải Dương.</t>
  </si>
  <si>
    <t>ISO 9001: 2015
ISO 14001: 2015
ISO 50001: 2011</t>
  </si>
  <si>
    <t>2000016580</t>
  </si>
  <si>
    <t>Số 21 B, Ngõ 64 Kim Giang, P. Kim Giang, Q. Thanh Xuân Tp. Hà Nội</t>
  </si>
  <si>
    <t>CTY CP Công Nghiệp Dentachi VN</t>
  </si>
  <si>
    <t>P1504, CT7A, Chung cư The Spark, P. Dương Nội, Q. Hà Đông, HN</t>
  </si>
  <si>
    <t xml:space="preserve">Thôn đồng trữ, xã phú nghĩa, huyện Chương Mỹ thành phố Hà Nội </t>
  </si>
  <si>
    <t>Công Ty TNHH Fobitech Việt Nam</t>
  </si>
  <si>
    <t>Kho : 98 Nguyễn Văn Giáp, P. Cầu Diễn, Q. Nam Từ Liêm, Tp. Hà Nội</t>
  </si>
  <si>
    <t>Lô CN5, KCN Thạch Thất – Quốc Oai, X. Phùng Xá, Thạch Thất, Hà Nội.</t>
  </si>
  <si>
    <t>Hợp Tác Xã Rau Quả Sạch Chúc Sơn</t>
  </si>
  <si>
    <t>Nhà sơ chế, thôn Giáp Ngọ -TT.Chúc Sơn -H. Chương Mỹ -Hà Nội</t>
  </si>
  <si>
    <t>2000012072</t>
  </si>
  <si>
    <t>Công Ty Cổ Phần Hóa Dược Việt Nam</t>
  </si>
  <si>
    <t>quầy 340 trung tâm thuốc Hapulico, số 85 Vũ Trọng Phụng - Thanh Xuân - Hà nội</t>
  </si>
  <si>
    <t>CTY CP Đầu Tư Và Xây Dựng Công Nghiệp Hà Nội</t>
  </si>
  <si>
    <t>272/6 tổ 7 Thị Trấn Xuân Trường, Nam Định</t>
  </si>
  <si>
    <t>ISO 9001:2015
ISO 14001:2015
FSC</t>
  </si>
  <si>
    <t>Tổ 06, Khu Chiến Thắng, Thị Trấn Xuân Mai, Huyện Chương Mỹ, TP. Hà Nội, Việt Nam.</t>
  </si>
  <si>
    <t>Số nhà 33, Ngõ 354, Tổ 38, Phố Bắc Cầu, Phường Ngọc Lâm, Quận Long Biên, Tp. Hà Nội</t>
  </si>
  <si>
    <t>toà 21b7,grenn stars 233 phạm văn đồng, cổ nhuế 1, bắc từ liêm hà nội</t>
  </si>
  <si>
    <t>Số 7 Ngách 72/123 ,Phố Quan Nhân, P.Trung Hòa, Q.Cầu Giấy, TP. Hà Nội, Việt Nam
xưởng: KCN Thanh Oai, H. Thanh Oai, Hà Nội</t>
  </si>
  <si>
    <t xml:space="preserve">Số 17 ngõ 212 đường Phú Diễn, phường Phú Diễn, quận Bắc Từ Liêm, thành phố Hà Nội </t>
  </si>
  <si>
    <t>Khu đấu giá X1, Đông La, Hoài Đức, Hà Nội.</t>
  </si>
  <si>
    <t>CTY TNHH MTV Thiết Bị BHLĐ Và PCCC Anh Tuấn</t>
  </si>
  <si>
    <t>Kho: Khu 7, P. Việt Hòa, TP. Hải Dương, T. Hải Dương, Việt Nam
VP: Số 1A5 Đường Vũ Hựu, P. Thanh Bình, TP. Hải Dương, T. Hải Dương, Việt Nam</t>
  </si>
  <si>
    <t>Yên Phú, Giai Phạm, Yên Mỹ, Hưng Yên</t>
  </si>
  <si>
    <t>Thôn 2, Thanh Mỹ, Thanh Thủy,H. Lệ Thủy, Quảng Bình</t>
  </si>
  <si>
    <t>CTY TNHH MTV Tin Học Ngọc Vinh</t>
  </si>
  <si>
    <t>Thôn Bồ Điền, Xã Phong An, Huyện Phong Điền, Tỉnh Thừa Thiên Huế, VN
147 Phò Trạch, TT Phong Điền, TT Huế</t>
  </si>
  <si>
    <t>Công Ty TNHH Oxy Tứ Hạ</t>
  </si>
  <si>
    <t>Số 07, Thống Nhất, Phường Tứ Hạ,Thị Xã Hương Trà,Tỉnh Thừa Thiên Huế</t>
  </si>
  <si>
    <t>CTY TNHH Quảng Cáo Và Nội Thất Duy Nguyễn</t>
  </si>
  <si>
    <t>02 Cẩm Bắc 6, Phường Hòa Thọ Đông,Quận Cẩm Lệ,Thành Phố Đà Nẵng, Việt Nam</t>
  </si>
  <si>
    <t>2000022631</t>
  </si>
  <si>
    <t>80 Đường 3 Tháng 2, Phường Thuận Phước, Quận Hải Châu, Đà Nẵng</t>
  </si>
  <si>
    <t>Công Ty TNHH Một Thành Viên Cơ Điện Nguyễn Tuấn</t>
  </si>
  <si>
    <t>123 Lê Duẩn, Khu Phố 6, Phường An Đôn, Thị Xã Quảng Trị, Tỉnh Quảng Trị</t>
  </si>
  <si>
    <t>Công Ty TNHH MTV Nakami Quảng Trị</t>
  </si>
  <si>
    <t>Số Nhà 89, Đường 2/4, KP. 3, TT. Cam Lộ, H. Cam Lộ, T. Quảng Trị</t>
  </si>
  <si>
    <t>Công ty TNHH MTV Phát Triển Sơn Phương</t>
  </si>
  <si>
    <t>Số G43, KTĐC LK19a, LK19b, X7, Đ. Lê Trọng Tấn, P. Dương Nội, Q. Hà Đông, TP. Hà Nội, Việt Nam</t>
  </si>
  <si>
    <t>Công ty Cổ phần Avac Việt Nam</t>
  </si>
  <si>
    <t>Quốc Lộ 5A, Thôn Ngọc Lịch, Xã Trưng Trắc, Huyện Văn Lâm, Tỉnh Hưng Yên, Việt Nam</t>
  </si>
  <si>
    <t>ISO 9001: 2015
ISO 14001: 2015
GMP- WHO</t>
  </si>
  <si>
    <t>Thôn Nhân Mỹ, Xã Mỹ Đình, Từ Liêm, TP Hà Nội</t>
  </si>
  <si>
    <t>CTY CP SX Và TM Thuốc Thú Y CNC</t>
  </si>
  <si>
    <t>Lô Số 28 KCN Quang Minh, TT. Quang Minh, H.Mê Linh, TP.Hà Nội, VN</t>
  </si>
  <si>
    <t>ISO 9001: 2015
GMP- WHO</t>
  </si>
  <si>
    <t>Kho:  Lô CN9 cụm công nghiệp vừa và nhỏ Nguyên Khê, Nguyên Khê, Đông Anh, Hà Nội.
VP: P.1107 tòa nhà Thăng Long Tower số 98A, đường Ngụy Như Kon Tum, Phường Nhân Chính, Quận Thanh Xuân, Thành Phố Hà Nội.</t>
  </si>
  <si>
    <t>Số nhà 294, Phố Đông Ngãi Cầu, An Khánh, Hoài Đức, Hà Nội</t>
  </si>
  <si>
    <t>LP1-18 , VINHOMES Thăng Long ,Xã An Khánh , Hoài Đức, Hà Nội</t>
  </si>
  <si>
    <t>VP: c40-14 khu đô thị Geleximco, Phường Dương Nội, quận Hà Đông, Hà Nội
Kho: C61-48 khu đô thị Geleximco, Phường Dương Nội, quận Hà Đông, Hà Nội</t>
  </si>
  <si>
    <t>CTY CP Tập Đoàn Dầu Khí Và Công Nghiệp Phương Bắc</t>
  </si>
  <si>
    <t xml:space="preserve">Số 36, Phố Lãng Yên, P.Bạch Đằng,Q.Hai Bà Trưng,TP. Hà Nội, Việt Nam </t>
  </si>
  <si>
    <t>Tòa nhà Coma, số 125D MInh khai, hai bà trưng, Hà Nội</t>
  </si>
  <si>
    <t>Lô số 4, Cụm CN Lai Xá, Xã Kim Chung, Huyện Hoài Đức, Thành Phố Hà Nội, Việt Nam</t>
  </si>
  <si>
    <t>Số 103A, Ngõ 521, Trương Định, P. Tân mai, Q. Hoàng Mai, Hà Nội</t>
  </si>
  <si>
    <t>Thôn Yên Phú, Xã Nhật Tựu, Huyện Kim Bảng, Tỉnh Hà Nam</t>
  </si>
  <si>
    <t>Đường E3, Khu E, KCN Phố Nối A, Văn Lâm, Hưng Yên</t>
  </si>
  <si>
    <t>Công Ty Cổ Phần Ấn Hồng</t>
  </si>
  <si>
    <t>176 đường Vạn Phúc,P. Vạn Phúc, Q. Hà Đông,TP. Hà Nội, VN</t>
  </si>
  <si>
    <t>ISO 14001:2015
ISO 45001:2018</t>
  </si>
  <si>
    <t>Công Ty TNHH Thương Mại Gia Minh</t>
  </si>
  <si>
    <t xml:space="preserve">	Thôn Khoang Mái, Xã Đồng Trúc, Huyện Thạch Thất, Thành phố Hà Nội, Việt Nam</t>
  </si>
  <si>
    <t>2000031059</t>
  </si>
  <si>
    <t>Công Ty Cổ Phần TM Và Dịch Vụ GMAX</t>
  </si>
  <si>
    <t>377 Hùng Vương, P. Sở Dầu, Q. Hồng Bàng, Tp. Hải Phòng</t>
  </si>
  <si>
    <t>Số 9 Lô 5/6A Bạch Đằng, Phường Hạ Lý, Quận Hồng Bàng, Thành Phố Hải Phòng, Việt Nam</t>
  </si>
  <si>
    <t>VP: Xóm Cửa Phủ, Thôn An Bái, Xã Yên Phong, Huyện ý Yên, Tỉnh Nam Định, Việt Nam
xưởng: 'Đường Đinh Công Tráng, Thị trấn Kiện Khê, Thanh Liêm, Hà Nam</t>
  </si>
  <si>
    <t xml:space="preserve">Đường Nguyễn Bình, P Nhân Hòa, Thị Xã Mỹ hào, Hưng Yên. </t>
  </si>
  <si>
    <t>Công Ty TNHH Hợp Tiến</t>
  </si>
  <si>
    <t>Đường Lê Quang Đạo, Q. Nam Từ Liêm,TP. Hà Nội, VN</t>
  </si>
  <si>
    <t>CTY CP Đầu Tư Phát Triển Tân Đại Long</t>
  </si>
  <si>
    <t>Số Nhà 18, Ngõ 52/11/15 Tổ 4, Phố Gia Quất, Phường Thượng Thanh, Quận Long Biên, Thành phố Hà Nội, Việt Nam</t>
  </si>
  <si>
    <t>CTY CP Công Nghệ Và Đầu Tư BSC VN</t>
  </si>
  <si>
    <t>Ô 22 Lô B2 Khu ĐG QSD Đất Mỹ Đình, Ngõ 89 Lê Đức Thọ, Phường Mỹ Đình 2, Quận Nam Từ Liêm, TP Hà Nội, Việt Nam</t>
  </si>
  <si>
    <t>CTY TNHH Bao Bì Công Nghiệp Nam Anh</t>
  </si>
  <si>
    <t>Lô CN1 KCN vừa và nhỏ Nguyên Khê, X.Nguyên Khê, H.Đông Anh,TP.Hà Nội, VN</t>
  </si>
  <si>
    <t>ISO 9001: 2015(04.01.2024)
FSC( 13.06.2027).</t>
  </si>
  <si>
    <t>CTY TNHH TM Và Dịch Vụ Phan Vân</t>
  </si>
  <si>
    <t>Agro Vet drug</t>
  </si>
  <si>
    <t>Số 12 Khu Paris 11, Khu đô thị Vinhomes, Imperia, P. Thượng Lý, Q. Hồng Bàng,TP. Hải Phòng, VN</t>
  </si>
  <si>
    <t>CTY CP Tự Động Hóa Ametech</t>
  </si>
  <si>
    <t xml:space="preserve">Lô R6.15, khu liền kề Eden Rose, Thanh Liệt, Thanh Trì, Hà Nội </t>
  </si>
  <si>
    <t xml:space="preserve">CTY CP trừ mối khử trùng Hà Nội </t>
  </si>
  <si>
    <t>Số 78 Phố Cự Lộc, Thượng Đình, Thanh Xuân, Hà Nội</t>
  </si>
  <si>
    <t>Công Ty TNHH Dược Hanvet</t>
  </si>
  <si>
    <t>Nhà máy Dược Hanvet- Khu CN Phố Nối A, Mỹ Hào, Hưng Yên</t>
  </si>
  <si>
    <t>Nguyễn Hiếu Công</t>
  </si>
  <si>
    <t>Phú Đa, Hồng Khê, Bình Giang, Hải Dương</t>
  </si>
  <si>
    <t>Thôn Phù Đổng 3, X.Phù Đổng, H. Gia Lâm, TP.Hà Nội, VN</t>
  </si>
  <si>
    <t>Công Ty TNHH SX Và TM Vinh Hoa</t>
  </si>
  <si>
    <t>Cụm tiểu thủ công nghiệp Nam Châu Sơn, phường Châu Sơn, thành phố Phủ Lý, tỉnh Hà Nam</t>
  </si>
  <si>
    <t>CTY CP Công Nghệ Môi Trường Lộc Phát</t>
  </si>
  <si>
    <t>Cụm công nghiệp Hạp Lĩnh, P. Hạp Lĩnh, T. Bắc Ninh, VN</t>
  </si>
  <si>
    <t>CTY TNHH Thí Nghiệm Và Phân Tích Kỹ Thuật Điện</t>
  </si>
  <si>
    <t>Phòng thí nghiệm: Số 20 ngõ 222, đường 19/5, P. Văn Quán, Q. Hà Đông, TP. Hà Nội</t>
  </si>
  <si>
    <t>CTY TNHH Thiết Bị Và Công Nghệ Châu Giang</t>
  </si>
  <si>
    <t>Số 2, ngõ 1 phố Hà Kế Tấn,P. Phương Liệt, Q. Thanh Xuân,TP. Hà Nội, VN</t>
  </si>
  <si>
    <t>704, tòa nhà N06- B1, P. Dịch Vọng, Q. Cầu giấy, TP. Hà Nội.</t>
  </si>
  <si>
    <t>P401-403 khu văn phòng Trung tâm Chiếu Phim Quốc Gia, 87 Láng Hạ, P. Thành Công, Q. Ba Đình, TP. Hà Nội.</t>
  </si>
  <si>
    <t>Số 16, Đường 01, KCN Vsip Nghệ An, X. Hưng Tây, H. Hưng Nguyên, T. Nghệ An</t>
  </si>
  <si>
    <t>ISO 13485 : 2016</t>
  </si>
  <si>
    <t>206 Hùng Vương, P. An Cựu, TP. Huế</t>
  </si>
  <si>
    <t>Thôn Nhất Tây, Xã Điền Lộc, Huyện Phong Điền, Tỉnh Thừa Thiên Huế</t>
  </si>
  <si>
    <t>Công Ty TNHH MTV An Thịnh Phát</t>
  </si>
  <si>
    <t>Thôn Khánh Mỹ, TT. Phong Điền, H. Phong Điền, T. Thừa Thiên Huế , VN</t>
  </si>
  <si>
    <t>Số 3 Kiệt 25 Ông Ích Khiêm, P. Thuận Hòa, TP Huế, T. Thừa Thiên Huế</t>
  </si>
  <si>
    <t>CN Công Ty Cổ Phần Khử trùng Việt Nam tại TP Đà Nẵng</t>
  </si>
  <si>
    <t>VP: 292 đường 2/9, P. Hòa Cường Bắc, Q. Hải Châu, Đà Nẵng
Kho: 73 Nguyễn Văn Cừ, P. Hòa Hiệp Bắc, Q. Liên Chiểu, Đà Nẵng</t>
  </si>
  <si>
    <t>Công Ty Cổ Phần Công nghiệp CNV Miền Trung</t>
  </si>
  <si>
    <t>Số 34 Bế Văn Đàn, P. Chính Gián, Q. Thanh Khê, Đà Nẵng</t>
  </si>
  <si>
    <t>Lô H đường số 3 KCN Hòa Khánh, Q.Liên Chiểu, Đà Nẵng</t>
  </si>
  <si>
    <t>FSC</t>
  </si>
  <si>
    <t>Công Ty TNHH MTV Quảng cáo và dịch vụ Tiến Thịnh</t>
  </si>
  <si>
    <t>110 Lê Lợi, P. Chánh Lộ, TP. Quảng Ngãi, T. Quảng Ngãi</t>
  </si>
  <si>
    <t>ISO 9001: 2015, ISO 45001: 2018</t>
  </si>
  <si>
    <t>Công Ty TNHH MTV Nhật Tấn Phát</t>
  </si>
  <si>
    <t>Thôn Thuận Đầu, X. Hải An, H. Hải Lăng, T. Quảng Trị, VN</t>
  </si>
  <si>
    <t>Công Ty TNHH MTV Tôn Nhân Phát</t>
  </si>
  <si>
    <t>Thôn 1 Thanh Mỹ, X. Thanh Thủy, H. Lệ Thủy, T. Quảng Bình, VN</t>
  </si>
  <si>
    <t>Công Ty TNHH Quyết Tiến ETC</t>
  </si>
  <si>
    <t>VP: Tầng 3, tòa nhà Hoa Mai, số 262 Ngô Quyền, Phường Tân Bình, Thành phố Hải Dương, Tỉnh Hải Dương
Kho: Xóm 9 xã Ứng Hòe, h. Ninh Giang, Hải Dương.</t>
  </si>
  <si>
    <t>49.1/3/4 + 49.2/3/ Ngõ 109 Trường Chinh, P. Phương Liệt, Q. Thanh Xuân, TP. Hà Nội</t>
  </si>
  <si>
    <t>Kho: Tòa thư viện, trường đào tạo nhân lực Viettinbank, KĐT Xuân Phương, Vân Canh, Hoài Đức, Hà Nội</t>
  </si>
  <si>
    <t>Số 14, đường 11, KCN, đô thị và dịch vụ VSIP Bắc Ninh, P. Phù Chẩn, TP. Từ Sơn, Tỉnh Bắc Ninh</t>
  </si>
  <si>
    <t>ISO 9001:2015, ISO 14000:2015</t>
  </si>
  <si>
    <t>Số 07, đường số 09, KCN Đô thị và Dịch vụ VSIP Bắc Ninh, P. Phù Chẩn, TP. Từ Sơn, Tỉnh Bắc Ninh</t>
  </si>
  <si>
    <t>Km12, Đường Ngọc Hồi, Xã Vĩnh Quỳnh, Huyện Thanh Trì, TP. Hà Nội.</t>
  </si>
  <si>
    <t>Số 164, đường Nguyễn Thị Duệ, Phường Thanh Bình, TP. Hải Dương, Tỉnh Hải Dương</t>
  </si>
  <si>
    <t>Số 14 - C61 Khu C Khu đô thị Geleximco,  Đuờng Lê Trọng Tấn, P. Dương Nội, Q. Hà Đông</t>
  </si>
  <si>
    <t>TCVN5603:2023</t>
  </si>
  <si>
    <t>Công Ty TNHH Kỹ Thương Minh Long</t>
  </si>
  <si>
    <t>182A Lò Đúc, P. Đống Mác, quận Hai Bà Trưng, Hà Nội</t>
  </si>
  <si>
    <t>CÔNG TY TNHH HENGSAN VIỆT NAM</t>
  </si>
  <si>
    <t>KCN Tân Lập, Huyện Yên Mỹ, Tỉnh Hưng Yên</t>
  </si>
  <si>
    <t>Tầng 8,34T, Trung Hòa, Cầu Giấy, Hn</t>
  </si>
  <si>
    <t>Vp: Tòa 24T2 Hoàng Đạo Thúy - Trung Hòa - Cầu Giấy - Hà Nội
Xưởng: Lô 18, Đường N3, Cụm Công Nghiệp An Xá, Xã Lộc An, TP Nam Định</t>
  </si>
  <si>
    <t>Khu Công Nghiệp Phố Nối A, Xã Giai Phạm, Huyện Yên Mỹ, Tỉnh Hưng Yên, Việt Nam.</t>
  </si>
  <si>
    <t>BRC</t>
  </si>
  <si>
    <t>ISO 9001: 20115
 ISO 14001: 2015
ISO 50001: 2011
 SA 8000: 2014.</t>
  </si>
  <si>
    <t>ISO 9001: 20115
FSC</t>
  </si>
  <si>
    <t>Số 103 Vạn Phúc, Quận Hà Đông, Hà Nội.</t>
  </si>
  <si>
    <t>Công ty Cổ phần xuất nhập khẩu 3D Quốc Tế</t>
  </si>
  <si>
    <t>Số 16, ngõ 141/136, phố Giáp Nhị, Phường Thịnh Liệt, Quận Hoàng Mai, Thành phố Hà Nội</t>
  </si>
  <si>
    <t>ISO 22000: 2019</t>
  </si>
  <si>
    <t>CHI NHÁNH CÔNG TY TNHH ROHA DYECHEM VIỆT NAM TẠI HÀ NỘI</t>
  </si>
  <si>
    <t>399 Nguyễn Xiển, Phường Đại Kim, Quận Hoàng Mai, Thành phố Hà Nội, Việt Nam</t>
  </si>
  <si>
    <t>Công ty TNHH Đầu Tư Và Thương Mại SII</t>
  </si>
  <si>
    <t>Kho TONMAT, KCN Tiên Sơn, xã Hoàn Sơn, huyện Tiên Du, tỉnh Bắc Ninh, Việt Nam</t>
  </si>
  <si>
    <t xml:space="preserve">Số 2 - Lô 3A - Khu Đô Thị Trung Yên, P. Trung Hòa, Q. Cầu Giấy
15 phố Xuân Quỳnh, Yên Hòa, Cầu Giấy, Hà Nội </t>
  </si>
  <si>
    <t>Số Nhà 702, Tiểu Khu 8, Thị Trấn Lương Sơn, Huyện Lương Sơn, Hòa Bình</t>
  </si>
  <si>
    <t>Công Ty Cổ Phần Basis Việt Nam</t>
  </si>
  <si>
    <t>Lô LV1, Cụm công nghiệp làng nghề Triều Khúc, Xã Tân Triều, Huyện Thanh Trì, Thành phố Hà Nội</t>
  </si>
  <si>
    <t>Số 12, Ngách 1/38/16 phố Kẻ Tạnh, Phường Giang Biên, Quận Long Biên</t>
  </si>
  <si>
    <t>New</t>
  </si>
  <si>
    <t>Công Ty TNHH XNK BNG</t>
  </si>
  <si>
    <t>Số 12, Khu 14, Thị Trấn Lai Cách, Huyện Cẩm Giàng, Tỉnh Hải Dương</t>
  </si>
  <si>
    <t xml:space="preserve">Công Ty TNHH Cung ứng Công Nghiệp VSC </t>
  </si>
  <si>
    <t>Km8, Vân Canh, Hoài Đức, Hà Nội</t>
  </si>
  <si>
    <t>Công ty Cổ phần XNK Xây Dựng Hợp Đại Thành</t>
  </si>
  <si>
    <t>Số 5, KĐT Tổng cục 5 Tân Triều, Thanh Trì, Hà Nội</t>
  </si>
  <si>
    <t>Công ty Cổ Phần Công Nghiệp DENTACHI VN</t>
  </si>
  <si>
    <t>X.Trấn Dương, H.Vĩnh Bảo, TP.Hải Phòng</t>
  </si>
  <si>
    <t>Công ty Cổ phần nội thất DTF Việt Nam</t>
  </si>
  <si>
    <t>Tầng 1A, tòa Central Point, 219 Trung Kính, Cầu Giấy, Hà Nội</t>
  </si>
  <si>
    <t>Công ty cổ phần môi trường công nghệ mới</t>
  </si>
  <si>
    <t>Hoàng Hoa Thám, Ngọc Hà, Ba Đình, Hà Nội</t>
  </si>
  <si>
    <t>Công ty TNHH Kiến Minh Tâm</t>
  </si>
  <si>
    <t>Lê Thánh Tôn, P. Lê Thanh Nghị, Hải Dương</t>
  </si>
  <si>
    <t xml:space="preserve">Công ty TNHH VNINDUS </t>
  </si>
  <si>
    <t>Đường XP6, Xuân Phương, Từ Liêm, Hà Nội</t>
  </si>
  <si>
    <t>Công Ty Cổ phần Tập Đoàn Công Nghiệp Việt</t>
  </si>
  <si>
    <t>Đường E3, KCN Phố Nối A</t>
  </si>
  <si>
    <t xml:space="preserve">Công Ty TNHH DKT Việt Nam </t>
  </si>
  <si>
    <t>Đường Phương Canh, P. Xuân Phương, Nam Từ Liêm, Hà Nội</t>
  </si>
  <si>
    <t>Công Ty Cổ Phần Thiết Bị Tự Động Hóa Vitech</t>
  </si>
  <si>
    <t>Thanh Oai, Hà Nội</t>
  </si>
  <si>
    <t>CÔNG TY TNHH PACKING KAXO VIỆT NAM</t>
  </si>
  <si>
    <t xml:space="preserve"> KM 35, QL 38, Tráng Liệt, Huyện Bình Giang, Tỉnh Hải Dương</t>
  </si>
  <si>
    <t xml:space="preserve">Không Đạt
</t>
  </si>
  <si>
    <t>Công Ty Cổ Phần in ĐTQ</t>
  </si>
  <si>
    <t>280, đường Ỷ La, Dương Hội, Hà Đông, Hà Nội</t>
  </si>
  <si>
    <t>Không Đạt</t>
  </si>
  <si>
    <t>Công ty TNHH thiết bị và phụ kiện Huy Hoàng</t>
  </si>
  <si>
    <t>Ngõ 98, Lâm Tiên, tt Đông Anh, TP. Hà Nội</t>
  </si>
  <si>
    <t>Công ty Cổ Phần phát triển công nghiệp Vĩnh Phúc</t>
  </si>
  <si>
    <t>Thôn Gò Cao, xã Thiện Kế, Huyện Bình Xuyên, Tỉnh VĨnh PHúc</t>
  </si>
  <si>
    <t>Công ty Cổ phần xây dựng và đầu tư phát triển thương mại Sơn Lâm</t>
  </si>
  <si>
    <t>Đội 4, Thôn Sơn Đồng, Xã Tiên Phương, Huyện Chương Mỹ, Hà Nội</t>
  </si>
  <si>
    <t>Công ty Cổ Phần quốc tế B&amp;G Việt Nam</t>
  </si>
  <si>
    <t>Bắc Giang</t>
  </si>
  <si>
    <t>Lô CNSG 04-05, KCN Vân Trung, Vân Trung, Việt Yên, Bắc Giang</t>
  </si>
  <si>
    <t>Số 6, Phạm Văn Bạch, P Yên Hòa, Cầu Giấy, Hà Nội</t>
  </si>
  <si>
    <t xml:space="preserve">Công Ty TNHH DV&amp;TM Parafic </t>
  </si>
  <si>
    <t>Xã Hòa Thạch Huyện Quốc Oai, Hà Nội</t>
  </si>
  <si>
    <t>Công Ty TNHH Cây xanh Thứ Tho</t>
  </si>
  <si>
    <t>Xuân sơn, Hòa Sơn, Lương Sơn, Hòa Bình</t>
  </si>
  <si>
    <t>Công Ty CP Đầu Tư &amp; TM Thiết Bị Cơ Điện Bình Minh</t>
  </si>
  <si>
    <t>Lô 18 C, Khu Đồng cỏ ngọn , QL6, TT Xuân Mai Hà Nội</t>
  </si>
  <si>
    <t>Công Ty CP Nội Thất Phú Thịnh</t>
  </si>
  <si>
    <t>Thôn 8 xã Hát Môn, H Phúc Thọ, Tp. Hà Nội</t>
  </si>
  <si>
    <t>Công Ty TNHH Quốc Tế BIM Việt Nam</t>
  </si>
  <si>
    <t>Số 10 LK20C,KĐT Văn Phú, Phú La, Hà Đông, Hà Nội</t>
  </si>
  <si>
    <t>Công Ty TNHH Thương Mại cơ khí Văn Nhân</t>
  </si>
  <si>
    <t>Thôn Xuân Sen, X. Thủy Xuân Tiên, H. Chương Mỹ, Hà Nội</t>
  </si>
  <si>
    <t>Công ty TNHH HUNUFA</t>
  </si>
  <si>
    <t>178 Cổ Linh Long Biên Hà Nội</t>
  </si>
  <si>
    <t xml:space="preserve"> Công ty Cổ Phần Giấy và Bao Bì Phú An</t>
  </si>
  <si>
    <t>CCN Phong Khê, Phong Khê, Bắc Ninh</t>
  </si>
  <si>
    <t>Công Ty TNHH Đầu Tư Xây Dựng và Phát Triển Hà Thành</t>
  </si>
  <si>
    <t>CCN Nguyên Khê, Đông Anh, Hà Nội</t>
  </si>
  <si>
    <t xml:space="preserve">Công Ty Cổ Phần Công Nghệ Bao Bì Phương Bắc </t>
  </si>
  <si>
    <t>84 Phạm Ngũ Lão , Xuân Dục, Xuân Đào TT Mỹ Hào Hưng Yên</t>
  </si>
  <si>
    <t>Công ty TNHH Phát triển dịch vụ Lâm Nghiệp Việt</t>
  </si>
  <si>
    <t>Lô CN01, km 18, Đại lộ Thăng Long, KCN Thạch Thất, Quốc Oai, Hà Nội</t>
  </si>
  <si>
    <t>Công ty cổ phần dịch vụ thương mại tổng hợp Xuân Tuấn</t>
  </si>
  <si>
    <t>km27, Phú Nghĩa, Chương Mỹ, Hà Nội</t>
  </si>
  <si>
    <t>Công Ty Cổ Phần Thiết Bị Công Nghiệp Star Asian</t>
  </si>
  <si>
    <t>416 Trần Hưng Đạo, Phường Ngọc Châu, TP Hải Dương, Tỉnh Hải Dương</t>
  </si>
  <si>
    <t>Công Ty Cổ Phần Cơ Điện EMT</t>
  </si>
  <si>
    <t>Số 4, ngõ 89A, phố Lý Nam Đế, Phường Cửa Đông, Quận Hoàn Kiếm, Thành Phố Hà Nội, Việt Nam</t>
  </si>
  <si>
    <t>Công Ty TNHH CHEMLUBE</t>
  </si>
  <si>
    <t>Tổng kho Sông Hồng, km1 đường Phan Trọng Tuệ, Thanh Trì, Hà Nội</t>
  </si>
  <si>
    <t>Công ty Cổ Phần Đầu tư và phát triển công nghệ Sakan Việt Nam</t>
  </si>
  <si>
    <t>Lô D1-D4, CCN Đa Nghề Đông Thọ, Huyện Yên Phong, Tỉnh Bắc Ninh</t>
  </si>
  <si>
    <t>Công ty Cơ nhiệt điện lạnh Bách Khoa</t>
  </si>
  <si>
    <t>Tòa Polyco, Đ Trần Hữu Dực Q. Nam Từ Liêm Hà Nội</t>
  </si>
  <si>
    <t>Công ty TNHH Thương mại và xây dựng Minh Chung</t>
  </si>
  <si>
    <t>Tầng 13 N05 ngõ 49 Trần Đăng Ninh, Cầu Giấy, Hà Nội</t>
  </si>
  <si>
    <t>Công Ty Cổ Phần HTCom</t>
  </si>
  <si>
    <t>km10 nhà C3 trường ĐH Kiến TRúc Hà Nội, Q. Thanh Xuân, Hà Nội</t>
  </si>
  <si>
    <t>Công Ty TNHH Xây dựng mỹ thuật Đạt Vinh</t>
  </si>
  <si>
    <t>Thôn Cao sơn, x. Tiên Phương. H. Chương Mỹ, Hà Nội</t>
  </si>
  <si>
    <t>Công Ty TNHH MMI Việt Nam</t>
  </si>
  <si>
    <t>Lô A2-CN3 Cụm công nghiệp Từ Liêm</t>
  </si>
  <si>
    <t>Công Ty Cổ Phần Tư Vấn Thiết Kế Và Công Nghệ Lạc Việt</t>
  </si>
  <si>
    <t>Tòa nhà Licogi, 164 Khuất Duy Tiến, Quận Thanh Xuân, TP Hà Nội</t>
  </si>
  <si>
    <t>Công Ty TNHH Công Nghệ Và Sản Xuất Thiên Minh</t>
  </si>
  <si>
    <t>số 6, ngách 47, ngõ 93 Yên Sở, Phường Yên Sở, Quận Hoàng Mai, Thành phố Hà Nội</t>
  </si>
  <si>
    <t>Công Ty TNHH Tiếp Vận MERCURY Việt Nam</t>
  </si>
  <si>
    <t>1402 tầng 17 tòa nhà 17T9 Trung Hòa , Nhân Chính, Hà Nội</t>
  </si>
  <si>
    <t>Không đạt</t>
  </si>
  <si>
    <t>Công Ty Cổ Phần Xây Dựng Và Thương Mại Đông Sơn</t>
  </si>
  <si>
    <t>Tầng 3, CT4 - Tòa nhà Vimeco, Phố Nguyễn Chánh, Quận Cầu Giấy, Thành phố Hà Nội</t>
  </si>
  <si>
    <t>ISO 9001:2012</t>
  </si>
  <si>
    <t>Công ty TNHH CT và KD Máy công nông nghiệp Hà An</t>
  </si>
  <si>
    <t>CCN Quất Động, Thường Tín, Hà Nội</t>
  </si>
  <si>
    <t>Công ty cổ phần tư vấn đầu tư xây dựng chiếu sáng &amp; cơ điện công trình</t>
  </si>
  <si>
    <t>Số 1 Vũ Đức Thuận, P. Việt Hưng, Q. Long Biên, Tp. Hà Nội</t>
  </si>
  <si>
    <t>Nguyễn Quang Vinh</t>
  </si>
  <si>
    <t>Thôn gạch, thị trấn Lai Cách, huyện Cẩm Giàng, tỉnh Hải Dương</t>
  </si>
  <si>
    <t>Trực Tuyến</t>
  </si>
  <si>
    <t>Công ty TNHH TM Hoàng Long</t>
  </si>
  <si>
    <t>Số nhà 23, Tổ 4, khu Chiến Thắng, Thị Trấn Xuân Mai, Huyện Chương Mỹ, Thành phố Hà Nội</t>
  </si>
  <si>
    <t xml:space="preserve">Công Ty Cổ Phần Sản xuất và Thương mại nhựa An Phú </t>
  </si>
  <si>
    <t xml:space="preserve">KCN Phú Nghĩa, H. Phú Nghĩa, Hà Nội </t>
  </si>
  <si>
    <t>Trực Tuyến
(Không đạt)</t>
  </si>
  <si>
    <t xml:space="preserve">Công ty TNHH Thực Phẩm Bành Trình </t>
  </si>
  <si>
    <t>Thôn Đông Yên, Xã Đông Phong, Huyện Yên Phong, Tỉnh Bắc Ninh</t>
  </si>
  <si>
    <t>Công ty TNHH Nhất Gia</t>
  </si>
  <si>
    <t>Tp.HCM</t>
  </si>
  <si>
    <t>Văn phòng 02, Tầng 8 Tòa nhà Pearl Plaza, 561A Điện Biên Phủ , Phường 25, Quận Bình Thạnh, Thành phố Hồ Chí Minh, Việt Nam</t>
  </si>
  <si>
    <t>Công ty CP BGROUP</t>
  </si>
  <si>
    <t>Tầng 5, số 1, ngõ 7 Nguyên Hồng, P Thành Công, Q Ba Đình, Tp HN.</t>
  </si>
  <si>
    <t>Hợp tác xã Rau Sạch Chúc Sơn</t>
  </si>
  <si>
    <t>TT Chúc Sơn, Chương Mỹ, Hà Nội</t>
  </si>
  <si>
    <t>Công Ty TNHH Vina Foods Kyoei – Chi nhánh Đà Nẵng</t>
  </si>
  <si>
    <t>Lô U1, đường số 7B, KCN Hòa Khánh mở rộng, Phường Hoà Khánh Bắc, Quận Liên Chiểu, Thành phố Đà Nẵng, Việt Nam</t>
  </si>
  <si>
    <t>92,5%</t>
  </si>
  <si>
    <t>Số 5, đường 3, KCN đô thị và dịch vụ VSIP Bắc Ninh, P. Phù Chẩn, TX Từ Sơn, T Bắc Ninh, VN</t>
  </si>
  <si>
    <t>Thôn Đông Yên, X. Đông Phong, H. Yên Phong, T. Bắc Ninh</t>
  </si>
  <si>
    <t>Công Ty CP Đầu Tư Phát Triển Tân Đại Long</t>
  </si>
  <si>
    <t>Số Nhà 18, Ngõ 52/11/15 Tổ 4, Phố Gia Quất, Phường Thượng Thanh, Quận Long Bên, Thành phố Hà Nội, Việt Nam</t>
  </si>
  <si>
    <t>Không Đạt -&gt; Đạt
(Gửi khắc phục bổ sung kèm memo)</t>
  </si>
  <si>
    <t>Kho lạnh Đức Hưng 2, Lô CN2, Khu công nghiệp Phú Nghĩa, Xã Phú Nghĩa, Huyện Chương Mỹ, Thành phố Hà Nội</t>
  </si>
  <si>
    <t>Đạt</t>
  </si>
  <si>
    <t>Công Ty TNHH Vật Tư Công Nghệ Phẩm TTN</t>
  </si>
  <si>
    <t>Lô CN4, Khu công nghiệp Yên Mỹ, xã Tân Lập, Huyện Yên Mỹ, Tỉnh Hưng Yên</t>
  </si>
  <si>
    <t>Thôn Đông Yên, X. Đông Phong, H. Yên Phong, T. Bắc Ninh
kho : Lô CN7-10 và CN8-5, Khu Công Nghiệp Yên Phong (Mở rộng), Xã Yên Trung, Huyện Yên Phong, Tỉnh Bắc Ninh, Việt Nam</t>
  </si>
  <si>
    <t>Công Ty TNHH Hồng Dương</t>
  </si>
  <si>
    <t>Km 50 + 250, bắc quốc lộ 5A, Phường Việt Hòa, Tỉnh Hải Dương, Việt Nam</t>
  </si>
  <si>
    <t>CTY CP KHOÁNG SẢN, BAO BÌ &amp; NHỰA VINAVICO</t>
  </si>
  <si>
    <t>Yên Bái</t>
  </si>
  <si>
    <t>KCN phía Nam, X. Văn Phú, TP. Yên Bái, T. Yên Bái, VN</t>
  </si>
  <si>
    <t>Công TY TNHH Kokuyo Việt Nam</t>
  </si>
  <si>
    <t>Lô B2-B7, KCN Noruma-Hải Phòng, Xã An Hưng, Huyện An Dương, TP. Hải Phòng, Việt Nam</t>
  </si>
  <si>
    <t>CÔNG TY TNHH CHẾ TẠO MÁY FUJI</t>
  </si>
  <si>
    <t>Thôn Trụ, Thị Trấn Lai Cách, Huyện Cẩm Giàng, Tỉnh Hải Dương, Việt Nam</t>
  </si>
  <si>
    <t>Công Ty TNHH sx bao bì và dịch vụ Đại Lợi</t>
  </si>
  <si>
    <t>Lô số 6, KCN Quang Minh II, Xã Kim Hoa, Huyện Mê Linh, TP. Hà Nội, Việt Nam</t>
  </si>
  <si>
    <t>Lô CN1 KCN vừa và nhỏ Nguyên Khê, X.Nguyên Khê, H.Đông Anh, TP.Hà Nội, VN</t>
  </si>
  <si>
    <t>ISO 9001:2016
FSC</t>
  </si>
  <si>
    <t>Công Ty Cổ Phần Công Nghệ Môi Trường Lộc Phát</t>
  </si>
  <si>
    <t>KCN Khắc Niệm, Tỉnh Bắc Ninh, Thành Phố Bắc Ninh</t>
  </si>
  <si>
    <t>Công ty Cổ phần Công Nghệ Phẩm Ba Đình</t>
  </si>
  <si>
    <t>KCN vừa và nhỏ Nam Từ Liêm, Hà Nội</t>
  </si>
  <si>
    <t>Công ty cổ phần Hala Việt Nam</t>
  </si>
  <si>
    <t>Lô CN03, Cụm công nghiệp số 3, Xã Thuận Thành, Thị xã Phổ Yên, Tỉnh Thái Nguyên, Việt Nam</t>
  </si>
  <si>
    <t>đã bổ sung memo Đạt</t>
  </si>
  <si>
    <t>Công Ty TNHH Bao Bì ALC</t>
  </si>
  <si>
    <t>KCN Tân Quang, Văn Lâm, Tỉnh Hưng Yên, Việt Nam</t>
  </si>
  <si>
    <t>Công Ty Cổ Phần Chiến Hương</t>
  </si>
  <si>
    <t>Xóm 1-5 Mão Cầu, Xã Nguyên Lý, Huyện Lý Nhân, Tỉnh Hà Nam, Việt Nam</t>
  </si>
  <si>
    <t xml:space="preserve">Công Ty TNHH Trần Thành </t>
  </si>
  <si>
    <t>Lô Q, Đường TS6, KCN Tiên Sơn, Xã Hoàn Sơn, Tỉnh Bắc Ninh</t>
  </si>
  <si>
    <t>ISO 9001: 2015
ISO 14001: 2015
FSC</t>
  </si>
  <si>
    <t>Công Ty Cổ Phần Xuất Nhập Khẩu 3D Quốc Tế</t>
  </si>
  <si>
    <t>Công Ty Cổ Phần Bao Bì MITACO</t>
  </si>
  <si>
    <t>Khu Công Nghiệp Phố Nối B, Xã Liêu Xá, Huyện Yên Mỹ, Tỉnh Hưng Yên</t>
  </si>
  <si>
    <t>ISO 9001: 2015
FSC</t>
  </si>
  <si>
    <t xml:space="preserve"> Công ty Cổ phần BASIS Việt Nam </t>
  </si>
  <si>
    <t>Lô LV-1 Cụm CN tập trung làng nghề Tân Triều Thanh Trì, Hà Nội.</t>
  </si>
  <si>
    <t>Công Ty TNHH Bao Bì YFY Hà Nam</t>
  </si>
  <si>
    <t>Một phần lô J, KCN Đồng Văn II, P. Bach Thượng, TX. Duy Tiên, T. Hà Nam.</t>
  </si>
  <si>
    <t xml:space="preserve">ISO 9001: 2015, SA 8000: 2014, FSC
ISO 14001: 2015. </t>
  </si>
  <si>
    <t>Công ty TNHH Đầu tư TM Phát triển An Phúc</t>
  </si>
  <si>
    <t>Thôn Cao Sơn, Xã Tiên Phương, Huyện Chương Mỹ, Thành phố Hà Nội, Việt Nam</t>
  </si>
  <si>
    <t>Công Ty Cổ Phần Bao Bì Công Nghệ Thuận Phát</t>
  </si>
  <si>
    <t>Thôn Kim Tháp, Xã Nguyệt Đức, Thị xã Thuận Thành, Tỉnh Bắc Ninh, Việt Nam</t>
  </si>
  <si>
    <t>Kho lạnh Tonmat Cold Bắc Ninh, TS21- KCN Tiên Sơn, Hoàn Sơn, Tiên Du, Bắc Ninh</t>
  </si>
  <si>
    <t>Công ty TNHH Bao Bì ChengLoong Bắc Giang</t>
  </si>
  <si>
    <t>Lô H (H-01) KCN Quang Châu, Thị Trấn Nếnh, Việt Yên, Bắc Giang</t>
  </si>
  <si>
    <t>ISO 9001: 2015
FSC
ISO 14001: 2015</t>
  </si>
  <si>
    <t>CÔNG TY CỔ PHẦN TÀI PHÁT</t>
  </si>
  <si>
    <t>TT. Huế</t>
  </si>
  <si>
    <t>Lô K3, khu công nghiệp Phú Bài, Phường Phú Bài, Thị xã Hương Thuỷ, Tỉnh Thừa Thiên Huế, Việt Nam</t>
  </si>
  <si>
    <t>CHI NHÁNH CÔNG TY TNHH THƯƠNG MẠI VÀ SẢN XUẤT THỰC PHẨM NGỌC LONG</t>
  </si>
  <si>
    <t>Đội 6, Xã Nghĩa Hồng, Huyện Nghĩa Hưng, Tỉnh Nam Định, Việt Nam</t>
  </si>
  <si>
    <t>Công ty Cổ Phẩn Giải Pháp Đóng gói Hoàng Gia</t>
  </si>
  <si>
    <t>Số 44, ngõ 215 Định Công Thượng, Phường Định Công, Quận Hoàng Mai, Thành phố Hà Nội, Việt Nam</t>
  </si>
  <si>
    <t>Công ty TNHH SAM Việt Nam</t>
  </si>
  <si>
    <t>Tổ 1, phường Phúc Lợi, quận Long Biên, Hà Nội, Việt Nam</t>
  </si>
  <si>
    <t>CÔNG TY TNHH GIẤY BAO BÌ JIA YANG</t>
  </si>
  <si>
    <t>Lô CN3-P1, khu công nghiệp Yên Mỹ, xã Tân Lập, huyện Yên Mỹ, tỉnh Hưng Yên, Việt Nam</t>
  </si>
  <si>
    <t>CÔNG TY TNHH HANOPRO (VIỆT NAM)</t>
  </si>
  <si>
    <t>Lô B4/ Khu công nghiệp Hapro - Huyện Gia Lâm - Thành phố Hà Nội</t>
  </si>
  <si>
    <t>ISO 14001: 2015</t>
  </si>
  <si>
    <t>CÔNG TY CỔ PHẦN THƯƠNG MẠI VÀ ĐẦU TƯ NÔNG NGHIỆP THỦ ĐÔ</t>
  </si>
  <si>
    <t>Thửa đất số HT-21(13), tờ bản đồ số: 00, khu nhà ở Thương Mại Công ty TNHH Sông Công - Hà Đông, P. Hà Cầu, Q. Hà Đông, TP. Hà Nội, VN</t>
  </si>
  <si>
    <t>Không đạt -&gt; Đạt (khắc phục lên tới 90%)</t>
  </si>
  <si>
    <t>CÔNG TY TNHH AUROMEX VIỆT NAM</t>
  </si>
  <si>
    <t>Lô CN1-7, KCN Minh Quang, Bạch Sam, Mỹ Hào, Hưng yên</t>
  </si>
  <si>
    <t>Status</t>
  </si>
  <si>
    <t>Annual Suppliers</t>
  </si>
  <si>
    <t>6 Months</t>
  </si>
  <si>
    <t>Year</t>
  </si>
  <si>
    <t>Month</t>
  </si>
  <si>
    <t>Day</t>
  </si>
  <si>
    <t>Summary_code</t>
  </si>
  <si>
    <t>2</t>
  </si>
  <si>
    <t>25</t>
  </si>
  <si>
    <t>2020</t>
  </si>
  <si>
    <t>26</t>
  </si>
  <si>
    <t>27</t>
  </si>
  <si>
    <t>28</t>
  </si>
  <si>
    <t>6</t>
  </si>
  <si>
    <t>16</t>
  </si>
  <si>
    <t>17</t>
  </si>
  <si>
    <t>18</t>
  </si>
  <si>
    <t>19</t>
  </si>
  <si>
    <t>20</t>
  </si>
  <si>
    <t>22</t>
  </si>
  <si>
    <t>23</t>
  </si>
  <si>
    <t>24</t>
  </si>
  <si>
    <t>7</t>
  </si>
  <si>
    <t>29</t>
  </si>
  <si>
    <t>30</t>
  </si>
  <si>
    <t>31</t>
  </si>
  <si>
    <t>8</t>
  </si>
  <si>
    <t>3</t>
  </si>
  <si>
    <t>9</t>
  </si>
  <si>
    <t>15</t>
  </si>
  <si>
    <t>21</t>
  </si>
  <si>
    <t>11</t>
  </si>
  <si>
    <t>4</t>
  </si>
  <si>
    <t>5</t>
  </si>
  <si>
    <t>10</t>
  </si>
  <si>
    <t>12</t>
  </si>
  <si>
    <t>13</t>
  </si>
  <si>
    <t>14</t>
  </si>
  <si>
    <t>2021</t>
  </si>
  <si>
    <t>1</t>
  </si>
  <si>
    <t>2022</t>
  </si>
  <si>
    <t>2023</t>
  </si>
  <si>
    <t>2024</t>
  </si>
  <si>
    <t>Công Ty TNHH Trung Sơn</t>
  </si>
  <si>
    <t>SA (Foreign)</t>
  </si>
  <si>
    <t>S&amp;S film</t>
  </si>
  <si>
    <t>The Mighty Co., Ltd.</t>
  </si>
  <si>
    <t>Công ty TNHH Globo Foods</t>
  </si>
  <si>
    <t xml:space="preserve">Red Marinade Maruha Nichiro (Thailand) Co., Ltd </t>
  </si>
  <si>
    <t>Kerry Ingredients (Thailand) Ltd</t>
  </si>
  <si>
    <t>Thailand</t>
  </si>
  <si>
    <t>24 soi Lasalle 29, Sukhumvit Road, Bangna Tai, Bangna, Bangkok 10260</t>
  </si>
  <si>
    <t>Food Ingredient</t>
  </si>
  <si>
    <t>9 Soi Sangkomsongkraw 6, Ladprao, Bangkok 10230, Thailand</t>
  </si>
  <si>
    <t>Spain</t>
  </si>
  <si>
    <t>Navara, Spain</t>
  </si>
  <si>
    <t>482 Mu 1 Soi Pookmirt, Rod Rang Kao Rd., Samrongtai, Phrapradaeng, Samutprakarn 10130 Thailand</t>
  </si>
  <si>
    <t>No. 3 Rajanakarn Building 19Fl., South Sathorn Road, Yannawa, Sathorn, Bangkok 10120, Thailand</t>
  </si>
  <si>
    <t>618 Moo4, Bangpoo Industrial Estate, Tambol Preaksa, Muengsammuthprakarn, Samutprakarn, Thailand</t>
  </si>
  <si>
    <t>Trading which use warehouse</t>
  </si>
  <si>
    <t>Manufacture</t>
  </si>
  <si>
    <t>Trading which do not use warehouse</t>
  </si>
  <si>
    <t>VISCOFAN CZ,s.r.o.</t>
  </si>
  <si>
    <t>9 Soi Sangkomsongkraw 6, Ladprao,Bangkok 10230, Thailand.</t>
  </si>
  <si>
    <t>Czech Republic</t>
  </si>
  <si>
    <t>Prumyslova 377/2, Ceske Budejovice 37006, Czech Republic</t>
  </si>
  <si>
    <t>A</t>
  </si>
  <si>
    <t>B</t>
  </si>
  <si>
    <t>C</t>
  </si>
  <si>
    <t>Công Ty TNHH Dịch Vụ Bảo Vệ Đại Lộc</t>
  </si>
  <si>
    <t>Công Ty TNHH Dịch Vụ Bảo Vệ An Ninh Việt Nam</t>
  </si>
  <si>
    <t>Công ty TNHH Dịch vụ bảo vệ Hồng Dương Thịnh Vượng</t>
  </si>
  <si>
    <t>Công Ty Cổ Phần Dịch Vụ Bảo Vệ Nam Dương</t>
  </si>
  <si>
    <t>Công ty TNHH Trường Thọ QB</t>
  </si>
  <si>
    <t>Công ty Cổ phần Chứng nhận và Giám định Quốc tế ISOCERT</t>
  </si>
  <si>
    <t>Chi nhánh công ty cổ phần Khử Trùng Việt Nam tại Phía Bắc</t>
  </si>
  <si>
    <t>Công ty TNHH dịch cụ bảo vệ An ninh Nhất - Việt</t>
  </si>
  <si>
    <t>Công ty TNHH Dịch vụ bảo vệ Trường Anh</t>
  </si>
  <si>
    <t>Công ty Cổ phần Tư vấn Môi trường Xây dựng và Thương mại Green</t>
  </si>
  <si>
    <t>CÔNG TY CP DỊCH VỤ BẢO VỆ FIREWAL</t>
  </si>
  <si>
    <t>chi nhánh công ty TNHH DV bảo vệ tại Huế</t>
  </si>
  <si>
    <t>Công ty cổ phần Quản lý công trình đô thị Hải Dương</t>
  </si>
  <si>
    <t>Công ty CP Du Lịch Và TM Hồ Núi Cốc</t>
  </si>
  <si>
    <t>Công TNHH Phát Triển Minh Thành</t>
  </si>
  <si>
    <t>Công ty TNHH Dịch Vụ Bảo Vệ Hòa Bình</t>
  </si>
  <si>
    <t>Công ty TNHH Vệ sinh môi trường đô thị Lương Sơn</t>
  </si>
  <si>
    <t>Công ty TNHH tư vấn môi trường Hà Nội</t>
  </si>
  <si>
    <t>Công ty TNHH Bảo vệ Lâm sơn động</t>
  </si>
  <si>
    <t>Công ty TNHH một thành viên dịch vụ bảo vệ an ninh 365</t>
  </si>
  <si>
    <t>Công ty cổ phần dịch vụ bảo vệ Long Giang</t>
  </si>
  <si>
    <t>Công Ty TNHH MTV Đức Đoan</t>
  </si>
  <si>
    <t>Công ty TNHH dịch vụ bảo vệ Đức Minh</t>
  </si>
  <si>
    <t>Công ty TNHH Thương Mại Dược Phẩm Và Trang Thiết Bị Y Tế Tâm Đức</t>
  </si>
  <si>
    <t>CÔNG TY CỔ PHẦN ĐẦU TƯ VÀ PHÁT TRIỂN SUNNY VIỆT NAM</t>
  </si>
  <si>
    <t>CÔNG TY TNHH CÔNG NGHỆ THIẾT BỊ ĐIỆN GBN</t>
  </si>
  <si>
    <t>CÔNG TY TNHH KỸ THUẬT XÂY DỰNG VÀ CƠ ĐIỆN CÔNG TRÌNH ECMEC</t>
  </si>
  <si>
    <t>CÔNG TY CỔ PHẦN VẬT TƯ KHOA HỌC BIOMEDIC</t>
  </si>
  <si>
    <t>Công ty TNHH Giải pháp chất lượng VQB</t>
  </si>
  <si>
    <t>Trung Tâm Kiểm Nghiệm Và Chứng Nhận TQC CGLOBAL</t>
  </si>
  <si>
    <t>Công Ty TNHH PT KH Sự Sống</t>
  </si>
  <si>
    <t>CN CÔNG TY TNHH MTV DỊCH VỤ LỮ HÀNH SAIGONTOURIST TẠI HÀ NỘI</t>
  </si>
  <si>
    <t>Công ty Cổ Phần Dịch Vụ Bảo Vệ Chuyên Nghiệp Hoàng Ngọc</t>
  </si>
  <si>
    <t>Công ty cổ phần Hương Nguyên Thịnh</t>
  </si>
  <si>
    <t>Công Ty TNHH TM Và Dịch Vụ Thiết Bị Nâng Hạ Đại Phát</t>
  </si>
  <si>
    <t>Công Ty TNHH XD Và TM Dũng Hoa</t>
  </si>
  <si>
    <t>T.Tuy Lộc, Xã Lộc Thủy, Huyện Lệ Thuỷ, Tỉnh Quảng Bình, Việt Nam</t>
  </si>
  <si>
    <t>SN 1/508, đường Điện Biên Phủ, P Cẩm Thượng, TP Hải Dương</t>
  </si>
  <si>
    <t>Số Nhà  46, Khu tập thể xây lắp số 4, Tổ 15, Đường Cầu Diễn, P. Phúc Diễn, Q. Nam Từ Niêm, TP. Hà Nội, VN</t>
  </si>
  <si>
    <t>Km 16, Quốc Lộ 5A, X. Đại Bản, H. An Dương, TP. Hải Phòng, VN.</t>
  </si>
  <si>
    <t>38-40 Nguyễn Xuân Khoát, P. An Hải Bắc, Q.Sơn Trà, TP. Đà Nẵng, Việt Nam</t>
  </si>
  <si>
    <t>Thôn 1 Thanh Tân - xã Thanh Thủy - huyện Lệ Thủy - tỉnh Quảng Bình</t>
  </si>
  <si>
    <t>Số 40 dãy A Lô 12, KĐT mới Định Công, Phường Định Công, Quận Hoàng Mai, Thành phố Hà Nội, Việt Nam</t>
  </si>
  <si>
    <t>147 Hồ Đắc Di, phường Quang TRung, quận Đống Đa, thành phố Hà Nội</t>
  </si>
  <si>
    <t>Hà Tĩnh</t>
  </si>
  <si>
    <t>Số nhà 1B, ngõ 18 đường Đông Lộ, phường Thạch Linh Thành phố Hà Tĩnh.</t>
  </si>
  <si>
    <t>Số 33 Bến Bính, Phường Minh Khai, Quận Hồng Bàng, Thành phố Hải Phòng</t>
  </si>
  <si>
    <t>Số 10, ngõ 49, xóm Hồng Thái, thôn Hoàng Xá, thị trấn Vân Đình, huyện Ứng Hòa, thành phố Hà Nội</t>
  </si>
  <si>
    <t>Định Công, Hoàng Mai, Hà Nội</t>
  </si>
  <si>
    <t>kiệt 06 Trương Định, phường Vĩnh Ninh, tp Huế</t>
  </si>
  <si>
    <t>Số 01, đường Thống Nhất, phường Lê Thanh Nghị, thành phố Hải Dương, tỉnh Hải Dương</t>
  </si>
  <si>
    <t>Xóm Chợ, X. Phúc Trìu, TP. Thái Nguyên, Tỉnh Thái Nguyên, Việt Nam</t>
  </si>
  <si>
    <t>Cụm CN Thanh Oai, H.Thanh Oai, Hà Nội.</t>
  </si>
  <si>
    <t>339 đường 70B, P.Kiến Hưng, Q.Hà Đông, TP.Hà Nội</t>
  </si>
  <si>
    <t>Số 29 Khu TT Giao thông 829, Thôn Yên Xá, Xã Tân Triều, Huyện Thanh Trì, Thành phố Hà Nội, Việt Nam</t>
  </si>
  <si>
    <t>Số 328 Đường Bưởi, Q. Ba Đình, Hà Nội</t>
  </si>
  <si>
    <t>Số 9 ngõ 44, tổ 3 đường Tôn Thất Tùng, tiểu khu 12, thị trấn Lương Sơn, huyện Lương Sơn, tỉnh Hòa Bình</t>
  </si>
  <si>
    <t>Số 14 ngõ 3 Lương Văn Can, Hà Đông, Hà Nội</t>
  </si>
  <si>
    <t>Thôn Quan Châm, xã Phú Nghĩa , huyện Chương Mỹ , TP Hà Nội</t>
  </si>
  <si>
    <t>Thôn Trung Sơn, Xã Thái Sơn, Huyện Hiệp Hòa, Tỉnh Bắc Giang, VN</t>
  </si>
  <si>
    <t>Thái Bình</t>
  </si>
  <si>
    <t>Số nhà 272, phố Ngô Thì Nhậm, Tổ 42, Phường Kỳ Bá, TP Thái Bình, T.Thái Bình, VN</t>
  </si>
  <si>
    <t>Thôn Phượng Hoàng, X. Cẩm Hoàng, H. Cẩm Giàng, T. Hải Dương, VN</t>
  </si>
  <si>
    <t>Sn 448, đường Phan Đình Phùng, P. Phan Đình Phùng, TP Thái Nguyên, T.Thái Nguyên</t>
  </si>
  <si>
    <t>Thôn Chúc Lý - Xã Ngọc Hòa - Huyện Chương Mỹ - TP Hà Nội</t>
  </si>
  <si>
    <t>Số 28, Ngõ 172 Hồng Mai - Phường Quỳnh Lôi - Quận Hai Bà Trưng - Hà Nội</t>
  </si>
  <si>
    <t>Số 70,TT9, KĐT Văn Phú, Phường Phú La, Quận Hà Đông, TP Hà Nội</t>
  </si>
  <si>
    <t>237B Lương Thế Vinh, phường Trung Văn, quận Nam Từ Liêm, Hà Nội</t>
  </si>
  <si>
    <t>Tầng 3, T2 Times Tower, số 35 đường Lê Văn Lương, phường Nhân Chính, quận Thanh Xuân, thành phố Hà Nội, Việt Nam</t>
  </si>
  <si>
    <t>Thôn 1 Thanh Long, thị trấn Quy Đạt, huyện Minh Hóa, tỉnh Quảng Bình</t>
  </si>
  <si>
    <t>Số 08, ngách 127/30, ngõ 127 Văn Cao, P. Liễu Giai, Q. Ba Đình, Tp. Hà Nội.</t>
  </si>
  <si>
    <t>Số 45, ngách 20, ngõ Trại Cá, đường Trương Định, Hai Bà Trưng, Hà Nội</t>
  </si>
  <si>
    <t>55B PHAN CHU TRINH, PHƯỜNG PHAN CHU TRINH, QUẬN HOÀN KIẾM, HÀ NỘI</t>
  </si>
  <si>
    <t>Số 74 ngõ 64, đường Ngọc Trì, phường Thạch Bàn, quận Long Biên, thành phố Hà Nội</t>
  </si>
  <si>
    <t>Xóm Đà Tiến, Xã Thịnh Đức, Thành phố Thái Nguyên, Tỉnh Thái Nguyên, Việt Nam</t>
  </si>
  <si>
    <t>Xóm Vĩnh Long, Xã Nghi Long, Huyện Nghi Lộc, Nghệ An</t>
  </si>
  <si>
    <t>Thanh Hóa</t>
  </si>
  <si>
    <t>Thôn Tân Lê, Phường Đông Tân, Thành phố Thanh Hoá, Tỉnh Thanh Hoá, Việt Nam</t>
  </si>
  <si>
    <t>SA (Domestic)</t>
  </si>
  <si>
    <t>Công ty cổ phần Karavan Vietnam</t>
  </si>
  <si>
    <t>Công ty TNHH nước tinh khiết Villa HN</t>
  </si>
  <si>
    <t>Công ty TNHH Kỹ Thuật Điện Hải Dương</t>
  </si>
  <si>
    <t>Công ty TNHH Thiết bị Công nghiệp Tools Việt Nam</t>
  </si>
  <si>
    <t>Công ty TNHH NK GLOBAL</t>
  </si>
  <si>
    <t>CÔNG TY TNHH KURITA-GK VIỆT NAM</t>
  </si>
  <si>
    <t>CÔNG TY CỔ PHẦN KIỂM ĐỊNH ĐÀO TẠO KỸ THUẬT AN TOÀN VIỆT NAM</t>
  </si>
  <si>
    <t>CÔNG TY TRÁCH NHIỆM HỮU HẠN NORITA</t>
  </si>
  <si>
    <t>Công ty cổ phần Chemed Việt</t>
  </si>
  <si>
    <t>CÔNG TY CỔ PHẦN AIRTECH THẾ LONG</t>
  </si>
  <si>
    <t>Trung tâm quan trắc tài nguyên và môi trường Hà Nội</t>
  </si>
  <si>
    <t>Công ty TNHH may mặc H.T</t>
  </si>
  <si>
    <t>CÔNG TY CỔ PHẦN KỸ THUẬT VÀ MÔI TRƯỜNG LINH ANH</t>
  </si>
  <si>
    <t>CÔNG TY CỔ PHẦN XÂY DỰNG VÀ KỸ THUẬT MÔI TRƯỜNG HÀ NỘI</t>
  </si>
  <si>
    <t>CÔNG TY TNHH TÂN BÌNH</t>
  </si>
  <si>
    <t>CÔNG TY TNHH XÂY DỰNG LÊ TUÂN</t>
  </si>
  <si>
    <t>Công ty TNHH đầu tư xây dựng và thương mại Phong Hòa</t>
  </si>
  <si>
    <t>CÔNG TY TNHH TMDV HUY THU</t>
  </si>
  <si>
    <t>công ty TNHH Giải pháp kỹ thuật công nghệ việt nam</t>
  </si>
  <si>
    <t>CÔNG TY TNHH DASADA</t>
  </si>
  <si>
    <t>Công ty TNHH Thương mại và tự động HG</t>
  </si>
  <si>
    <t>CÔNG TY TNHH ĐIỆN MÁY THÀNH CÔNG VN</t>
  </si>
  <si>
    <t>CÔNG TY CỔ PHẦN CÔNG NGHỆ MAI VŨ</t>
  </si>
  <si>
    <t>CÔNG TY CỔ PHẦN TẬP ĐOÀN NĂNG LƯỢNG TÁI TẠO GLOBE</t>
  </si>
  <si>
    <t>Công Ty CP Bảo Vệ Bình Yên</t>
  </si>
  <si>
    <t>Công ty cổ phần bảo vệ Mai Sơn Lâm</t>
  </si>
  <si>
    <t>CÔNG TY TNHH KINH DOANH THƯƠNG MẠI VÀ DỊCH VỤ TIẾN LỘC</t>
  </si>
  <si>
    <t>Công ty TNHH Nông Nghiệp Quốc Tế TPP</t>
  </si>
  <si>
    <t>Công ty TNHH Môi Trường V-Green</t>
  </si>
  <si>
    <t>Công ty Cổ phần Vuta group</t>
  </si>
  <si>
    <t>SA_New</t>
  </si>
  <si>
    <t>D</t>
  </si>
  <si>
    <t>E</t>
  </si>
  <si>
    <t>F</t>
  </si>
  <si>
    <t>Công ty TNHH TM-DV Thanh Tùng</t>
  </si>
  <si>
    <t>Công ty TNHH Thương mại và Phát triển năng lượng Việt Á</t>
  </si>
  <si>
    <t>Công ty tnhh một thành viên An Thịnh Phát</t>
  </si>
  <si>
    <t>Công ty trách nhiệm hữu hạn xây dựng Thành Trung Phát</t>
  </si>
  <si>
    <t>CÔNG TY TNHH MTV CƠ ĐIỆN NGUYỄN TUẤN</t>
  </si>
  <si>
    <t>Công ty TNHH Thiết bị ABT</t>
  </si>
  <si>
    <t>Công ty cổ phần cơ khí Intech Việt Nam</t>
  </si>
  <si>
    <t>CÔNG TY TNHH CÔNG NGHỆ PROTECH VIỆT NAM</t>
  </si>
  <si>
    <t>CÔNG TY TNHH KỸ THUẬT THƯƠNG MẠI DỊCH VỤ WATERCOTECH</t>
  </si>
  <si>
    <t>Công ty TNHH MTV TM &amp; DV Thiên Ấn</t>
  </si>
  <si>
    <t>Fortuna Hanoi</t>
  </si>
  <si>
    <t>Công ty TNHH Thiết bị Khoa học và Công nghệ Qmedic</t>
  </si>
  <si>
    <t>Công ty Cổ phần Biomed Tech</t>
  </si>
  <si>
    <t>Công ty TNHH gas Petrolimex Hà Nội</t>
  </si>
  <si>
    <t>Công ty CP Trần Dương Đồng Tiến</t>
  </si>
  <si>
    <t>Công ty cổ phần Vòng bi Pecom</t>
  </si>
  <si>
    <t>Công ty TNHH Takasago Việt Nam</t>
  </si>
  <si>
    <t>CÔNG TY TNHH CÔNG NGHỆ KIM LOẠI MINH NGỌC</t>
  </si>
  <si>
    <t>Công ty TNHH Công Nghệ Metal Bắc Việt</t>
  </si>
  <si>
    <t>Công ty TNHH khí công nghiệp HT Việt Nam</t>
  </si>
  <si>
    <t>công ty cổ phần chuyên bán buôn batos</t>
  </si>
  <si>
    <t>Công Ty TNHH MTV Kinh Doanh Anh Tú</t>
  </si>
  <si>
    <t>CÔNG TY TNHH CÔNG NGHỆ ANTEK VIỆT NAM</t>
  </si>
  <si>
    <t>Công Ty Cổ Phần Thiết Bị và Thương Mại Auto Tech</t>
  </si>
  <si>
    <t>Công ty cổ phần Xây Lắp và Thiết Bị Công Nghiệp Mekamic</t>
  </si>
  <si>
    <t>công ty cổ phần thương mại và xây lắp An Bình Phát</t>
  </si>
  <si>
    <t>Công ty CP công nghệ ACM Hà Nội</t>
  </si>
  <si>
    <t>Công ty TNHH Công nghiệp Thái Sơn</t>
  </si>
  <si>
    <t>CÔNG TY TNHH SẢN XUẤT VÀ THƯƠNG MẠI BẢO QUYÊN VIỆT NAM</t>
  </si>
  <si>
    <t>Công ty Cổ Phần Cơ Điện Thương Mại và Xây Dựng TAC</t>
  </si>
  <si>
    <t>Công ty TNHH Thương mại và kỹ thuật TLD Việt Nam</t>
  </si>
  <si>
    <t>Công ty TNHH Thiết bị công nghiệp nặng MICO</t>
  </si>
  <si>
    <t>Công ty CP Công Nghệ Viteq Việt Nam</t>
  </si>
  <si>
    <t>Công ty cổ phần điện tử Caltek</t>
  </si>
  <si>
    <t>Công ty TNHH Đảm bảo Chất lượng Việt Nam</t>
  </si>
  <si>
    <t>CÔNG TY TNHH DỊCH VỤ KỸ THUẬT CÔNG NGHIỆP GREEN TECH</t>
  </si>
  <si>
    <t>CÔNG TY TNHH KỸ THUẬT THƯƠNG MẠI CÔNG NGHỆ MVN</t>
  </si>
  <si>
    <t>CÔNG TY CỔ PHẦN THIẾT BỊ ĐIỆN VÀ TỰ ĐỘNG HÓA QMA VIỆT NAM</t>
  </si>
  <si>
    <t>Công ty TNHH công nghiệp Kiên Cường</t>
  </si>
  <si>
    <t>CONG TY TNHH DAICO</t>
  </si>
  <si>
    <t>Công ty TNHH Điện lạnh Hòa Phát</t>
  </si>
  <si>
    <t>Công ty TNHH Công Nghệ Đăng Dương Việt Nam</t>
  </si>
  <si>
    <t>Công ty TNHH sản xuất và thương mại FBB</t>
  </si>
  <si>
    <t>Công Ty Cổ Phần GMP Groups</t>
  </si>
  <si>
    <t>CÔNG TY CỔ PHẦN KỸ THUẬT VÀ THƯƠNG MẠI THIẾT BỊ CÔNG NGHIỆP NTD</t>
  </si>
  <si>
    <t>CÔNG TY TNHH THƯƠNG MẠI VÀ DỊCH VỤ KỸ THUẬT CÔNG NGHIỆP FGC</t>
  </si>
  <si>
    <t>Công ty TNHH Đầu Tư Phát triển công nghệ và Thương mại việt nam</t>
  </si>
  <si>
    <t>CÔNG TY TNHH CƠ KHÍ CHÍNH XÁC VÀ THIẾT BỊ VINH THỊNH</t>
  </si>
  <si>
    <t>Chi nhánh công ty tnhh npt tại thành phố hà nội</t>
  </si>
  <si>
    <t>Công ty TNHH LVA Việt Nam</t>
  </si>
  <si>
    <t>CÔNG TY CỔ PHẦN PCS VIỆT NAM</t>
  </si>
  <si>
    <t>Công ty TNHH PCS Minh Sơn</t>
  </si>
  <si>
    <t>Công ty TNHH sản xuất và đầu tư năng lượng tái tạo Thái Bình</t>
  </si>
  <si>
    <t>CÔNG TY TNHH THIẾT BỊ NHẬT NHUNG</t>
  </si>
  <si>
    <t>Công ty Cổ phần đầu tư SDC Việt Nam</t>
  </si>
  <si>
    <t>CÔNG TY TNHH THIẾT BỊ CÔNG NGHIỆP NKC VIỆT NAM</t>
  </si>
  <si>
    <t>CÔNG TY TNHH KỸ THUẬT NAPO VIỆT NAM</t>
  </si>
  <si>
    <t>Công ty cổ phần thương mại và vận tải xăng dầu Ngọc Hà</t>
  </si>
  <si>
    <t>Công ty Cổ Phần Tự Động Hoá ACS Việt Nam</t>
  </si>
  <si>
    <t>Công ty TNHH Quốc tế An Pha Nam</t>
  </si>
  <si>
    <t>Công Ty TNHH TM Và DV Tự Động Hóa Thành Công</t>
  </si>
  <si>
    <t>CÔNG TY TNHH DACO</t>
  </si>
  <si>
    <t>CÔNG TY CP XÂY DỰNG NỘI THẤT DH</t>
  </si>
  <si>
    <t>CÔNG TY CP DỊCH VỤ BẢO VỆ FIREWALL</t>
  </si>
  <si>
    <t>CÔNG TY CỔ PHẦN THƯƠNG MẠI DỊCH VỤ HT VINA</t>
  </si>
  <si>
    <t>CÔNG TY CỔ PHẦN GIẢI PHÁP CÔNG NGHỆ TỰ ĐỘNG HÓA SOLU TECH</t>
  </si>
  <si>
    <t>CÔNG TY TNHH PHÁT TRIỂN ĐẦU TƯ GIA KHANG</t>
  </si>
  <si>
    <t>Công ty cổ phần dịch vụ tư vấn và kiểm định Việt Nam</t>
  </si>
  <si>
    <t>TRUNG TÂM KIỂM CHUẨN ĐO LƯỜNG - CHI NHÁNH CÔNG TY TNHH KHOA HỌC VÀ KỸ THUẬT HÀ NỘI</t>
  </si>
  <si>
    <t>Công Ty TNHH Lê Thanh Minh</t>
  </si>
  <si>
    <t>Công ty Cổ phần Đầu tư và Thương Mại Akura</t>
  </si>
  <si>
    <t>Công ty TNHH thiết bị phụ tùng An Phát</t>
  </si>
  <si>
    <t>Công ty Cổ phần Hawee Năng lượng</t>
  </si>
  <si>
    <t>Công ty TNHH Dịch vụ kỹ thuật tiêu chuẩn thông dụng</t>
  </si>
  <si>
    <t>CÔNG TY CỔ PHẦN TECH BOSS</t>
  </si>
  <si>
    <t>CÔNG TY TNHH HIỆU CHUẨN VÀ CÔNG NGHỆ KIM LONG</t>
  </si>
  <si>
    <t>CÔNG TY CỔ PHẦN CÔNG NGHỆ HIỆU CHUẨN HD</t>
  </si>
  <si>
    <t>Công ty CP xây dựng Vinatech</t>
  </si>
  <si>
    <t>Công ty cổ phân Đầu tư và Thương mại Ngôi Sao</t>
  </si>
  <si>
    <t>Văn phòng tư vấn và chuyển giao công nghệ xây dựng</t>
  </si>
  <si>
    <t>CÔNG TY TNHH THIẾT BỊ NGỌC NGÂN</t>
  </si>
  <si>
    <t>Công ty TNHH xây dựng và thương mại HC Sông Hồng</t>
  </si>
  <si>
    <t>CÔNG TY TNHH TM DV VÀ TỔNG HỢP MINH ANH</t>
  </si>
  <si>
    <t>Công ty cổ phần Đồng Bằng E&amp;C</t>
  </si>
  <si>
    <t>Công ty TNHH Thiên Hoàng Hải</t>
  </si>
  <si>
    <t>Công ty TNHH Thương Mại và Dịch Vụ Trí Châu Thanh</t>
  </si>
  <si>
    <t>Công ty cổ phần PCCC và thông gió Hà Thành</t>
  </si>
  <si>
    <t>Công ty cổ phần dịch vụ PCCC Hải Đăng</t>
  </si>
  <si>
    <t>Công ty TNHH Cây Xanh Công Trình</t>
  </si>
  <si>
    <t>CÔNG TY CỔ PHẦN ĐẦU TƯ XÂY DỰNG VÀ PHÁT 
TRIỂN CÂY XANH</t>
  </si>
  <si>
    <t>Thôn Khánh Mỹ, thị trấn Phong Điền, huyện Phong Điền, tỉnh thừa thiên Huế</t>
  </si>
  <si>
    <t>56 đường Nguyễn Duy, phường An Hòa, thành phố Huế</t>
  </si>
  <si>
    <t>123 Lê Duẫn - Khu phố 6 - Phường An Đôn - Thị Xã Quảng Trị</t>
  </si>
  <si>
    <t>275 Chiến Thắng, Văn Quán, Hà Đông, Hà Nội</t>
  </si>
  <si>
    <t>Lô 6, Cụm công nghiệp Lai Xá, xã Kim Chung, huyện Hoài Đức, thành phố Hà Nội</t>
  </si>
  <si>
    <t>Số nhà 5, ngách 193/32, phố Bồ Đề, phường Bồ Đề, quận Long Biên, Thành phố Hà Nội</t>
  </si>
  <si>
    <t>Thôn Cộng Hòa 2, Xã Tịnh Ấn Tây, Thành phố Quảng Ngãi, Tỉnh Quảng Ngãi, Việt Nam</t>
  </si>
  <si>
    <t>Quãng Ngãi</t>
  </si>
  <si>
    <t>110 bùi Thị Xuân - P. Nghĩa Lộ - Tp. Quảng Ngãi - tỉnh Quảng Ngãi</t>
  </si>
  <si>
    <t>6B Lang Ha, Ba Dinh Hanoi</t>
  </si>
  <si>
    <t>Số 14 Dãy C, Lô 19 Khu đô thị mới Định Công, Phường Định Công, Quận Hoàng Mai, Thành phố Hà Nội, Việt Nam</t>
  </si>
  <si>
    <t>Số 134 đường Phạm Văn Đồng, Phường Xuân Đỉnh, Quận Bắc Từ Liêm, Hà Nội</t>
  </si>
  <si>
    <t>Số 775 đường Giải Phóng, phường Giáp Bát, quận Hoàng Mai, tp.Hà Nội</t>
  </si>
  <si>
    <t>Số 3 ngõ 409/4 kim mã, Ngọc Khánh , Bà Đình, Hà Nội.</t>
  </si>
  <si>
    <t>286 Đường Quang Trung, Phường Quang Trung, Hà Đông, Hà nội</t>
  </si>
  <si>
    <t>Tầng 19, tòa nhà IDMC Mỹ Đình, số 15 Phạm Hùng, Phường Mỹ Đình 2, Quận Nam Từ Liêm, Hà Nội</t>
  </si>
  <si>
    <t>Số 350, Đường Nguyễn Trãi, Phường Thanh Xuân Trung, Quận Thanh Xuân, TP HN</t>
  </si>
  <si>
    <t>Số PL01-03, Khu Đô Thị Vinhomes Riverside 2, Phường Phúc Đồng, Quận Long Biên, Hà Nội</t>
  </si>
  <si>
    <t>Số 7 ngõ 7, đường Lê Trọng Tấn, phường La Khê, Quận Hà Đông, Thành phố Hà Nội</t>
  </si>
  <si>
    <t>B11, Lô 11, đường Trần Nguyên Đán, khu đô thị Định Công, phường Định Công, Quận Hoàng Mai, thành phố Hà Nội, Việt Nam</t>
  </si>
  <si>
    <t>Phường trương Quang Trọng, TP Quảng Ngãi</t>
  </si>
  <si>
    <t>Số 45A Lương Ngọc Quyến, Phường Hàng Buồm, Quận Hoàn Kiếm, TP.Hà Nội, Việt Nam</t>
  </si>
  <si>
    <t>Số nhà 19 Ngõ 59/70 Ngõ 70 Ngọc Trục tổ dân phố số 2 phường Đại Mỗ Quận Nam Từ Liêm Hà Nội Việt Nam</t>
  </si>
  <si>
    <t>Lô F1 Cụm Công Nghiệp Thị Trấn Phùng - Đan Phượng - Hà Nội</t>
  </si>
  <si>
    <t>Số 125 Phạm Xuân Huân - Phường Hải Tân - Thành Phố Hải Dương</t>
  </si>
  <si>
    <t>Số 12, tổ 29, Quan Hoa, Cầu Giấy, Hà Nội, Việt Nam</t>
  </si>
  <si>
    <t>Số 3, ngách 45/7, phố Hoa Lâm, tổ 4, phường Đức Giang, Quận Long Biên, TP Hà Nội, Việt Nam.</t>
  </si>
  <si>
    <t>Thôn Kim Lôi, Xã Bạch Đằng, Thị xã Kinh Môn, Tỉnh Hải Dương, Việt Nam</t>
  </si>
  <si>
    <t>Số nhà 3 ngách 6/7, P. Phú Lãm, Q.Hà Đông, Tp.Hà Nội</t>
  </si>
  <si>
    <t>Số 1, ngõ 274 Phố Định Công, Phường Định Công, Quận Hoàng Mai, TP Hà Nội</t>
  </si>
  <si>
    <t>Tầng 8 tòa nhà Ocean Park - Số 1 Đào Duy Anh - P.Phương Mai - Q.Đống Đa - TP.Hà Nội</t>
  </si>
  <si>
    <t>Phòng 201, tầng 2, Tòa An Bình Plaza, Số 97 Trần Bình, P. Mỹ Đình 2, Q. Nam Từ Liêm, TP. Hà Nội.</t>
  </si>
  <si>
    <t>KCN Tiên Sơn, Huyện Tiên Du, Tỉnh Bắc Ninh.</t>
  </si>
  <si>
    <t>130 Nguyễn Đức Cảnh, Tương Mai, Hoàng Mai, Hà Nội</t>
  </si>
  <si>
    <t>SH1.15 Vinhomes Marina, Vĩnh Niệm, Lê Chân, Hải Phòng</t>
  </si>
  <si>
    <t>Số 9 ngõ 92 đường Nguyễn Khánh Toàn, Phường Quan Hoa, Quận Cầu Giấy, Thành Phố Hà Nội, Việt Nam</t>
  </si>
  <si>
    <t>17 liền kề 9 khu đô thị Đại Thanh, Xã Tả Thanh Oai, Thanh Trì, Hà Nội</t>
  </si>
  <si>
    <t>Đội 1, thôn Quảng Minh, Xã Mỹ Hưng, Huyện Thanh Oai, Thành phố Hà Nội, Việt Nam</t>
  </si>
  <si>
    <t>Tp. HCM</t>
  </si>
  <si>
    <t>235/69 Nam Kỳ Khởi Nghĩa, Phường Võ Thị Sáu, Quận 3, Thành Phố Hồ Chí Minh</t>
  </si>
  <si>
    <t>Khu công nghiệp Phố Nối A, Xã Giai Phạm, Huyện Yên Mỹ, Tỉnh Hưng Yên, Việt Nam</t>
  </si>
  <si>
    <t>Xóm 2, Thôn La Tinh xá Đông La, huyện Hoài Đức, Thành phố Hà Nội, Việt Nam</t>
  </si>
  <si>
    <t>Thôn Nội Phật, Xã Tam Hợp, Huyện Bình Xuyên, Tỉnh Vĩnh Phúc</t>
  </si>
  <si>
    <t>Số 24-BT3 Khu đô thị Văn Quán-Yên Phúc, Phường Phúc La, Quận Hà Đông,Tp. Hà Nội</t>
  </si>
  <si>
    <t>Lô LK20.8 Khu đô thị sinh thái Ecoriver Hải Dương, phường Hải Tân, tp Hải Dương, tỉnh Hải Dương</t>
  </si>
  <si>
    <t>Số nhà 9, Ngách 82/3, Ngõ 651 Minh Khai-Hai Bà Trưng-Hà Nội</t>
  </si>
  <si>
    <t>Thôn Gạch,Thị trấn Lai Cách,huyện Cẩm Giàng,tỉnh Hải Dương</t>
  </si>
  <si>
    <t>Lô CTT10-12, khu đô thị Kiến Hưng Luxury, P. Kiến Hưng, Q. Hà Đông, TP Hà nội</t>
  </si>
  <si>
    <t>Thôn Lương Xá Nam, Xã Kim Liên, Huyện Kim Thành, Tỉnh Hải Dương, Việt Nam</t>
  </si>
  <si>
    <t>DV08, lô 08 - số 26, khu đất dịch vụ, phường mỗ lao, quận Hà đông, thành phố Hà nội, Việt Nam</t>
  </si>
  <si>
    <t>Khu 6 - Thị Trấn Trạm Trôi - Hoài Đức - Hà Nội</t>
  </si>
  <si>
    <t>Số 15, ngách 99/85/6, Đức Giang, Long Biên, Hà Nội</t>
  </si>
  <si>
    <t>Lô TT1-LK01-32 Khu 1A khu đô thị sinh thái ven sông Thái Bình – Phường Hải Tân – Thành Phố Hải Dương – Tỉnh Hải Dương</t>
  </si>
  <si>
    <t>thôn Thanh Miếu xã Vũ Phúc thành phố Thái Bình tỉnh Thái Bình</t>
  </si>
  <si>
    <t>Số nhà 7, ngõ 14 Ngô Quyền, Quang Trung, Hà Đông, Hà Nội</t>
  </si>
  <si>
    <t>Số 74/133/42 Thịnh Liệt, Hoàng Mai, Hà Nội</t>
  </si>
  <si>
    <t>VPGD: Green office, tấng 12, tòa nhà Licogi 13, số 164 Khuất Duy Tiến, Thanh Xuân, Hà Nội</t>
  </si>
  <si>
    <t>Tổ dân phố Thống Nhất phường Dương nội quận Hà Đông TP HN</t>
  </si>
  <si>
    <t>Thôn Yên Nhân, xã Tiền Phong, huyện Mê Linh, thành phố Hà Nội</t>
  </si>
  <si>
    <t>Số 236 Đường K2 , Tổ 14, P. Cầu Diễn , Q. Nam Từ Liêm, TP. Hà Nội</t>
  </si>
  <si>
    <t>Số 94, tổ 5 Kim Quan, Phường Việt Hưng, Quận Long Biên, Thành phố Hà Nội, Việt Nam</t>
  </si>
  <si>
    <t>Thửa Đất Số 171C BĐ 03, Tổ 5, P. Yên Nghĩa, Q. Hà Đông, TP. Hà Nội, VN.</t>
  </si>
  <si>
    <t>Số 146 mặt đường Cầu Bươu, xã Tân Triều, huyện Thanh Trì, Hà Nội</t>
  </si>
  <si>
    <t>số 288, Thị Trung, Đình Dù, Văn Lâm, Hưng Yên</t>
  </si>
  <si>
    <t>Số 135, ngõ 337, phố Định công, Phường Định công, Quận Hoàng Mai, Hà nội</t>
  </si>
  <si>
    <t>Số 1, ngách 78, ngõ 174, đường Vũ Hựu, Phường Thanh Bình, Thành phố Hải Dương, Tỉnh Hải Dương, Việt Nam</t>
  </si>
  <si>
    <t>Thôn Đản Mỗ, xã Uy Nỗ, huyện Đông Anh, TP. Hà Nội, Việt Nam</t>
  </si>
  <si>
    <t>Thôn Bắc Hòa, Xã Ngư Thuỷ Bắc, Huyện Lệ Thuỷ, Tỉnh Quảng Bình, Việt Nam</t>
  </si>
  <si>
    <t>Số 84, Phố Ngoc Trì, Tổ 7, P.Thạch Bàn, Q.Long Biên, Hà Nội</t>
  </si>
  <si>
    <t>Số 1, Ngõ 31 Phố Vĩnh Phúc, Phường Vĩnh Phúc, Quận Ba Đình, Thành phố Hà Nội</t>
  </si>
  <si>
    <t>27-Ngô Đức Kế, Phường Thanh Khê Tây, Quận Thanh Khê, Thành Phố Đà Nẵng, Việt Nam</t>
  </si>
  <si>
    <t>53 Trương Định, thành phố Quảng Ngãi, tỉnh Quảng Ngãi. Việt Nam</t>
  </si>
  <si>
    <t>Tầng 6, Toà nhà Hỗn hợp Sông Đà Hà Đông, Số 131 đường Trần Phú, Văn Quán, Hà Đông, Hà Nội</t>
  </si>
  <si>
    <t>Số 15 phố Lưu Quang Vũ, tổ 26, phường Trung Hoà, quận Cầu Giấy, thành phố Hà Nội</t>
  </si>
  <si>
    <t>Lô D2, khu đấu giá QSD đất, phường Vạn Phúc, Hà Đông, Hà Nội</t>
  </si>
  <si>
    <t>Ô số 30, Lô L2 khu nhà ở Nam Sông Lạch Tray, Phường Anh Dũng, Quận Dương Kinh, Thành Phố Hải Phòng, Việt Nam</t>
  </si>
  <si>
    <t>Tầng 4 Tòa nhà MB, 24 Lý Thái Tổ, Phường Đại Phúc, Thành phố Bắc Ninh, Tỉnh Bắc Ninh, Việt Nam</t>
  </si>
  <si>
    <t>SH-37 Dự án CentraCity tại Khu công nghiệp, Đô thị và Dịch vụ Vsip Bắc Ninh, P. Phù Chẩn, TP. Từ Sơn, Tỉnh Bắc Ninh, Việt Nam</t>
  </si>
  <si>
    <t>Thôn Dương Húc, Xã Đại Đồng, Huyện Tiên Du, Tỉnh Bắc Ninh, Việt Nam</t>
  </si>
  <si>
    <t>Số nhà 6 ngõ 105 phố Ngọc Trục - Phường Đại Mỗ - Quận Nam Từ Liêm - TP Hà Nội</t>
  </si>
  <si>
    <t>Phố Ba Huyện, phường Khắc Niệm, thành phố Bắc Ninh, tỉnh Bắc Ninh, Việt Nam</t>
  </si>
  <si>
    <t>Km10 đường Nguyễn Trãi, phường Văn Quán, quận Hà Đông, HN</t>
  </si>
  <si>
    <t>Số 238 Điện Biên Phủ , Phường Bình Hàn , Thành phố Hải Dương, Tỉnh Hải Dương, Việt Nam</t>
  </si>
  <si>
    <t>U01-LK54, Khu đô thị Đô Nghĩa, Phường Yên Nghĩa, Quận Hà Đông, Thành phố Hà Nội</t>
  </si>
  <si>
    <t>Đội 1, thôn Tả Thanh Oai, Xã Tả Thanh Oai, Thanh Trì, Hà Nội.</t>
  </si>
  <si>
    <t>Số nhà 01, ngõ 281 đường Chiến Thắng, phường Văn Quán, quận Hà Đông, TP Hà Nội</t>
  </si>
  <si>
    <t>22 Phó Đức Chính, Trúc Bạch, Ba Đình, Hà Nội</t>
  </si>
  <si>
    <t>Lô 14, 15 – B3 – 15 Nguyễn Đình Hoàn, P. Nại Hiên Đông, Q. Sơn Trà, Tp Đà Nẵng, Việt Nam</t>
  </si>
  <si>
    <t>Tầng 3, Tòa CT1, Chung cư E4, khu đô thị mới Yên Hòa, phường Yên Hòa, quận Cầu Giấy, TP Hà Nội</t>
  </si>
  <si>
    <t>Thôn Quán Gió, xã Phụng Châu, huyện Chương Mỹ, TP Hà Nội</t>
  </si>
  <si>
    <t>Đội 12, thôn Lã Điền, xã Điền Xá, huyện Nam Trực, tỉnh Nam Định</t>
  </si>
  <si>
    <t>Ninh Bình</t>
  </si>
  <si>
    <t>Xóm Ba Hàng, Xã Khánh Lợi, Huyện Yên Khánh, Tỉnh Ninh 
Bình, Việt Nam</t>
  </si>
  <si>
    <t>SA</t>
  </si>
  <si>
    <t>Công Ty Cổ Phẩn Kiến Trúc Xây Dựng Nam Bắc</t>
  </si>
  <si>
    <t>Công ty TNHH An Phú</t>
  </si>
  <si>
    <t>Công ty Cổ phần FBT Việt Nam</t>
  </si>
  <si>
    <t>Công ty trách nhiệm hữu hạn xăng dầu Tú Thành</t>
  </si>
  <si>
    <t>Công ty Cổ phần đầu tư QBC</t>
  </si>
  <si>
    <t>Hộ kinh doanh quầy thuốc việt đức</t>
  </si>
  <si>
    <t>Công Ty TNHH Xây dựng và Thương mại Quang Minh</t>
  </si>
  <si>
    <t>Công ty TNHH Wall Tech Việt</t>
  </si>
  <si>
    <t>Công ty cổ phần xây dựng cơ khí và thương mại Nam Thái</t>
  </si>
  <si>
    <t>Tổng công ty Cổ phần Đầu tư và phát triển NASOCO</t>
  </si>
  <si>
    <t>Công ty Cổ Phần Vật Tư Và Thiết bị Công Nghiệp Dimo Việt Nam</t>
  </si>
  <si>
    <t>Công Ty TNHH Công Nghệ Kim Loại Minh Ngọc</t>
  </si>
  <si>
    <t>Công ty TNHH thương mại và gia công cơ khí vương hiệp</t>
  </si>
  <si>
    <t>Công ty CP Đầu tư và Xây dựng An Phú</t>
  </si>
  <si>
    <t>Công ty cổ phần vật tư thiết bị Giang Sơn</t>
  </si>
  <si>
    <t>Công ty TNHH HODA Việt Nam</t>
  </si>
  <si>
    <t>Công ty cổ phần Du Lịch và Thương Mại Hồ Núi Cốc</t>
  </si>
  <si>
    <t>Công Ty TNHH MTV Cơ Khí Và Thương Mại Tân Hưng</t>
  </si>
  <si>
    <t>Công ty Cổ phần cơ khí chế tạo máy MHA</t>
  </si>
  <si>
    <t>Công ty cổ phần tư vấn và đầu tư xây dựng Hùng Sơn</t>
  </si>
  <si>
    <t>Công ty Cổ phần Constrexim số 1 (CONFITECH)</t>
  </si>
  <si>
    <t>Công ty Cổ Phần Sài Gòn Nam Phát</t>
  </si>
  <si>
    <t>CÔNG TY CỔ PHẦN THƯƠNG MẠI VÀ ĐẦU TƯ MINH NGUYÊN</t>
  </si>
  <si>
    <t>CÔNG TY TNHH THƯƠNG MẠI VÀ XÂY DỰNG CÔNG NGHIỆP HKC VIỆT NAM</t>
  </si>
  <si>
    <t>Công ty TNHH tư vấn và xây dựng Đức Đạt</t>
  </si>
  <si>
    <t>Công Ty Cổ Phần Thương Mại Đầu Tư SCI</t>
  </si>
  <si>
    <t>Công Ty TNHH Đầu Tư &amp; Phát Triển Công Nghệ Hưng Phát</t>
  </si>
  <si>
    <t>Công ty TNHH Công nghiệp DF Việt Nam</t>
  </si>
  <si>
    <t>Trung tâm dịch vụ nông nghiệp huyện Diễn Châu</t>
  </si>
  <si>
    <t>Công Ty TNHH Thiết Bị y tế Phương Đông</t>
  </si>
  <si>
    <t>Công ty TNHH Công nghệ Thuận Phát Thái Nguyên</t>
  </si>
  <si>
    <t>Công ty TNHH Thiết bị công nghiệp nặng Mico</t>
  </si>
  <si>
    <t>Công Ty TNHH Thương Mại Và Dịch Vụ Lộc Thủy</t>
  </si>
  <si>
    <t>Công ty cổ phần cơ điện và xuất nhập khẩu Toàn Cầu</t>
  </si>
  <si>
    <t>CÔNG TY TNHH SẢN XUẤT VÀ XÂY DỰNG VERIX</t>
  </si>
  <si>
    <t>Công ty TNHH dịch vụ vật tư khoa học kỹ thuật T-H-T</t>
  </si>
  <si>
    <t>BSG VIET NAM TRDING CO.,LTD</t>
  </si>
  <si>
    <t>Công ty CP tư vấn xây dựng và thương mại 470</t>
  </si>
  <si>
    <t>CÔNG TY CỔ PHẦN TẬP ĐOÀN ĐẦU TƯ - THƯƠNG MẠI VÀ XÂY DỰNG VÂN KHÁNH</t>
  </si>
  <si>
    <t>Công ty cổ phần tư vấn công nghệ và kỹ thuật điện Đại Dương</t>
  </si>
  <si>
    <t>Công ty TNHH Kurihara Việt Nam</t>
  </si>
  <si>
    <t>CÔNG TY CỔ PHẦN ĐIỆN ĐOÀN NHẤT</t>
  </si>
  <si>
    <t>CÔNG TY CỔ PHẦN THIẾT BỊ ĐIỆN MBT</t>
  </si>
  <si>
    <t>Công ty TNHH tư vấn đầu tư xây dựng Phú Sỹ</t>
  </si>
  <si>
    <t>Công ty Cổ phần Công nghệ Thiết bị Tân Phát</t>
  </si>
  <si>
    <t>CÔNG TY TNHH THƯƠNG MẠI TỔNG HỢP TIẾN MẠNH</t>
  </si>
  <si>
    <t>Công ty cổ phần Q-Con Việt Nam</t>
  </si>
  <si>
    <t>CÔNG TY TNHH CÔNG NGHIỆP VÀ THƯƠNG MẠI NAVICO</t>
  </si>
  <si>
    <t>chi nhánh công ty TNHH thương mại thú y tiến phát</t>
  </si>
  <si>
    <t>Công ty TNHH Thương mại dược và Trang thiết bị y tế TATA</t>
  </si>
  <si>
    <t>Công ty Cổ phần cơ điện và xây dựng Hà Nội</t>
  </si>
  <si>
    <t>Công Ty TNHH Công Nghệ SIV</t>
  </si>
  <si>
    <t>Hộ Kinh Doanh Phạm Hồng Tiến</t>
  </si>
  <si>
    <t>Doanh Nghiệp Tư Nhân Thanh Thủy</t>
  </si>
  <si>
    <t>Công Ty Cổ phần Viện Máy và Dụng Cụ Công Nghiệp</t>
  </si>
  <si>
    <t>Công ty Cổ phần Vật tư Dầu Khí Hà Nội</t>
  </si>
  <si>
    <t>Hợp Tác Xã Chế Biến Vôi Ngân Hồng</t>
  </si>
  <si>
    <t>Công Ty TNHH MTV Hải Vân Quảng Trị</t>
  </si>
  <si>
    <t>Công ty TNHH Thương mại Luân Anh</t>
  </si>
  <si>
    <t>Công ty TNHH NNM Safety</t>
  </si>
  <si>
    <t>Nguyễn Văn Cường</t>
  </si>
  <si>
    <t>CÔNG TY CỔ PHẦN KỸ THƯƠNG DUY HƯNG</t>
  </si>
  <si>
    <t>Công ty CP Vận tải và Xây dựng GL</t>
  </si>
  <si>
    <t>CÔNG TY TNHH THIẾT BỊ VÀ HÓA CHẤT CÔNG NGHIỆP TRƯỜNG THI</t>
  </si>
  <si>
    <t>CTY CP Đầu Tư Phát Triển Việt Thăng Long</t>
  </si>
  <si>
    <t>Công Ty TNHH MTV Cơ Điện Và Xây Dựng KIPO</t>
  </si>
  <si>
    <t>Công ty TNHH xây dựng và vận tải Sơn Tuyền</t>
  </si>
  <si>
    <t>Công ty TNHH Than công nghiệp Minh Khuê</t>
  </si>
  <si>
    <t>Công ty TNHH thiết bị và công nghệ số Global</t>
  </si>
  <si>
    <t>Công ty TNHH TM&amp;XD Hải Tín</t>
  </si>
  <si>
    <t>Công ty TNHH Thiết bị và Công nghệ Envi</t>
  </si>
  <si>
    <t>Công ty Cổ phần Công nghệ &amp; Thiết bị VPM</t>
  </si>
  <si>
    <t>Công Ty Cổ Phần Máy và Thiết Bị TST</t>
  </si>
  <si>
    <t>Công ty TNHH Thương mại Gia Minh</t>
  </si>
  <si>
    <t>Công ty TNHH đầu tư và dịch vụ Lan Chi- Siêu thị Lan Chi Chúc Sơn</t>
  </si>
  <si>
    <t>CÔNG TY TNHH CƠ KHÍ GIA LONG PHÁT 1</t>
  </si>
  <si>
    <t>CÔNG TY CỔ PHẦN KỸ THUẬT ĐIỆN KAVINA VIỆT NAM</t>
  </si>
  <si>
    <t>Chi nhánh Thương Mại Phổ yên - Công ty CPPT Thương mại Thái Nguyên</t>
  </si>
  <si>
    <t>CÔNG TY TNHH GIẢI PHÁP KỸ THUẬT CÔNG NGHỆ VIỆT NAM</t>
  </si>
  <si>
    <t>Công Ty TNHH Nguyễn Hoàng</t>
  </si>
  <si>
    <t>Công Ty TNHH MTV Tiến Mai</t>
  </si>
  <si>
    <t>CÔNG TY TNHH ECO SYS KIM TRƯỜNG PHÁT</t>
  </si>
  <si>
    <t>Công ty TNHH Đầu Tư Dầu Khí Hà Nội</t>
  </si>
  <si>
    <t>Công ty TNHH thương mại và dịch vụ TMC Việt Nam</t>
  </si>
  <si>
    <t>Công ty TNHH Sản Xuất Cơ Khí Và Xây Dựng - NT</t>
  </si>
  <si>
    <t>Công ty TNHH Xây dựng và Môi trường Minh An</t>
  </si>
  <si>
    <t>Công Ty TNHH SaniTech</t>
  </si>
  <si>
    <t>Chi nhánh công ty CP Dược VTYT Hải Dương tại huyện Cẩm Giàng</t>
  </si>
  <si>
    <t>Công ty Cổ phần Giải Pháp Không Gian Mới</t>
  </si>
  <si>
    <t>Công Ty TNHH Đầu Tư Thương Mại Dịch Vụ Minh Anh</t>
  </si>
  <si>
    <t>CÔNG TY CỔ PHẦN TỰ ĐỘNG HOÁ AMETECH</t>
  </si>
  <si>
    <t>Công ty TNHH phát triển Bình Thuận</t>
  </si>
  <si>
    <t>CÔNG TY TNHH KỸ THUẬT CÔNG NGHIỆP TÂN LỘC PHÁT</t>
  </si>
  <si>
    <t>Công ty TNHH Thương Mại và Xây dựng Tổng Hợp An Bình</t>
  </si>
  <si>
    <t>Công Ty TNHH MTV Xây Dựng và Thương Mại HVL</t>
  </si>
  <si>
    <t>Công ty TNHH xuất nhập khẩu và TM Anh Đức</t>
  </si>
  <si>
    <t>Công ty tnhh xây dựng công nghiệp MỸ PHÚ NGUYỄN</t>
  </si>
  <si>
    <t>Công Ty TNHH MTV Tiến Phát QT</t>
  </si>
  <si>
    <t>Công ty TNHH một thành viên Như Lâm</t>
  </si>
  <si>
    <t>Công ty TNHH MTV Kỹ Thuật Hoàng Đức</t>
  </si>
  <si>
    <t>CÔNG TY TNHH MTV BÁ TÁNH</t>
  </si>
  <si>
    <t>Công ty TNHH Nhật Anh</t>
  </si>
  <si>
    <t>CÔNG TY CP QUẢNG CÁO VÀ PHÁT HÀNH BÁO CHÍ THĂNG LONG</t>
  </si>
  <si>
    <t>CÔNG TY TNHH CƠ ĐIỆN LẠNH HÀ NHÂN</t>
  </si>
  <si>
    <t>Công ty TNHH Dịch vụ Công nghiệp Hoàng Hà</t>
  </si>
  <si>
    <t>Công ty Cổ phần công nghiệp xây dựng Ychi Việt Nam</t>
  </si>
  <si>
    <t>CÔNG TY CỔ PHẦN TẬP ĐOÀN KỸ THUẬT VÀ CÔNG NGHIỆP VIỆT NAM</t>
  </si>
  <si>
    <t>CÔNG TY TNHH THIẾT BỊ CÔNG NGHIỆP NHẤT TÂM PHÁT</t>
  </si>
  <si>
    <t>Công ty TNHH Kỹ thuật công nghệ DKSH</t>
  </si>
  <si>
    <t>Công ty cổ phần thú y Amavac</t>
  </si>
  <si>
    <t>Công ty cổ phần công nghiệp Dentachi Việt Nam</t>
  </si>
  <si>
    <t>Công ty TNHH Tư Vấn Đầu Tư và Phát Triển Kỹ Thuật Xây Dựng CITOC</t>
  </si>
  <si>
    <t>Công ty TNHH Thương Mại Bảo Ngọc</t>
  </si>
  <si>
    <t>Công ty TNHH Công nghiệp Lửa Việt</t>
  </si>
  <si>
    <t>Công ty TNHH Thương mại và Công nghệ Hồng Phát</t>
  </si>
  <si>
    <t>Công Ty TNHH Thiết Bị Giặt Là Hòa Phát</t>
  </si>
  <si>
    <t>CÔNG TY TNHH XUẤT NHẬP KHẨU THIẾT BỊ SỐ 10</t>
  </si>
  <si>
    <t>Công Ty TNHH KSP Việt Nam - Chi Nhánh Hải Dương</t>
  </si>
  <si>
    <t>CÔNG TY TNHH MTV DỊCH VỤ VÀ CÔNG NGHỆ NUÔI
TRỒNG THỦY SẢN</t>
  </si>
  <si>
    <t>Công ty TNHH MTV Dịch vụ Vận Tải Hiền Hòa</t>
  </si>
  <si>
    <t>Tổng Công Ty Cổ Phần Công Trình Viettel</t>
  </si>
  <si>
    <t>Công ty TNHH ONC</t>
  </si>
  <si>
    <t>Công ty cổ phần công nghệ Viteq Việt Nam</t>
  </si>
  <si>
    <t>CÔNG TY TRÁCH NHIỆM HỮU HẠN MỘT THÀNH VIÊN CƠ ĐIỆN NGUYỄN TUẤN</t>
  </si>
  <si>
    <t>Công ty cổ phần Xây dựng và Dịch vụ An Sinh</t>
  </si>
  <si>
    <t>Công ty cổ phần xây dựng và cây xanh Hà Đô</t>
  </si>
  <si>
    <t>Công ty CP dược phẩm và Thương mại Ánh Dương</t>
  </si>
  <si>
    <t>Công ty cổ phần xây lắp, dịch vụ viễn thông và thương mại TND</t>
  </si>
  <si>
    <t>Công ty TNHH TM Vật Tư Dũng Mai</t>
  </si>
  <si>
    <t>Công Ty TNHH Thương Mại và Xây Dựng Tổng Hợp Tuệ Hoàn</t>
  </si>
  <si>
    <t>CÔNG TY TNHH VẬT TƯ THIẾT BỊ KỸ THUẬT HẠ TẦNG</t>
  </si>
  <si>
    <t>CÔNG TY TNHH NHỰA NHẬT MINH</t>
  </si>
  <si>
    <t>CÔNG TY TNHH XÂY LẮP - SẢN XUẤT VÀ THƯƠNG MẠI AN TÍN</t>
  </si>
  <si>
    <t>Công ty tnhh mtv Tôn nhân phát</t>
  </si>
  <si>
    <t>Công ty TNHH Tư vấn vây dựng và thương mại Thịnh An</t>
  </si>
  <si>
    <t>CHI NHÁNH CÔNG TY CP LỮ HÀNH FIDITOUR TẠI CẦN THƠ</t>
  </si>
  <si>
    <t>Công Ty TNHH TST123</t>
  </si>
  <si>
    <t>Công ty CP dịch vụ đầu tư và du lịch Bàn Chân Việt</t>
  </si>
  <si>
    <t>Quầy thuốc Thành Hải</t>
  </si>
  <si>
    <t>Công ty cổ phần phát triển công nghiệp Vĩnh Phúc</t>
  </si>
  <si>
    <t>Nhà Thuốc Hiền Linh</t>
  </si>
  <si>
    <t>Asia Pharma</t>
  </si>
  <si>
    <t>Chi nhánh công ty cổ phẩn Lữ Hành Fiditour tại Hà Nội</t>
  </si>
  <si>
    <t>Công ty TNHH Thương Mại và Sản Xuất Đa Lợi</t>
  </si>
  <si>
    <t>Công ty CPTM &amp; DV Gmax ( Cty Gmax )</t>
  </si>
  <si>
    <t>CÔNG TY TNHH DỊCH VỤ XUÂN NGUYÊN HD</t>
  </si>
  <si>
    <t>Công ty TNHH PQT Việt Nam</t>
  </si>
  <si>
    <t>Cty TNHH Một Thành Viên Nhật Tấn Phát</t>
  </si>
  <si>
    <t>CÔNG TY TNHH THIẾT BỊ CÔNG NGHIỆP TIẾN DŨNG</t>
  </si>
  <si>
    <t>Công ty cổ phần TME Việt Nam</t>
  </si>
  <si>
    <t>CÔNG TY CỔ PHẦN XUẤT NHẬP KHẨU SKY ASIA</t>
  </si>
  <si>
    <t>Công ty cổ phần Đại Phát Composite</t>
  </si>
  <si>
    <t>CÔNG TY TNHH THƯƠNG MẠI VẬT TƯ CÔNG NGHIỆP MINH QUANG</t>
  </si>
  <si>
    <t>Công ty cổ phần công nghiệp Mytek</t>
  </si>
  <si>
    <t>Công Ty TNHH Thương Mại Dược Phẩm -TBYT Thanh Minh</t>
  </si>
  <si>
    <t>CÔNG TY CỔ PHẦN ĐẦU TƯ CÔNG NGHỆ ANCOM</t>
  </si>
  <si>
    <t>Công ty TNHH Thương Mại và Công Nghệ Quốc Tế Việt</t>
  </si>
  <si>
    <t>Công ty TNHH Xây dựng Trịnh Long</t>
  </si>
  <si>
    <t>Công ty cổ phần đầu tư và xây dựng công nghiệp Hà Nội</t>
  </si>
  <si>
    <t>công ty tnhh dược phẩm y tế tâm tín thành</t>
  </si>
  <si>
    <t>Doanh nghiệp tư nhân Nga Minh</t>
  </si>
  <si>
    <t>CÔNG TY TNHH THIẾT BỊ CÔNG NGHIỆP VÀ TỰ ĐỘNG HOÁ AUMI</t>
  </si>
  <si>
    <t>Công ty TNHH Vật tư Khoa học Công nghệ T&amp;T</t>
  </si>
  <si>
    <t>Công ty CP Môi Trường APT - Seraphin Hải Dương</t>
  </si>
  <si>
    <t>Công Ty TNHH Xây Dựng Và Lắp Đặt Thành Đạt</t>
  </si>
  <si>
    <t>Công ty Cổ Phần Du lịch và Dịch Vụ Happy Go</t>
  </si>
  <si>
    <t>Công ty TNHH Quốc Tế Tân Trường</t>
  </si>
  <si>
    <t>Công ty TNHH thương mại và dịch vụ Trí Lộc Phát</t>
  </si>
  <si>
    <t>Công ty cổ phần tập đoàn Long Phương</t>
  </si>
  <si>
    <t>Công ty TNHH Thiết Bị và Công Nghệ Châu Giang</t>
  </si>
  <si>
    <t>Công ty cổ phần Suntech Vietnam</t>
  </si>
  <si>
    <t>Công ty TNHH Văn Phòng Xanh</t>
  </si>
  <si>
    <t>Công ty TNHH Matador Việt Nam</t>
  </si>
  <si>
    <t>CÔNG TY CỔ PHẦN CÔNG NGHỆ VÀ ĐẦU TƯ INTECH</t>
  </si>
  <si>
    <t>Công Ty TNHH Quảng Cáo Sơn Minh</t>
  </si>
  <si>
    <t>Công ty TNHH MTV Nakami Quảng Trị</t>
  </si>
  <si>
    <t>Cty TNHH Quảng Cáo Và Trang Trí Nội Ngoại Thất Mặt Trời</t>
  </si>
  <si>
    <t>Công ty TNHH XNK BNG</t>
  </si>
  <si>
    <t>công ty cổ phần thiết bị vật tư Minh Hải</t>
  </si>
  <si>
    <t>CÔNG TY CỔ PHẦN THƯƠNG MẠI VÀ ĐẦU TƯ AN PHÚ HƯNG</t>
  </si>
  <si>
    <t>CÔNG TY CỔ PHẦN XUÂN HÒA VIỆT NAM</t>
  </si>
  <si>
    <t>Công ty Cổ phần Nichitech</t>
  </si>
  <si>
    <t>Công ty TNHH Hùng Đồng</t>
  </si>
  <si>
    <t>Công ty tnhh Thương Mại và Dịch Vụ Thành Đạt Hà Nam</t>
  </si>
  <si>
    <t>Công ty TNHH Thương Mại Sao Mai</t>
  </si>
  <si>
    <t>Công ty TNHH Dệt May Mai Linh</t>
  </si>
  <si>
    <t>Công ty TNHH Kỹ Thương Minh Long</t>
  </si>
  <si>
    <t>Công ty TNHH Xây Dựng Quốc Anh</t>
  </si>
  <si>
    <t>CTY TNHH THƯƠNG MẠI-DỊCH VỤ HÓA KHOA</t>
  </si>
  <si>
    <t>Công ty Cổ Phần Aphamra - Công ty Cổ Phần Abio Việt Nam - Công Ty Cổ Phần Avet Việt Nam</t>
  </si>
  <si>
    <t>Công ty Cổ phần Hóa Dược Việt Nam</t>
  </si>
  <si>
    <t>Công Ty TNHH Thương mại Dịch Vụ Tín Mỹ An</t>
  </si>
  <si>
    <t>CÔNG TY TNHH THƯƠNG MẠI - DỊCH VỤ ĐẠI NHẬT ANH</t>
  </si>
  <si>
    <t>CÔNG TY TNHH OLMIX ASIALAND VIỆT NAM</t>
  </si>
  <si>
    <t>CÔNG TY TNHH VIỆT PHÁP QUỐC TẾ</t>
  </si>
  <si>
    <t>CÔNG TY TNHH THƯƠNG MẠI GOLDRIVER</t>
  </si>
  <si>
    <t>CÔNG TY CỔ PHẦN THÔNG MINH MK</t>
  </si>
  <si>
    <t>Công ty TNHH Thương mại và kỹ thuật Châu Á</t>
  </si>
  <si>
    <t>CÔNG TY TNHH ĐẠI THANH KÝ</t>
  </si>
  <si>
    <t>CÔNG TY TNHH THIẾT KẾ KHỞI THÀNH</t>
  </si>
  <si>
    <t>CÔNG TY TNHH CƠ KHÍ XÂY DỰNG NBC</t>
  </si>
  <si>
    <t>CÔNG TY TNHH FFA VIỆT NAM</t>
  </si>
  <si>
    <t>CÔNG TY TNHH THƯƠNG MẠI DỊCH VỤ KỸ THUẬT MEKONG TÍN PHÁT</t>
  </si>
  <si>
    <t>CÔNG TY TNHH ĐẦU TƯ PHÁT TRIỂN HIỀN PHÁT</t>
  </si>
  <si>
    <t>CÔNG TY TNHH MỘT THÀNH VIÊN PHÚC KHANG</t>
  </si>
  <si>
    <t>Công ty CP thuốc thú y Trung Ương Navetco</t>
  </si>
  <si>
    <t>Công ty TNHH TM-DV Tài Phát</t>
  </si>
  <si>
    <t>CÔNG TY TNHH XÂY DỰNG MỘC QUANG</t>
  </si>
  <si>
    <t>CÔNG TY TNHH QUỐC HÙNG</t>
  </si>
  <si>
    <t>Công ty cổ phần đầu tư VĐT Việt Nam</t>
  </si>
  <si>
    <t>Công Ty TNHH Công Nghiệp Trí Cường</t>
  </si>
  <si>
    <t>Công Ty TNHH Hipra Việt Nam</t>
  </si>
  <si>
    <t>CÔNG TY TNHH TM DV XUẤT NHẬP KHẨU NAM THẮNG</t>
  </si>
  <si>
    <t>CÔNG TY TNHH KỸ THUẬT NOVATECH</t>
  </si>
  <si>
    <t>Công Ty TNHH Thương Mại và Kỹ Thuật FA Việt Nam</t>
  </si>
  <si>
    <t>CÔNG TY TNHH SONG SONG</t>
  </si>
  <si>
    <t>CÔNG TY TNHH THƯƠNG MẠI - DỊCH VỤ KỸ THUẬT VINH ĐỨC</t>
  </si>
  <si>
    <t>CTY TNHH TM Dịch Vụ Nam Giang</t>
  </si>
  <si>
    <t>Công ty TNHH Nguyên Anh</t>
  </si>
  <si>
    <t>Công Ty TNHH Thương Mại Dịch VụĐiện Cơ Thế Hưng</t>
  </si>
  <si>
    <t>công ty TNHH MTV DV ĐIỆN CƠ MINH HIẾU</t>
  </si>
  <si>
    <t>Công Ty TNHH MTV Cơ Khí Thái An</t>
  </si>
  <si>
    <t>CÔNG TY TNHH KỸ THUẬT THƯƠNG MẠI THÁI KHƯƠNG</t>
  </si>
  <si>
    <t>CÔNG TY CỔ PHẦN QUỐC TẾ HỢP PHÁT</t>
  </si>
  <si>
    <t>CÔNG TY TNHH THƯƠNG MẠI DỊCH VỤ KỸ THUẬT A&amp;E</t>
  </si>
  <si>
    <t>CÔNG TY TNHH KCN TRÍ DŨNG</t>
  </si>
  <si>
    <t>Điện cơ Thế Hùng</t>
  </si>
  <si>
    <t>CÔNG TY TNHH CÔNG NGHỆ CPVN</t>
  </si>
  <si>
    <t>Công ty TNHH Công Nghệ Chính Xác Nam Tân</t>
  </si>
  <si>
    <t>công ty tnhh nhựa xốp minh anh</t>
  </si>
  <si>
    <t>CTY TNHH MTV Cơ Khí TM Dịch Vụ Vĩnh Khoa</t>
  </si>
  <si>
    <t>CÔNG TY TNHH THIẾT BỊ KHOA HỌC KỸ THUẬT PHÚ THÀNH</t>
  </si>
  <si>
    <t>Công ty TNHH TMDV Việt Hồng</t>
  </si>
  <si>
    <t>Công ty cổ phần kỹ thuật tự động Song Nguyên</t>
  </si>
  <si>
    <t>CÔNG TY TNHH NN PHÚC HƯNG</t>
  </si>
  <si>
    <t>Công ty TNHH MTV Ngọc Trí Phát</t>
  </si>
  <si>
    <t>Công Ty TNHH TM Và DV Thuận Thành Phát</t>
  </si>
  <si>
    <t>Cty TNHH thương mại dịch vụ xuất nhập khẩu hoàng gia hân</t>
  </si>
  <si>
    <t>CÔNG TY TNHH TM DV QUẢNG CÁO SALA</t>
  </si>
  <si>
    <t>Công ty TNHH SX TM DV Tân Đạt Thắng</t>
  </si>
  <si>
    <t>CÔNG TY TNHH SX TM TỔNG HỢP II</t>
  </si>
  <si>
    <t>CÔNG TY CP TMDV SAO NAM AN</t>
  </si>
  <si>
    <t>CÔNG TY TNHH TM DV CƠ KHÍ HUỲNH BẰNG</t>
  </si>
  <si>
    <t>Công Ty TNHH kHÓA NIÊM PHONG HOÀNG HÀ</t>
  </si>
  <si>
    <t>CÔNG TY TNHH TM DV CƠ ĐIỆN TIẾN PHÁT</t>
  </si>
  <si>
    <t>Cty TNHH TM và DV XNK Thành Mỹ</t>
  </si>
  <si>
    <t>Công ty TNHH Bạch Mã Sơn</t>
  </si>
  <si>
    <t>CÔNG TY TNHH TỰ ĐỘNG HÓA CHÂN KHÔNG VIỆT NAM</t>
  </si>
  <si>
    <t>CÔNG TY TNHH KỸ THUẬT ĐIỆN LẠNH VINH NAM</t>
  </si>
  <si>
    <t>CÔNG TY CỔ PHẦN THIẾT BỊ VÀ HÓA CHẤT ĐÔNG NAM</t>
  </si>
  <si>
    <t>CÔNG TY TNHH SẢN XUẤT VÀ THƯƠNG MẠI HOÀNG NHẬT VŨ</t>
  </si>
  <si>
    <t>Công ty Cổ Phần Kỹ Thuật và Thương Mại Hoàng Minh</t>
  </si>
  <si>
    <t>CÔNG TY TNHH VĂN MINH</t>
  </si>
  <si>
    <t>CÔNG TY CỔ PHẦN SẢN XUẤT THƯƠNG MẠI TUYẾT PHƯƠNG NAM</t>
  </si>
  <si>
    <t>CÔNG TY TNHH SX TM NGUYỄN BÌNH</t>
  </si>
  <si>
    <t>CTY TNHH SX TM XNK VÀ DVKT LÂM NGUYỄN</t>
  </si>
  <si>
    <t>CÔNG TY TNHH THƯƠNG MẠI NGUYÊN XƯƠNG</t>
  </si>
  <si>
    <t>Công ty CP Thiết Bị &amp; Dịch Vụ Đồng Lợi</t>
  </si>
  <si>
    <t>CN Tại Khánh Hòa CTY CP TM Và Dịch Vụ Ngọc Hà</t>
  </si>
  <si>
    <t>CÔNG TY TNHH THƯƠNG MẠI CHÍNH QUANG</t>
  </si>
  <si>
    <t>Công Ty TNHH Hóa Dược Hữu Tín</t>
  </si>
  <si>
    <t>công ty TNHH một thành viên cơ khí TRỌNG HỮU THÀNH</t>
  </si>
  <si>
    <t>CÔNG TY TNHH THƯƠNG MẠI DỊCH VỤ LÂM GIA PHÚ</t>
  </si>
  <si>
    <t>Công ty TNHH Khoa Học Kỹ Thuật Gia Định</t>
  </si>
  <si>
    <t>Công ty TNHH TVTK Tín Nghĩa</t>
  </si>
  <si>
    <t>CÔNG TY TNHH THIẾT BỊ THÔNG MINH &amp; THANG MÁY BÔNG SEN VÀNG</t>
  </si>
  <si>
    <t>CÔNG TY TNHH SẢN XUẤT VÀ THƯƠNG MẠI ĐÔNG BẮC VI NA</t>
  </si>
  <si>
    <t>CÔNG TY CỔ PHẦN ĐÔ VIỆT</t>
  </si>
  <si>
    <t>Medin</t>
  </si>
  <si>
    <t>CÔNG TY TNHH SẢN XUẤT VÀ ĐTTM TUẤN TÚ</t>
  </si>
  <si>
    <t>CÔNG TY CỔ PHẦN THIẾT BỊ CÔNG NGHIỆP SUNWAY VIỆT NAM</t>
  </si>
  <si>
    <t>CÔNG TY TNHH ỨNG DỤNG PTCN ECAPRO</t>
  </si>
  <si>
    <t>Công Ty TNHH KSP Việt Nam</t>
  </si>
  <si>
    <t>Công ty TNHH MTV Trồng Rau Sạch Rau Mầm Xuân Anh</t>
  </si>
  <si>
    <t>Công ty cổ phần công nghệ máy và xây lắp Vnpro</t>
  </si>
  <si>
    <t>Công Ty TNHH Xây Dựng Mỹ Thuật Đạt Vinh</t>
  </si>
  <si>
    <t>Công ty Lữ hành Hanoitourist</t>
  </si>
  <si>
    <t>CÔNG TY CP TRỪ MỐI KHỬ TRÙNG HÀ NỘI</t>
  </si>
  <si>
    <t>Công Ty TNHH QT Nguyễn Hoàng Huy</t>
  </si>
  <si>
    <t>Công ty TNHH Thiết bị y tế Phương Đông</t>
  </si>
  <si>
    <t>Công ty Cổ phần Khử trùng Việt Nam - Chi nhánh Đà Nẵng</t>
  </si>
  <si>
    <t>Công ty cổ phần tư vấn Môi trường Xây dựng và Thương mại Green</t>
  </si>
  <si>
    <t>CTY TNHH Dịch Vụ Bảo Vệ Trường Anh</t>
  </si>
  <si>
    <t>Công Ty Cổ Phần Quản Lý Công Trình Đô Thị Hải Dương</t>
  </si>
  <si>
    <t>Công Ty TNHH Xuất Nhập Khẩu Khang Ninh</t>
  </si>
  <si>
    <t>Công ty Môi trường Đô thị Xuân Mai</t>
  </si>
  <si>
    <t>CTY TNHH MTV Đức Đoan</t>
  </si>
  <si>
    <t>CTY CP Tiết Kiệm Năng Lượng Bách Khoa</t>
  </si>
  <si>
    <t>Công ty Cổ phần Xây lắp và Thương mại Ngân Hà</t>
  </si>
  <si>
    <t>CÔNG TY TNHH TƯ VẤN VÀ XÂY DỰNG ĐỨC ĐẠT</t>
  </si>
  <si>
    <t>Chi nhánh Công ty TNHH Rentokil Initial (Việt Nam) tại Hà Nội</t>
  </si>
  <si>
    <t>Công Ty CP Phòng Cháy Chữa Cháy Và Thông Gió Hà Nội</t>
  </si>
  <si>
    <t>Cụm TTCN nam Châu Sơn, Phường Châu Sơn, Thành phố Phủ Lý, Tỉnh Hà Nam.</t>
  </si>
  <si>
    <t>Công Ty TNHH Nagase Việt Nam</t>
  </si>
  <si>
    <t>CTY CP Chuyên Bán Buôn BATOS</t>
  </si>
  <si>
    <t>DRAGON LOGISTICS CO.,LTD (DRACO)
E4A- Thang Long Industrial Park, Kim Chung Commune, Dong Anh District, Ha Noi City, Viet Nam</t>
  </si>
  <si>
    <t>WV99 +H4Q, Đại Đồng, Thanh Trì, Hà Nội.</t>
  </si>
  <si>
    <t>Số 292 Lê Duẩn, Phường Đông Giang, TP Đông Hà, T Quảng Trị</t>
  </si>
  <si>
    <t>Công ty Cổ Phần Công nghệ Môi Trường Toàn Á</t>
  </si>
  <si>
    <t>CÔNG TY TNHH XÂY DỰNG VÀ HOÀN THIỆN NỘI THẤT MINH ĐỨC</t>
  </si>
  <si>
    <t>Công ty cổ phần Tây Bắc Group</t>
  </si>
  <si>
    <t>Công ty TNHH STD &amp; P</t>
  </si>
  <si>
    <t>CÔNG TY CỔ PHẦN THƯƠNG MẠI VÀ DỊCH VỤ HƯNG THỊNH HD 68</t>
  </si>
  <si>
    <t>CÔNG TY CỔ PHẦN NAAN</t>
  </si>
  <si>
    <t>TỔNG CÔNG TY CỔ PHẦN BƯU CHÍNH VIETTEL</t>
  </si>
  <si>
    <t>CÔNG TY TNHH TESFA</t>
  </si>
  <si>
    <t>Công Ty CP Phát Triển Công Nghiệp và Đô Thị Việt Nam</t>
  </si>
  <si>
    <t>Công ty TNHH Kinh Doanh và xây dựng Kim Long</t>
  </si>
  <si>
    <t>CÔNG TY CỔ PHẦN TỰ ĐỘNG HÓA AFM VIỆT NAM</t>
  </si>
  <si>
    <t>Trung tâm Y tế Dệt May</t>
  </si>
  <si>
    <t>Công ty Cổ phần Dịch Vụ và Ứng dụng Tự động A2S</t>
  </si>
  <si>
    <t>Công ty TNHH Thương mại và Giải pháp kỹ thuật I-GREEN</t>
  </si>
  <si>
    <t>Công ty TNHH đầu tư xây dựng Anh Anh</t>
  </si>
  <si>
    <t>CÔNG TY TNHH MỘT THÀNH VIÊN HOA ĐẠI</t>
  </si>
  <si>
    <t>Công ty Cổ phần Sản xuất Công nghiệp AMC</t>
  </si>
  <si>
    <t>Công ty cổ phần Công nghệ Môi Trường Smart</t>
  </si>
  <si>
    <t>CÔNG TY CỔ PHẦN MÔI TRƯỜNG ETH</t>
  </si>
  <si>
    <t>Công ty TNHH Môi Trường Xây Dựng ACE</t>
  </si>
  <si>
    <t>Plan</t>
  </si>
  <si>
    <t>Vũng Tàu</t>
  </si>
  <si>
    <t>Ấp An Điền, Xã Lộc An, Huyện Đất Đỏ, Tỉnh Bà Rịa - Vũng Tàu, Việt Nam</t>
  </si>
  <si>
    <t>Công Ty TNHH Lưu Phan</t>
  </si>
  <si>
    <t>General Supplies</t>
  </si>
  <si>
    <t>Đồng Nai</t>
  </si>
  <si>
    <t>Tổ 1, Ấp 2, Xã An Viễn, Huyện Trảng Bom, Tỉnh Đồng Nai, Việt Nam</t>
  </si>
  <si>
    <t>CTY TNHH Xuất Nhập Khẩu Tia Sáng</t>
  </si>
  <si>
    <t>HCM</t>
  </si>
  <si>
    <t>Tổ 123, ấp Đông, Xã Thới Tam Thôn, Huyện Hóc Môn, TP.HCM</t>
  </si>
  <si>
    <t>CTY TNHH TM Dịch Vụ Nông Nghiệp Minh Khánh</t>
  </si>
  <si>
    <t>Bình Dương</t>
  </si>
  <si>
    <t>Số 31, Lô O, đường Lý Thái Tổ, P. Hòa Phú, TP. Thủ Dầu Một, T. Bình Dương</t>
  </si>
  <si>
    <t>CÔNG TY TNHH XNK CÔNG NGHỆ HIMITECH</t>
  </si>
  <si>
    <t>Văn Phòng: Tổ 26, Khu phố 4C, P. Trảng Dài, Biên Hòa, Đồng Nai</t>
  </si>
  <si>
    <t>Re-audit 2022</t>
  </si>
  <si>
    <t>Area</t>
  </si>
  <si>
    <t>North</t>
  </si>
  <si>
    <t>South</t>
  </si>
  <si>
    <t>Cụm CN Quất Động, H. Thường Tín, Hà Nội</t>
  </si>
  <si>
    <t>2019</t>
  </si>
  <si>
    <t>Km12, Đường Ngọc Hồi - Hà Nội</t>
  </si>
  <si>
    <t>Thạch Oai, Hà Nội</t>
  </si>
  <si>
    <t>Ingredients</t>
  </si>
  <si>
    <t>Số 14, Đường 11, KCN VSIP Bắc Ninh, X. Phù Chẩn, TX. Từ Sơn, Bắc Ninh</t>
  </si>
  <si>
    <t>Cụm tiểu thủ CN Kim Bình, X. Kim Bình, Tp. Phủ Lý, Hà Nam</t>
  </si>
  <si>
    <t>Khu CN Phố Nối A, X. Lạc Đạo, H. Văn Lâm, Hưng Yên</t>
  </si>
  <si>
    <t>BSCI</t>
  </si>
  <si>
    <t>Số 223, Đường Mạc Đăng Doan, P. Hưng Đạo, Q. Dương Kinh, Hải Phòng</t>
  </si>
  <si>
    <t>Khu Hành Chính, Thị trấn Lâm Thao, H. Lâm Thao, Phú Thọ</t>
  </si>
  <si>
    <t>Fuel/Gasolene</t>
  </si>
  <si>
    <t>48 Hùng Vương, P. Phú Nhuận, TP. Huế, Thừa Thiên Huế</t>
  </si>
  <si>
    <t>137 Huỳnh Thúc Kháng, TP. Huế, Thừa Thiên Huế</t>
  </si>
  <si>
    <t>Công ty TNHH MTV TM và XD Song Long</t>
  </si>
  <si>
    <t>53B, Phạm Văn Đồng, TP. Huế, Thừa Thiên Huế</t>
  </si>
  <si>
    <t>Công ty TNHH Kiến trúc và TM Á Châu</t>
  </si>
  <si>
    <t>Lô 4, đường số 10, KCN Hòa Khánh, Đà Nẵng</t>
  </si>
  <si>
    <t>KCN Bắc Chu Lai, X. Tam Hiệp, H. Núi Thành, Quảng Nam</t>
  </si>
  <si>
    <t>Hà Nội</t>
  </si>
  <si>
    <t>Re-audit theo bộ PU-006</t>
  </si>
  <si>
    <t>Office Hà Nội: Số 13, Lô 1G, Khu Đô Thị Trung Yên, Trung Hòa, Cầu Giấy TP.Hà Nội( có office TP.HCM).</t>
  </si>
  <si>
    <t>Head office HN: Số 2 - Lô 3A - Khu Đô Thị Trung Yên ,P. Trung Hòa, Q.  Cầu Giấy, Hà Nội(Office: TP.HCM), Kho cách 50m.</t>
  </si>
  <si>
    <t xml:space="preserve">Office:52 Phố chùa Hà, Cầu giấy HN, kho cách 100m.                                                                                        </t>
  </si>
  <si>
    <t>Office: Phòng 907, nhà B, Khách sạn thể thao- 15 Lê Văn Thiêm, Hà Nội(Kho xăng dầu: Cảng Đình Vũ, Hải Phòng).</t>
  </si>
  <si>
    <t>Hải Dương</t>
  </si>
  <si>
    <t>Khu Đồn Điền, Xã Đồng Lương, Huyện Cẩm Khuê, Tỉnh Phú Thọ</t>
  </si>
  <si>
    <t>Lô CN3_1, KCN Quang Minh, Bạch Sam, Mỹ Hào, Hưng Yên</t>
  </si>
  <si>
    <t>ĐD CĐ Nông nghiệp và Phát triển Nông thôn Bắc Bộ, tt.Xuân Mai, Huyện Chương Mỹ, TP Hà Nội, Việt Nam</t>
  </si>
  <si>
    <t>Số 75LK9, tổng cục 5, Yên Xá, Tân Triều, Thanh Trì, Hà Nội</t>
  </si>
  <si>
    <t>Chi Nhánh Công Ty TNHH Kiến Vương Tại Hưng Yên</t>
  </si>
  <si>
    <t>Lô CN3_1, KCN Minh Quang, Bạch Sam, Mỹ Hào, Hưng Yên</t>
  </si>
  <si>
    <t xml:space="preserve">Không đạt </t>
  </si>
  <si>
    <t>2025</t>
  </si>
  <si>
    <t>CTY TNHH Xây Dựng - TM Minh An</t>
  </si>
  <si>
    <t>206, Đường số 1, Khu phố Ông Nhiêu, Phường Long Trường, quận 9, TpHCM.</t>
  </si>
  <si>
    <t>Công Ty TNHH Neo Nam Việt</t>
  </si>
  <si>
    <t>Số 1, đường số 4, P. Bình An, Quận 2, Tp. HCM</t>
  </si>
  <si>
    <t>04/08/2025, KFC</t>
  </si>
  <si>
    <t>Công Ty TNHH Renew</t>
  </si>
  <si>
    <t xml:space="preserve"> Bình Định</t>
  </si>
  <si>
    <t>Xưởng:  556 Âu Cơ- Bùi Thị Xuân , Thành Phố Quy Nhơn , tỉnh Bình Định</t>
  </si>
  <si>
    <t>Công Ty TNHH Thương Mại Hoàng Phong</t>
  </si>
  <si>
    <t>Số 566 Trần Phú, Phường Bình Định,Thị Xã An Nhơn,Tỉnh Bình Định, Việt Nam</t>
  </si>
  <si>
    <t>CN CTY CP Khử Trùng VN Tại Quy Nhơn</t>
  </si>
  <si>
    <t>263 Trần Hưng Đạo, Tp. Quy Nhơn,Bình Định,  Việt Nam</t>
  </si>
  <si>
    <t>CTY TNHH TM Và Dịch Vụ HDC</t>
  </si>
  <si>
    <t>Số 263/5/6 Hoàng Văn Thụ, P. Ngô Mây,TP. Quy Nhơn,T. Bình Định, VN</t>
  </si>
  <si>
    <t>CN CTY TNHH Gas Petrolimex Đà Nẵng Tại Bình Định</t>
  </si>
  <si>
    <t>Lô D6-02 KCN Nhơn Hội - Khu A, Khu kinh tế Nhơn Hội, X. Nhơn Hội, TP. Quy Nhơn, T. Bình Định</t>
  </si>
  <si>
    <t xml:space="preserve">ISO 9001:2015 </t>
  </si>
  <si>
    <t>Công Ty Cổ Phần Đông Á</t>
  </si>
  <si>
    <t>Khánh Hòa</t>
  </si>
  <si>
    <t>18 Đường Nguyễn Xiển, Tổ 23,Phường Vĩnh Hải,TP Nha Trang, Tỉnh Khánh Hòa, VN</t>
  </si>
  <si>
    <t>FSC
ISO 9001:2015
ISO 45001:2018</t>
  </si>
  <si>
    <t>CTY TNHH TM Dịch Vụ SX Mạnh Cường</t>
  </si>
  <si>
    <t>Ninh Thuận</t>
  </si>
  <si>
    <t>Số 354, Đường Thống Nhất, P. Phú Hà,TP. Phan Rang - Tháp Chàm, T. Ninh thuận</t>
  </si>
  <si>
    <t>CTY TNHH TM - Dịch Vụ Vân Tải Thanh Thuận</t>
  </si>
  <si>
    <t>Binh Thuận</t>
  </si>
  <si>
    <t>Thôn An Bình, Xã Sông Phan, Huyện Hàm Tân, Tỉnh Bình Thuận, Việt Nam</t>
  </si>
  <si>
    <t>CTY TNHH MTV Phú Thành Nhân</t>
  </si>
  <si>
    <t>Số 76/4, Nguyễn Ái Quốc, Khu Phố 5,Phường Trung Dũng, Thành Phố Biên Hòa,Tỉnh Đồng Nai, Việt Nam</t>
  </si>
  <si>
    <t>Công Ty TNHH Ô Tô Lộc Tấn Phát</t>
  </si>
  <si>
    <t>Số 578, Kp4, P. Tân Hiệp,TP. Biên Hòa,T. Đồng Nai, VN</t>
  </si>
  <si>
    <t>Công Ty Cổ Phần Xây Dựng A&amp;C</t>
  </si>
  <si>
    <t>112 Mai Thị Lựu, Phường Đa Kao, Quận 1, TP Hồ Chí Minh, Việt Nam</t>
  </si>
  <si>
    <t>CTY TNHH TM - Dịch Vụ Luân Thành</t>
  </si>
  <si>
    <t>Kho: 58/7D Đường Vĩnh Phú 38, Thuận An, Bình Dương.</t>
  </si>
  <si>
    <t>Công Ty Cổ Phần Mạc Tích</t>
  </si>
  <si>
    <t>Đồng nai</t>
  </si>
  <si>
    <t>Đường số 2, KCN Nhơn Trạch III -Giai Đoạn 2, X. Long Thọ, H. Nhơn TrạchT.Đồng Nai, Việt Nam</t>
  </si>
  <si>
    <t xml:space="preserve">ISO 9001:2015
 ISO 3834-2 : 2021
ISO 45001:2018
</t>
  </si>
  <si>
    <t>Công Ty TNHH Cung Cấp Thực Phẩm Tuệ My</t>
  </si>
  <si>
    <t>Ấp Xóm Đồng, Xã Tân Phú Trung, Huyện Củ Chi, TP.HCM.</t>
  </si>
  <si>
    <t>22/03/2024. KFC</t>
  </si>
  <si>
    <t>CTY TNHH ACE Ingredients (VN)</t>
  </si>
  <si>
    <t>Kho lạnh hoàng hà: Đường Kênh 19/5 Tây Thạnh, Tân Phú, TP HCM.</t>
  </si>
  <si>
    <t>Công Ty TNHH Đồng Phát</t>
  </si>
  <si>
    <t>123B, KP 5, Phường Trảng Dài,Thành phố Biên Hoà,Tỉnh Đồng Nai, Việt Nam</t>
  </si>
  <si>
    <t>Công Ty TNHH Gia Tâm Phát</t>
  </si>
  <si>
    <t>Computer</t>
  </si>
  <si>
    <t>P.135, KP7, P. Thống Nhất,TP. Biên Hòa,T. Đồng Nai, Việt Nam</t>
  </si>
  <si>
    <t>Công Ty TNHH Phát Thiên Phú</t>
  </si>
  <si>
    <t>Vet drug</t>
  </si>
  <si>
    <t>Kho số 3, Cảng Đồng Nai, Chân cầu Đồng Nai</t>
  </si>
  <si>
    <t>CTY TNHH Công Nghiệp FU SHENG (VN)</t>
  </si>
  <si>
    <t>Số 6, Đường 3A, KCN Biên hòa 2, Phường Long Bình Tân, TP. Biên Hòa, Tỉnh Đồng Nai, Việt</t>
  </si>
  <si>
    <t>CTY TNHH Dịch Vụ Năng Lượng Lò Hơi 247</t>
  </si>
  <si>
    <t>Đồng Tháp</t>
  </si>
  <si>
    <t>Xưởng xã Long Hưng B, Lắp Vò, Đồng Tháp</t>
  </si>
  <si>
    <t>Cần thơ</t>
  </si>
  <si>
    <t xml:space="preserve">22, ấp Thới Thuận A, Xã Tân Thạnh,Huyện Thới Lai,Thành phố Cần Thơ, Việt Nam
</t>
  </si>
  <si>
    <t>CTY TNHH MTV Cơ Khí Trọng Hữu Thành</t>
  </si>
  <si>
    <t>Khu vực Thới Ngươn B, Phường Phước Thới,Quận Ô Môn,Thành Phố Cần Thơ, Việt Nam</t>
  </si>
  <si>
    <t>CTY CP TM Dịch Vụ Sao Mai</t>
  </si>
  <si>
    <t>69/30 Đường 30/4, P. Hưng Lợi,Q. Ninh Kiều,TP.Cần Thơ, VN</t>
  </si>
  <si>
    <t>CTY TNHH SX TM Quốc Hưng</t>
  </si>
  <si>
    <t>Khu vực Thới Trinh, Phường Phước Thới, Quận Ô Môn, Thành phố Cần Thơ (Giữa trạm thu phí quận Ô Môn)</t>
  </si>
  <si>
    <t>Công Ty TNHH TM DV Lê Điểm</t>
  </si>
  <si>
    <t>Tiền giang</t>
  </si>
  <si>
    <t>C14 Đường số 4, Khu dân cư Mỹ Thạnh Hưng, P. 6, TP. Mỹ Tho,T. Tiền Giang, VN</t>
  </si>
  <si>
    <t>CTY TNHH SX Và TM Nhật Tiến</t>
  </si>
  <si>
    <t>Long An</t>
  </si>
  <si>
    <t>Lô G Đường Số 03, KCN Hải Sơn, Xã Đức Hòa Hạ, Huyện Đức Hòa, tỉnh Long An</t>
  </si>
  <si>
    <t>ISO 9001:2015
ISO 13485:2017</t>
  </si>
  <si>
    <t>Re-audit 2021</t>
  </si>
  <si>
    <t>CTY TNHH Đầu Tư Và Xây Dựng - TM Quốc Tế Hà Anh</t>
  </si>
  <si>
    <t>Số 22a1, Nguyễn Văn Bứa , Xã Xuân Thới Sơn, Huyện Hóc Môn, TP. HCM</t>
  </si>
  <si>
    <t>CTY TNHH SX Bao Bì Tân Thuận Thiên</t>
  </si>
  <si>
    <t>19/2M Tổ 9, Ấp Thới Tây 1, Xã Tân Hiệp, Huyện Hóc Môn, TP HCM</t>
  </si>
  <si>
    <t>CTY TNHH Hóa Việt</t>
  </si>
  <si>
    <t>229-231 Lê Cao Lãng, Phường Phú Thạnh, Quận Tân Phú, TP HCM</t>
  </si>
  <si>
    <t>CTY Cổ Phần Bao Bì Tín Thành</t>
  </si>
  <si>
    <t>Lô C20, CCN Nhựa Đức Hòa Hạ, Ấp Bình Tiền, Xã Đức Hòa Hạ, H. Đức Hòa, T. Long An</t>
  </si>
  <si>
    <t xml:space="preserve">HACCP
FSSC 22000
BRCS Pakaging Materials </t>
  </si>
  <si>
    <t>ISO 45001:2018
ISO 14001:2015
SA 8000:2014</t>
  </si>
  <si>
    <t>CTY TNHH MTV Vật Liệu Xây Dựng Đặng Tới</t>
  </si>
  <si>
    <t>Bạc Liêu</t>
  </si>
  <si>
    <t>Ấp Bắc Hưng, Xã Vĩnh Hưng A, Huyện Vĩnh Lợi, Tỉnh Bạc Liêu</t>
  </si>
  <si>
    <t>Doanh Nghiệp Tư Nhân Ngọc Vạn I</t>
  </si>
  <si>
    <t>Số 388, Ấp Thị Trấn B, Thị Trấn Hoà Bình, Huyện Hoà Bình, Tỉnh Bạc Liêu</t>
  </si>
  <si>
    <t>CTY TNHH SX &amp; TM Duy Nhật</t>
  </si>
  <si>
    <t>Sóc Trăng</t>
  </si>
  <si>
    <t>Lô O, KCN An Nghiệp, Xã An Hiệp, Huyện Châu Thành, Tỉnh Sóc Trăng</t>
  </si>
  <si>
    <t>ISO 22000:2018
BRC Global Standard for Packaging Materials</t>
  </si>
  <si>
    <t>ISO 14001:2015
FSC
SMETA
Recycled Poly Bags</t>
  </si>
  <si>
    <t>CTY TNHH TM Và Dịch Vụ Thành Tín</t>
  </si>
  <si>
    <t>Số 383 Đường Bạch Đằng, Phường 9, Thành phố Sóc Trăng, Tỉnh Sóc Trăng</t>
  </si>
  <si>
    <t>CTY Cổ Phần Mỹ Lan</t>
  </si>
  <si>
    <t>Trà Vinh</t>
  </si>
  <si>
    <t>KCN Long Đức, Xã Long Đức, TP. Trà Vinh, Tỉnh Trà Vinh</t>
  </si>
  <si>
    <t>CTY TNHH TM Và Dịch Vụ SEPLABEO</t>
  </si>
  <si>
    <t>Bến Tre</t>
  </si>
  <si>
    <t>Ấp Lộc Sơn (Thửa Đất số 42,Tờ Bản Đồ Số 19), X. Lộc Thuận, H. Bình Đại, T. Bến Tre</t>
  </si>
  <si>
    <t>CTY TNHH SX TM Trang Trí Nội Thất Hữu Thịnh</t>
  </si>
  <si>
    <t>Tiền Giang</t>
  </si>
  <si>
    <t>Số 181C Tỉnh Lộ 870B, Xã Trung An, Thành Phố Mỹ Tho, Tỉnh Tiền Giang</t>
  </si>
  <si>
    <t>CN Công Ty TNHH Daesang VN Tại Tây Ninh</t>
  </si>
  <si>
    <t>Lô 14, đường 4, KCN-CX Linh Trung 2, P. Bình Chiểu, Q. Thủ Đức, Tp. HCM</t>
  </si>
  <si>
    <t>ISO 14001:2015
ISO 9001:2015</t>
  </si>
  <si>
    <t>CTY TNHH SX Bao Bì - TM Tân Nguyên Phước</t>
  </si>
  <si>
    <t>Tây Ninh</t>
  </si>
  <si>
    <t>Lô 73D, 74, 80, Khu Chế Xuất Và Công Nghiệp Linh Trung III, P. An Tịnh, TX. Trảng Bàng, T. Tây Ninh</t>
  </si>
  <si>
    <t>ISO 9001:2015
FSC-STD-40-004 V3-1</t>
  </si>
  <si>
    <t>21/05/2024, KFC</t>
  </si>
  <si>
    <t>CTY TNHH MTV TM Dịch Vụ Điện Cơ Minh Hiếu</t>
  </si>
  <si>
    <t>Bình Phước</t>
  </si>
  <si>
    <t>Tổ 01, KP. Phú Nghĩa, P. Phú Đức, TX. Bình Long, T. Bình Phước</t>
  </si>
  <si>
    <t>CTY TNHH SX TM XD Thành Công Phát</t>
  </si>
  <si>
    <t>136, Ấp Tà Thiết, X. Lộc Thịnh, H. Lộc Ninh, T. Bình Phước</t>
  </si>
  <si>
    <t>CTY TNHH SX TM Dịch Vụ Quảng Cáo Rồng Phương Nam</t>
  </si>
  <si>
    <t>Số 27 Đường số 2 , Khu dân cư  Đồng Phượng, Phường Đông Hưng Thuận, Quận 12, TP. Hồ Chí Minh</t>
  </si>
  <si>
    <t>CTY TNHH MTV TM Dịch Vụ Gia Gia Huy</t>
  </si>
  <si>
    <t>108 đường Chiến Lược, P. Bình Trị Đông, Quận Bình Tân, HCM</t>
  </si>
  <si>
    <t>CTY TNHH Khóa Niêm Phong Hoàng Hà</t>
  </si>
  <si>
    <t>49 Đường 3A KDC Nam Hùng Vương, Phường An Lạc, Quận Bình Tân, HCM</t>
  </si>
  <si>
    <t>Công Ty Cổ Phần Tập Đoàn Kido</t>
  </si>
  <si>
    <t>Nhà máy dầu Phú Mỹ - Tường An, KCN Phú Mỹ 1, Thị xã Phú Mỹ, tỉnh Bà Rịa – Vũng Tàu</t>
  </si>
  <si>
    <t>CTY TNHH In Bao Bì Cao Việt</t>
  </si>
  <si>
    <t>Số 35, Đường số 6, KP 7, P. Bình Hưng Hòa B, Q. Bình Tân, TP. HCM</t>
  </si>
  <si>
    <t>ISO 9001:2015
ISO 45001:2018</t>
  </si>
  <si>
    <t>CTY Cổ Phần Công Nghệ DTG</t>
  </si>
  <si>
    <t>272 đường Hòa Hưng, Phường 13, Quận 10, TP. Hồ Chí Minh</t>
  </si>
  <si>
    <t>CTY TNHH Công Nghệ Y Sinh Nam Anh</t>
  </si>
  <si>
    <t>489A/23/183 Huỳnh Văn Bánh, Phường 13, Phú Nhuận, Thành phố Hồ Chí Minh</t>
  </si>
  <si>
    <t>CTY TNHH MTV Thiết Bị Truyền Động Vĩnh Thành</t>
  </si>
  <si>
    <t>Kho: 45 Đỗ Văn Dậy, Ấp Tân Hòa, Xã Tân Hiệp, Huyện Hóc Môn, TPHCM</t>
  </si>
  <si>
    <t>CTY TNHH Một Thành Viên Hữu Gia</t>
  </si>
  <si>
    <t>Số 262, Đường DT741, Khu Phố An Hòa, Phường Hòa Lợi, TX. Bến Cát, T. Bình Dương</t>
  </si>
  <si>
    <t>CTY TNHH Đầu Tư VĐT VN</t>
  </si>
  <si>
    <t>Số 270 Đường Đất Cuốc 04, Ấp Suối Sâu, X. Đất Cuốc, H. Bắc Tân Uyên, T. Bình Dương</t>
  </si>
  <si>
    <t>CTY TNHH TM Dịch Vụ Ngọc Minh Thư</t>
  </si>
  <si>
    <t>Số 38, Khu phố 5, Phường Hố Nai, Tp. Biên Hòa, T. Đồng Nai</t>
  </si>
  <si>
    <t>13/06/2024, KFC</t>
  </si>
  <si>
    <t>CTY TNHH Thương Mại Cao Quân</t>
  </si>
  <si>
    <t>Số 235/35, KP 2, Phường Long Bình, TP Biên Hòa, Tỉnh Đồng Nai</t>
  </si>
  <si>
    <t>CTY Cổ Phần BACON</t>
  </si>
  <si>
    <t>Số 27D, tổ 12, KP Thái Hoà,P. Long Bình Tân, TP. Biên HoàT. Đồng Nai, VN</t>
  </si>
  <si>
    <t>CTY TNHH Chinh Long Long An</t>
  </si>
  <si>
    <t>Lô A2 và A3-1, Đường dọc 2, KCN Phú An Thạnh, Xã An Thạnh, Huyện Bến Lức, Tỉnh Long An</t>
  </si>
  <si>
    <t>ISO 9001:2015
ISO 14001:2015
ISO 45001:2018
FSC</t>
  </si>
  <si>
    <t>CTY TNHH TM Kỹ Thuật Công Nghiệp Phú Xuân</t>
  </si>
  <si>
    <t>Kho: A03- KDC Eco Town,11/11 Nguyễn Văn Bứa, Xuân Thới Sơn, Hóc Môn, Thành Phố Hồ Chí Minh.</t>
  </si>
  <si>
    <t>CTY TNHH Thiết Bị Thiên Uy</t>
  </si>
  <si>
    <t>Kho: 99 Đường Bắc Lân 3, Ấp Bắc Lân, Xã Bà Điểm, Huyện Hóc Môn, Thành Phố Hồ Chí Minh</t>
  </si>
  <si>
    <t>Kho: Số 216 Nguyễn Thị Minh Khai, P. Phú Hòa, Tp Thủ Dầu Một, Bình Dương</t>
  </si>
  <si>
    <t>CTY TNHH Thiết Bị Hoàng Thiên</t>
  </si>
  <si>
    <t>13 Đường Số 11, Khu Dân Cư Cityland Park Hills, Phường 10, Quận Gò Vấp,Thành Phố Hồ Chí Minh</t>
  </si>
  <si>
    <t>Công Ty TNHH Thịnh Tiến Đạt</t>
  </si>
  <si>
    <t>Lô 261, Tổ 2, Khu Phố 1, Thị Trấn Trảng Bom, Huyện Trảng Bom, Đồng Nai
 XÁC NHẬN ĐỊA CHỈ XƯỞNG</t>
  </si>
  <si>
    <t>ISO 9001:2015
ISO 45991:2018
ISO 3834-2:2021</t>
  </si>
  <si>
    <t>Công Ty TNHH Khởi Nguyên</t>
  </si>
  <si>
    <t>Kho_Số 87, Thôn Tây Lạc, Ấp An Chu, Xã Bắc Sơn, Huyện Trảng Bom, Tỉnh Đồng Nai, Việt Nam.</t>
  </si>
  <si>
    <t>CTY TNHH Thiết Bị Công Nghiệp Huy Khang</t>
  </si>
  <si>
    <t>Số 1368 Hẻm 1423/286, Khu phố Vườn Dừa,Phường Phước Tân, Thành phố Biên Hoà,Tỉnh Đồng Nai, Việt Nam</t>
  </si>
  <si>
    <t>Công Ty TNHH ANPHACHEM</t>
  </si>
  <si>
    <t>Kho_Lô H4-2 Đường N3, KCN Đông Nam, Bình Mỹ, Củ Chi, TP.HCM</t>
  </si>
  <si>
    <t>Re-audit 2021,  KFC</t>
  </si>
  <si>
    <t xml:space="preserve">Công ty TNHH DSM Nutritional Products Việt Nam </t>
  </si>
  <si>
    <t>Bình dương</t>
  </si>
  <si>
    <t>Số 9 VSIP II-A, đường số 14, Khu công nghiệp Việt Nam-Singapore II-A, Phường Vĩnh Tân, Thành phố Tân Uyên, Tỉnh Bình Dương, Việt Nam</t>
  </si>
  <si>
    <t>CTY TNHH TM Và Dịch Vụ Siam Brothers VN</t>
  </si>
  <si>
    <t>Long an</t>
  </si>
  <si>
    <t>Lô E, đường số 7, KCN Thái Hòa,X. Đức Lập Hạ, H. Đức Hòa,T. Long An, VN</t>
  </si>
  <si>
    <t>CTY TNHH MTV Châu Anh Khoa</t>
  </si>
  <si>
    <t>Số 5/104A, KP. 3, P.Tam Hòa,TP. Biên Hòa,T. Đồng Nai, VN</t>
  </si>
  <si>
    <t>Công Ty TNHH 2M</t>
  </si>
  <si>
    <t>458/49 KP.2, Huỳnh Tấn Phát,P. Bình Thuận, Quận 7,TP. HCM</t>
  </si>
  <si>
    <t>Re-audit 2022, KFC</t>
  </si>
  <si>
    <t>CTY TNHH Premier Tech Systems And Automation VN</t>
  </si>
  <si>
    <t>Tầng 01 (trệt), số 400, đường Nguyễn ThịThập, P. Tân Quy, Q. 7,TP. HCM, VN</t>
  </si>
  <si>
    <t>CTY TNHH Phát Triển Công Nghệ Miền Nam</t>
  </si>
  <si>
    <t>15-17 đường số 1D, KDC Trung Sơn, Xã Bình Hưng, Huyện Bình Chánh, TP. HCM</t>
  </si>
  <si>
    <t>CTY TNHH FPT Food Process Technology VN</t>
  </si>
  <si>
    <t>50 đường số 4 KDC Intresco, ấp 5, Xã Bình Hưng, H. Bình Chánh, Tp. HCM</t>
  </si>
  <si>
    <t>CTY TNHH MTV SX Và TM Hoàng Kim Tuấn</t>
  </si>
  <si>
    <t>Số 44/25 Đường An Phú Đông 25, KP.3P. An Phú Đông, Quận 12,Thành Phố Hồ Chí Minh, Việt Nam</t>
  </si>
  <si>
    <t>Công Ty TNHH Thương Mại Đan Việt</t>
  </si>
  <si>
    <t>Kho_ Số 99/101 Đường Võ Thị Thừa, Phường An Phú Đông, Quận 12, Thành Phố Hồ Chí Minh</t>
  </si>
  <si>
    <t>Lô K'2-CN, đường N7, KCN Mỹ Phước I,Phường Mỹ Phước, T.X Bến CátTỉnh Bình Dương, Việt Nam</t>
  </si>
  <si>
    <t>ISO 9001:2015, 
 ISO 14001:2015, 
 FSSC</t>
  </si>
  <si>
    <t>CTY CP TM Dịch Vụ XD CK Phương Châu</t>
  </si>
  <si>
    <t xml:space="preserve"> Kho_Số 8, Đường N6, Khu Dân Cư Mỹ Phước 4, Phu Phố 5B, Phường Thới Hòa, Thị Xã Bến Cát, Tỉnh Bình Dương, Việt Nam.</t>
  </si>
  <si>
    <t>CTY TNHH Nhãn Mã Vạch Hưng Thịnh</t>
  </si>
  <si>
    <t>42/4 Đường TA 04, Phường Thới An, Quận 12, TP Hồ Chí Minh</t>
  </si>
  <si>
    <t>SO 9001:2015</t>
  </si>
  <si>
    <t>CTy TNHH MTV TM Dịch Vụ Kim Ngọc Châu</t>
  </si>
  <si>
    <t>Số 314, Đường Trần Phú, Khu Phố 3, Thị Trấn Gia Ray, Huyện Xuân Lộc, Tỉnh Đồng Nai</t>
  </si>
  <si>
    <t>Cửa Hàng Vật Liệu Xây Dựng Thạnh Vũ</t>
  </si>
  <si>
    <t>Công Ty TNHH Cân Điện Tử Tiến Đạt</t>
  </si>
  <si>
    <t>45D/17 Đường D5, P.25,Q. Bình Thạnh,TP. Hồ Chí Minh, Việt Nam</t>
  </si>
  <si>
    <t>CN Tổng CTY Liksin - Xí Nghiệp Bao Bì Liksin</t>
  </si>
  <si>
    <t>Lô 20-22, Đường số 1, KCN Tân Đức,X. Đức Hòa Hạ, H. Đức Hòa,T. Long An, VN</t>
  </si>
  <si>
    <t>HACCP 
BRCGS 
SMETA</t>
  </si>
  <si>
    <t xml:space="preserve"> ISO 9001:2015 
 ISO 15378:2017 
ISO 14001:2015
 ISO 5001:2018 
ISO 14001:2015 </t>
  </si>
  <si>
    <t>CTY TNHH Atlas Copco VN CN Bình Dương</t>
  </si>
  <si>
    <t>Lô F, Đường số 12, KCN Sóng Thần 2, Phường Dĩ An, Thành Phố Dĩ An, Tỉnh Bình Dương</t>
  </si>
  <si>
    <t>ISO 14001:2015</t>
  </si>
  <si>
    <t>Công Ty TNHH Vi Na Đồng Thắng</t>
  </si>
  <si>
    <t>Số 9C, Khu Phố 4, Phường An Hòa, Thành Phố Biên Hòa, Tỉnh Đồng Nai, Việt Nam.</t>
  </si>
  <si>
    <t>CN Long An - CTY TNHH Nutreco International (VN)</t>
  </si>
  <si>
    <t>Vet Drug</t>
  </si>
  <si>
    <t>Ấp 3A, Xã Phước Lợi, Huyện Bến Lức, Tỉnh Long An, Việt Nam.</t>
  </si>
  <si>
    <t>Công Ty TNHH In Mộc Hòa</t>
  </si>
  <si>
    <t>Xưởng: 15A/11, tổ 2, khu phố 3A, Phường Trảng Dài, Thành phố Biên Hoà, Tỉnh Đồng Nai</t>
  </si>
  <si>
    <t>Công Ty TNHH Dịch Vụ Thương Mại DDH</t>
  </si>
  <si>
    <t>Số 130A, Đường Nguyễn Ái Quốc, Khu Phố 4, Phường Tân Tiến, Thành Phố Biên Hòa, Tỉnh Đồng Nai, Việt Nam.</t>
  </si>
  <si>
    <t>CTY TNHH MTV Trung Tre</t>
  </si>
  <si>
    <t>269/17 Đường Võ Văn Kiệt,Khu phố 6, Phường Định Hòa, Thành Phố Thủ Dầu Một, Tỉnh Bình Dương, Việt Nam.</t>
  </si>
  <si>
    <t>CN CTY TNHH Ojitex (VN)</t>
  </si>
  <si>
    <t>Số 26 VSIP II-A,đường số 27,KCN Việt Nam-Singapore II-A,P.Vĩnh Tân,TX. Tân Uyên,T. Bình Dương</t>
  </si>
  <si>
    <t>ISO 9001:2015, 
 ISO 14001:2015
FSC</t>
  </si>
  <si>
    <t>New 21/12/2021, KFC</t>
  </si>
  <si>
    <t>Công Ty TNHH Thiết Mộc Lan</t>
  </si>
  <si>
    <t>Số 16/19,Tổ 19,KP 3,P.Trảng Dài,TP. Biên Hòa,T.Đồng Nai, VN</t>
  </si>
  <si>
    <t xml:space="preserve"> ISO 9001:2015
ISO 22000:2018</t>
  </si>
  <si>
    <t>CTY TNHH Thiết Bị Công Nghiệp Vinh Lực</t>
  </si>
  <si>
    <t xml:space="preserve">
Kho: Lô J35 Khu dân cư Phú Nhuận, 659 Đỗ Xuân Hợp, Phường Phước Long B, Thành phố Thủ Đức</t>
  </si>
  <si>
    <t>Công Ty TNHH KUREHA Việt Nam</t>
  </si>
  <si>
    <t>227/3 Đường số 13, KCN AMATA,P. Long Bình, TP. Biên Hòa, Tỉnh Đồng Nai</t>
  </si>
  <si>
    <t xml:space="preserve"> BRC</t>
  </si>
  <si>
    <t>Công Ty TNHH Kido - Nhà Bè</t>
  </si>
  <si>
    <t>Số 370 đường Gò Ô Môi, Khu Phố 02,Phường Phú Thuận, Quận 7,Thành Phố Hồ Chí Minh, Việt Nam</t>
  </si>
  <si>
    <t xml:space="preserve">HACCP 
GMP 
HALAL 
 </t>
  </si>
  <si>
    <t>13/04/2025, KFC</t>
  </si>
  <si>
    <t>Cụm CN Tam Phước 1, P. Tam Phước,TP. Biên Hòa,T. Đồng Nai</t>
  </si>
  <si>
    <t xml:space="preserve">  FSSC 22000</t>
  </si>
  <si>
    <t>ISO 9001:2015
 ISO 14001:2015
Halal</t>
  </si>
  <si>
    <t>CTY CP TM Dịch Vụ SX Thái Bình Dương</t>
  </si>
  <si>
    <t>Kho: 333, Nhị Bình 3 , Nhị Bình, Huyện Hóc Môn, Thành phố Hồ Chí Minh</t>
  </si>
  <si>
    <t>Công Ty TNHH Nam Phúc Thiên</t>
  </si>
  <si>
    <t>Số 76/6, đường Nguyễn Văn Hoa, Khu Phố 3, Phường Thống Nhất, Thành Phố Biên Hòa, Tỉnh Đồng Nai, Việt Nam.</t>
  </si>
  <si>
    <t>Công Ty TNHH Chori Việt Nam</t>
  </si>
  <si>
    <t>Kho Sankyu - Địa chỉ, KCN Nhơn Trạch III - giai đoạn 2, Xã Long Thọ, Huyện Nhơn Trạch, Tỉnh Đồng Nai, Việt Nam</t>
  </si>
  <si>
    <t>Công Ty TNHH Ingreda</t>
  </si>
  <si>
    <t>Kho _Lô BT, đường D2, Khu công nghệ cao TP. HCM, P. Tăng Nhơn Phú B, Q.9, TP.HCM .</t>
  </si>
  <si>
    <t>Công Ty TNHH Minh Phú Electric</t>
  </si>
  <si>
    <t>phòng 21, lầu 2, tòa nhà VC House,số 399BTrường Chinh, P.14, Q.Tân Bình,Hồ Chí Minh, Việt Nam</t>
  </si>
  <si>
    <t>CTY TNHH Phát Triển Công Nghệ Cao Quyết Thắng</t>
  </si>
  <si>
    <t>39 Nguyễn Bỉnh Khiêm, Phường 1, Quận Gò Vấp, Thành phố Hồ Chí Minh</t>
  </si>
  <si>
    <t>CTY TNHH Sản Xuất TM Nguyễn Bình</t>
  </si>
  <si>
    <t>C5/10B Ấp 4,Xã Bình Hưng, Huyện Bình Chánh,Thành Phố Hồ Chí Minh</t>
  </si>
  <si>
    <t>Công Ty TNHH Ricoh Việt Nam</t>
  </si>
  <si>
    <t>Số 11 Đoàn Văn Bơ, Phường 13, Quận 4, Thành Phố Hồ Chí Minh</t>
  </si>
  <si>
    <t>CTY TNHH TM SX Nhựa Xốp Nam Phương</t>
  </si>
  <si>
    <t>QL1A, Xã Long Hiệp, Huyện Bến Lức, Tỉnh Long An, Việt Nam</t>
  </si>
  <si>
    <t>CTY TNHH TM Dịch Vụ Khang Trung</t>
  </si>
  <si>
    <t xml:space="preserve"> Kho: 49 Đường 18B, Phường Bình Hưng Hòa A, Quận Bình Tân, TPHCM</t>
  </si>
  <si>
    <t>CTY TNHH Giải Pháp Môi Trường Nam Trinh</t>
  </si>
  <si>
    <t>Kho_ Tây Thạnh, Tân Phú, Hồ Chí Minh</t>
  </si>
  <si>
    <t>CTY CP Vũ Phúc Sang CN Tiền Giang</t>
  </si>
  <si>
    <t>Ấp 1, Xã Tân Thanh, Huyện Cái Bè,Tỉnh Tiền Giang</t>
  </si>
  <si>
    <t>CTY TNHH TM Và Dịch Vụ Xuất Nhập Khẩu Thành Mỹ</t>
  </si>
  <si>
    <t>Cần Thơ</t>
  </si>
  <si>
    <t>50C1 đường 3/2, Phường Xuân Khánh,Quận Ninh Kiều,TP. Cần Thơ
Kho: Số 2D, Đường Mậu Thân, Phường An Nghiệp, Quận Ninh Kiều, Thành Phố Cần Thơ, Việt Nam.</t>
  </si>
  <si>
    <t>FSC
ISO 9001:2015
ISO 45001:2019</t>
  </si>
  <si>
    <t>CTY TNHH MTV Cơ Khí Thái An</t>
  </si>
  <si>
    <t>Bạc liêu</t>
  </si>
  <si>
    <t>Ấp Vĩnh Mới-Xã Vĩnh Thịnh-Huyện Hòa Bình-Tỉnh Bạc Liêu</t>
  </si>
  <si>
    <t>CTY TNHH Kemin Industries (VN)</t>
  </si>
  <si>
    <t>EIMSKIP DC 01_ T13/17M Đường D10, Tổ 13, Khu Phố Bình Thuận 2, Phường Thuận Giao, Thành Phố Thuận An, Tỉnh Bình Dương.</t>
  </si>
  <si>
    <t>CTY TNHH XNK Hóa Chất Duy Hưng Phát</t>
  </si>
  <si>
    <t>Cụm Công Nghiệp Vật Liệu Xây Dựng Hố Nai 3, Xã Hố Nai 3, HuyệnTrảng Bom, Tỉnh Đồng Nai, Việt Nam.</t>
  </si>
  <si>
    <t>Công Ty TNHH Thịnh Kim Nguyên</t>
  </si>
  <si>
    <t>Khu Dân Cư Bình Minh, Xã Bình Minh, Huyện Trảng Bom, Tỉnh Đồng Nai, Việt Nam.</t>
  </si>
  <si>
    <t>CTY TNHH BD Agriculture (VN)</t>
  </si>
  <si>
    <t>Kho: 14A_ICD Tân Cảng Long Bình, Số 03 Phan Đăng Lưu, Phường Long Bình, Thành Phố Biên Hoà, Tỉnh Đồng Nai, Việt Nam.</t>
  </si>
  <si>
    <t>ISO 9001:2016</t>
  </si>
  <si>
    <t>CTY CP Quốc Tế Thiền Sinh Thái</t>
  </si>
  <si>
    <t xml:space="preserve">Kho_Số 399 Nguyễn Thị Kiểu, Phường Tân Thới Hiệp, Quận 12, Thành Phố Hồ Chí Minh, Việt Nam. </t>
  </si>
  <si>
    <t>Công Ty TNHH Calvatis Việt Nam</t>
  </si>
  <si>
    <t>Kho: Số 12/70 Đông Thạnh 8,Phường Đông Thạnh, Huyện Hóc Môn, Thành Phố Hồ Chí Minh, Việt Nam</t>
  </si>
  <si>
    <t xml:space="preserve">Công Ty TNHH Olmix Asialand Việt Nam
</t>
  </si>
  <si>
    <t>Số 24A, Đường 26, KCN Sóng Thần 2, Phường Tân Đông Hiệp, Thành Phố Dĩ An, Tỉnh Bình Dương, Việt Nam.</t>
  </si>
  <si>
    <t>Công Ty TNHH Gea Việt Nam</t>
  </si>
  <si>
    <t>Lầu 3, Số 151 Nguyễn Đình Chiểu, Phường 06, Quận 3, Thành Phố Hồ Chí Minh</t>
  </si>
  <si>
    <t>CTY TNHH MT Food Systems (VN)</t>
  </si>
  <si>
    <t>Kho_Số 2, Đường Nguyễn Hữu Thọ, Phường Phước Kiển, Huyện Nhà Bè, TP.HCM.</t>
  </si>
  <si>
    <t>Công Ty Cổ Phần Quốc Thăng</t>
  </si>
  <si>
    <t>KCN Hải Sơn, Ấp Bình Tiền 2,Xã Đức Hòa Hạ, Huyện Đức Hòa,Tỉnh Long An, Việt Nam</t>
  </si>
  <si>
    <t>CÔNG TY TNHH FOOD GARDEN</t>
  </si>
  <si>
    <t>Kho: Lô J4, Đường Thống Nhất , Sóng Thần II, TP. Dĩ An , Bình Dương , VN</t>
  </si>
  <si>
    <t>CÔNG TY CỔ PHẦN VIỆT NAM FOOD HẬU GIANG</t>
  </si>
  <si>
    <t>Hậu Giang</t>
  </si>
  <si>
    <t>Khu công nghiệp Sông Hậu, Xã Đông Phú, Huyện Châu Thành, Tỉnh Hậu Giang, Việt Nam</t>
  </si>
  <si>
    <t>CÔNG TY CỔ PHẦN VOLGA VN</t>
  </si>
  <si>
    <t>E8-1, Đường D7, Khu Công Nghiệp Lê Minh Xuân 3, Xã Lê Minh Xuân, Huyện Bình Chánh, Thành phố Hồ Chí Minh, Việt Nam</t>
  </si>
  <si>
    <t>CÔNG TY CỔ PHẦN HẠNH MINH KHÔI</t>
  </si>
  <si>
    <t xml:space="preserve"> Lô đất 3G-10 Đường số 14, KCN Long Hậu 3, Ấp 3, X. Long Hậu, H. Cần Giuộc, T. Long An</t>
  </si>
  <si>
    <t>CÔNG TY TNHH SEMBA - NFC VIỆT NAM</t>
  </si>
  <si>
    <t>Nhà máy Semba Tohka Việt Nam: Đường N1-1, KCN Long Đức, Xã An Phước, Huyện Long Thành, Đồng Nai</t>
  </si>
  <si>
    <t>FSSC 22000
ISO 22000:2018</t>
  </si>
  <si>
    <t>HALL</t>
  </si>
  <si>
    <t>CÔNG TY TNHH MITSUI Việt Nam</t>
  </si>
  <si>
    <t>Lầu 12, Tòa nhà Times Square, 57-69F Đường Đồng Khởi, P. Bến Nghé, Quận 1, TP HCM</t>
  </si>
  <si>
    <t>CÔNG TY TNHH THƯƠNG MẠI VÀ ĐẦU TƯ LÊ QUANG</t>
  </si>
  <si>
    <t>Xưởng: Đường Võ Thị Sáu, Phường Tân Phước Khánh, Thị Xã Tân Uyên, Tỉnh Bình Dương</t>
  </si>
  <si>
    <t>CÔNG TY TNHH BAO BÌ QUẢNG CÁO HOÀNG ANH</t>
  </si>
  <si>
    <t>Xưởng: Lô A2-2, Đường 2, KCN Đức Hòa 3 - Ánh Hồng, Ấp Đức Hạnh 2, Xã Đức Lập Hạ, Huyện Đức Hòa, Tỉnh Long An</t>
  </si>
  <si>
    <t>CÔNG TY CỔ PHẦN NHÃN BAO BÌ VI NA ÚC</t>
  </si>
  <si>
    <t>Đường số 4, KCN Tam Phước, P. Tam Phước, TP. Biên Hòa, Đồng Nai</t>
  </si>
  <si>
    <t>ISO 14001:2015
ISO 9001:2015
Halal</t>
  </si>
  <si>
    <t>CÔNG TY TNHH KỸ THUẬT CÔNG NGHỆ MINH VIỆT</t>
  </si>
  <si>
    <t>1225 Hoàng Sa, Phường 5, Quận Tân Bình, TP Hồ Chí Minh</t>
  </si>
  <si>
    <t>CÔNG TY TNHH LƯU ĐẠI PHÚC</t>
  </si>
  <si>
    <t>02A, Tỉnh lộ 830, Ấp 8, Lương Hòa, Bến Lức, Long An</t>
  </si>
  <si>
    <t>CÔNG TY TNHH SẢN XUẤT THƯƠNG MẠI VIỆT ĐỨC</t>
  </si>
  <si>
    <t>kho: 839/1B Quốc lộ 1A, Phường Bình Hưng Hòa A, Bình Tân, TP HCM</t>
  </si>
  <si>
    <t>CÔNG TY TNHH THƯƠNG MẠI LOGITEM VIỆT NAM</t>
  </si>
  <si>
    <t>Lô B2, KCN Tân Đông Hiệp B, Phường Tân Đông Hiệp, TP. Dĩ An, Tỉnh Bình Dương, Việt Nam</t>
  </si>
  <si>
    <t>Công Ty Cổ Phần Thực Phẩm Sundo</t>
  </si>
  <si>
    <t>Xưởng sản xuất: 34/6 Trần Khánh Dư, Phường Tân Định, Quận 1, TP Hồ Chí Minh
Xưởng Sản Xuất : 5 Bùi Hữu Nghĩa, Binh Hoà, Thuận An, Bình Dương</t>
  </si>
  <si>
    <t>HACCP
ISO 22000:2018</t>
  </si>
  <si>
    <t>CÔNG TY CỔ PHẦN THƯƠNG MẠI DỊCH VỤ HÓA CHẤT 3A</t>
  </si>
  <si>
    <t>1246/23 Lê Văn Lương, xã Phước Kiển, Huyện Nhà Bè, TP. HCM</t>
  </si>
  <si>
    <t>Công ty TNHH TTNA</t>
  </si>
  <si>
    <t>Dịch vụ</t>
  </si>
  <si>
    <t>Lầu 5, 62 Trần Quang Khải, phường Tân Định, quận 1, HCM</t>
  </si>
  <si>
    <t>Dự án</t>
  </si>
  <si>
    <t>CÔNG TY TNHH CƠ NHIỆT LẠNH HỒNG TƯƠI</t>
  </si>
  <si>
    <t>Bảo trì/bảo dưỡng</t>
  </si>
  <si>
    <t>I - 14 BÀ HOM, PHƯỜNG 13, QUẬN 6, TP.HCM</t>
  </si>
  <si>
    <t>Công Ty TNHH SEW-EURODRIVE VIET NAM</t>
  </si>
  <si>
    <t>Phụ tùng/máy móc</t>
  </si>
  <si>
    <t>40 hoàng việt phường 4 quận tân bình hồ chí minh</t>
  </si>
  <si>
    <t>Sản xuất</t>
  </si>
  <si>
    <t>Công Ty TNHH Kỹ Thuật Và Xây Dựng Lâm Nguyễn</t>
  </si>
  <si>
    <t>Thiết bị/hóa chất phòng Lab</t>
  </si>
  <si>
    <t>Số 059 Tổ 2, Khu Phố Tân An, Phường Tân Vĩnh Hiệp, Thành phố Tân Uyên, Tỉnh Bình Dương</t>
  </si>
  <si>
    <t>CÔNG TY TNHH THIẾT BỊ KỸ THUẬT CÔNG NGHỆ VITECH</t>
  </si>
  <si>
    <t>29 Đường D2, KDC Hiệp Thành, Phường Hiệp Thành, Quận 12, Thành phố Hồ Chí Minh, Việt Nam</t>
  </si>
  <si>
    <t>Thương mại không kho</t>
  </si>
  <si>
    <t>Công Ty TNHH Đầu Tư Và Thương Mại Minh Nam Chi Nhánh HCM</t>
  </si>
  <si>
    <t>Vật tư tổng hợp</t>
  </si>
  <si>
    <t>Số 808/5A quốc lộ 13, Phường Hiệp Bình Phước, Thành phố Thủ Đức, 
Thành phố Hồ Chí Minh, Việt Nam</t>
  </si>
  <si>
    <t>Thương mại có kho</t>
  </si>
  <si>
    <t>CÔNG TY CP CÔNG NGHỆ MÔI TRƯỜNG ENVI ECO</t>
  </si>
  <si>
    <t>47Bis Huỳnh Khương Ninh, P.ĐaKao, Q.1, Tp.HCM</t>
  </si>
  <si>
    <t>Công Ty TNHH DV TM SX Khang Long</t>
  </si>
  <si>
    <t>Số 142 đường Lê Đại Hành KP 12 Phường Hố Nai TP Biên Hoà Tỉnh 
Đồng Nai</t>
  </si>
  <si>
    <t>Công ty Cổ phần Sản Xuất Kinh Doanh Thiết Bị Điện TTC</t>
  </si>
  <si>
    <t>12A/82, khu phố 5, Phường Tân Biên, Thành phố Biên Hòa, Tỉnh Đồng Nai</t>
  </si>
  <si>
    <t>CÔNG TY TNHH MỘT THÀNH VIÊN DỊCH VỤ BẢO VỆ ĐẠI PHONG</t>
  </si>
  <si>
    <t>65 Thái Phiên, Phường Phước Ninh, Quận Hải Châu, Thành phố Đà Nẵng, Việt Nam</t>
  </si>
  <si>
    <t>CÔNG TY CỔ PHẦN THÍ NGHIỆM THIẾT BỊ ĐIỆN MIỀN NAM</t>
  </si>
  <si>
    <t>35/56 Khu Nhà Ở Vĩnh Tân, Đường Nguyễn Thị Sáu, Phường Thạnh lộc, 
Quận 12, Tp. Hồ Chí Minh, Việt Nam</t>
  </si>
  <si>
    <t>Công ty TNHH Gia Hoàng</t>
  </si>
  <si>
    <t>12/1/14 tổ 35, khu phố 9, phường Tân Phong, TP.Biên Hòa, tỉnh Đồng Nai</t>
  </si>
  <si>
    <t>CÔNG TY TNHH TMDV SONG PHÚC LG</t>
  </si>
  <si>
    <t>13A trệt Trần Phú, Phường 4, Quận 5, Thành phố Hồ Chí Minh</t>
  </si>
  <si>
    <t>CÔNG TY TNHH NADUCO</t>
  </si>
  <si>
    <t>448/11 Phạm Văn Chiêu, Phường 09, Quận Gò Vấp, Tp. Hồ Chí Minh</t>
  </si>
  <si>
    <t>CÔNG TY TNHH KỸ THUẬT SM</t>
  </si>
  <si>
    <t>3/22C Đường Bình Nhâm 08, Khu phố Bình Thuận, Phường Bình Nhâm, 
Thành phố Thuận An, Tỉnh Bình Dương, Việt Nam</t>
  </si>
  <si>
    <t>Công ty TNHH TM &amp; DV bảo vệ Quang Trung</t>
  </si>
  <si>
    <t>Bình Định</t>
  </si>
  <si>
    <t>25 Hồ Tá Bang, Phường Quang Trung, Tp. Quy Nhơn, Tỉnh Bình Định</t>
  </si>
  <si>
    <t>Công ty CPTM Dịch vụ Bảo vệ Thiên Ưng</t>
  </si>
  <si>
    <t>Gia Lai</t>
  </si>
  <si>
    <t>207 Sư Vạn Hạnh, p. Hội Thương, TP. Pleiku, tỉnh Gia Lai</t>
  </si>
  <si>
    <t>CÔNG TY TNHH DỊCH VỤ BẢO VỆ TRỊNH LƯU</t>
  </si>
  <si>
    <t>Đăk Lăk</t>
  </si>
  <si>
    <t>39 Đoàn Thị Điểm, Phường Thắng Lợi, Thành Phố Buôn Ma Thuột, Tỉnh 
Đăk Lăk</t>
  </si>
  <si>
    <t>CÔNG TY TNHH THƯƠNG MẠI DỊCH VỤ SẢN XUẤT VỊ THẾ</t>
  </si>
  <si>
    <t>30/45E Đỗ Nhuận,phường Sơn Kỳ,Quận Tân Phú,Tp.Hồ Chí Minh</t>
  </si>
  <si>
    <t>Công ty TNHH Phương Nghi</t>
  </si>
  <si>
    <t>132/42/99 Hùng Vương, Phường Thới Bình, quận Ninh Kiều, thành phố 
Cần Thơ</t>
  </si>
  <si>
    <t>CÔNG TY TNHH THƯƠNG MẠI DỊCH VỤ KỸ THUẬT VIỆTNGUYỄN</t>
  </si>
  <si>
    <t>211/10/1 Vĩnh Viễn, Phường 04, Quận 10, Thành phố Hồ Chí Minh, Việt Nam</t>
  </si>
  <si>
    <t>Công Ty TNHH MTV Dịch Vụ Lữ Hành Saigontourist</t>
  </si>
  <si>
    <t>45 Lê Thánh Tôn, Phường Bến Nghé, Quận 1, Tp.HCM</t>
  </si>
  <si>
    <t>Công Ty TNHH Sản Xuất Thương Mại Dịch Vụ XNK Hoàng Ngân</t>
  </si>
  <si>
    <t>Tầng 12, Tòa nhà Viettel, 285 CMT8, Phường 12, Quận 10, TP-HCM, Việt Nam</t>
  </si>
  <si>
    <t>CTY TNHH ĐIỆN LẠNH NGUYÊN VĂN</t>
  </si>
  <si>
    <t>Kiên Giang</t>
  </si>
  <si>
    <t>Lầu 3, khu phố 4, phường Đông Hồ, thành phố Hà tiên, Tiên Kiên Giang</t>
  </si>
  <si>
    <t>CÔNG TY TNHH PIGTEK VIỆT NAM</t>
  </si>
  <si>
    <t>Nhà xưởng A_18A30_CN, Khu công nghiệp Bàu Bàng, Xã Lai Hưng, Huyện Bàu Bàng, Tỉnh Bình Dương, Việt Nam</t>
  </si>
  <si>
    <t>Công ty TNHH Giao thông và Xây dựng Tiến Lượng</t>
  </si>
  <si>
    <t>Số 1241/64/71 Nguyễn Ái Quốc, KP6, Phường Tân Tiến, Thành phố Biên Hòa, Tỉnh Đồng Nai, Việt Nam</t>
  </si>
  <si>
    <t>CÔNG TY CỔ PHẦN DỊCH VỤ BẢO VỆ VỆ SỸ CHUYÊN NGHIỆP ĐẠI HẢI</t>
  </si>
  <si>
    <t>Đắk Lắk</t>
  </si>
  <si>
    <t>33 Bà Triệu, phường Tự An, Thành Phố Buôn Ma Thuột, tỉnh Đắk Lắk</t>
  </si>
  <si>
    <t>Công ty TNHH Dịch Vụ Bảo Vệ Tuấn Ngọc</t>
  </si>
  <si>
    <t>78 Lê Duẩn, Phường Tân Thành, TP. Buôn Ma Thuột, Đắk Lắk</t>
  </si>
  <si>
    <t>Công ty TNHH Phúc Trường Hải</t>
  </si>
  <si>
    <t>Khu công nghiệp Thạnh Phú, Xã Thạnh Phú, Huyện Vĩnh Cửu, Tỉnh Đồng Nai, Việt Nam.</t>
  </si>
  <si>
    <t>Công ty TNHH TM DV Tiến Đức Phát</t>
  </si>
  <si>
    <t>Số 76, Đường Khổng Tử, KP1, Phường Hiệp Phú, Thành phố Thủ Đức, Thành phố Hồ Chí Minh, Việt Nam</t>
  </si>
  <si>
    <t>CÔNG TY TNHH KỸ THUẬT REEGAS</t>
  </si>
  <si>
    <t>CÔNG TY TNHH MTECH VIET NAM</t>
  </si>
  <si>
    <t>128A/9 Nội Hóa 2, Phường Bình An, TP Dĩ An, Bình Dương</t>
  </si>
  <si>
    <t>Công ty Cổ Phần Kỹ Thuật Ánh Minh</t>
  </si>
  <si>
    <t>3B Võ Thị Liễu, KP4, P.An Phú Đông,Quận 12, TPHCM</t>
  </si>
  <si>
    <t>CÔNG TY TNHH ANTON PAAR VIỆT NAM</t>
  </si>
  <si>
    <t>Phòng 2003, Tầng 20, Mapletree Business Centre, Số 1060 Đường Nguyễn Văn Linh, Phường Tân Phong, Quận 7, Thành phố Hồ Chí Minh, Việt Nam.</t>
  </si>
  <si>
    <t>Công ty Cổ phần Kiểm định và Đo lường Chất lượng Cần Thơ</t>
  </si>
  <si>
    <t>Số 13/68 Trần Vĩnh Kiết, KV 1, phường An Bình, quận Ninh Kiều, thành phố Cần Thơ</t>
  </si>
  <si>
    <t>Công ty TNHH dịch vụ bảo vệ CIC</t>
  </si>
  <si>
    <t>121 D Nguyễn Công Trứ, Phường Tự An, Tp. Buôn Ma Thuột, T. Dak Lak</t>
  </si>
  <si>
    <t>Công ty TNHH Green View Tây Nguyên</t>
  </si>
  <si>
    <t>Số 166/60 Nguyễn Tri Phương, P. Thành Công, TP. Buôn Ma Thuột, tỉnh  Đắk Lắk</t>
  </si>
  <si>
    <t>38 Ngô Bệ, phường 13, quận Tân Bình, Thành phố Hồ Chí Minh, Việt Nam</t>
  </si>
  <si>
    <t>CHI NHÁNH CÔNG TY TNHH GOSHU KOHSAN (VIỆT NAM)</t>
  </si>
  <si>
    <t>Số 40 VSIP, đường số 3, Khu công nghiệp Việt Nam- Singapore, Phường Thuận Giao, Thành phố Thuận An, Tỉnh Bình Dương, Việt Nam</t>
  </si>
  <si>
    <t>CÔNG TY TNHH HUẤN LUYỆN VÀ KIỂM ĐỊNH AN TOÀN 3</t>
  </si>
  <si>
    <t>28 đường 38, Phường Hiệp Bình Chánh, Thành Phố Thủ Đức, Thành Phố Hồ Chí Minh, Việt Nam</t>
  </si>
  <si>
    <t>CÔNG TY TNHH MỘT THÀNH VIÊN DU LỊCH CÔNG ĐOÀN VIỆT NAM</t>
  </si>
  <si>
    <t>14 Trần Bình Trọng - Phường Trần Hưng Đạo- Quận Hoàn Kiếm, TP. Hà Nội</t>
  </si>
  <si>
    <t>CÔNG TY TNHH SẢN XUẤT NAVIS VIỆT NAM</t>
  </si>
  <si>
    <t>L3, Tòa nhà Vạn Đạt, Đường số 8, Lô II-1, Nhóm CN II, Khu Công nghiệp Tân Bình, Phường Tây Thạnh, Quận Tân Phú, Thành phố Hồ Chí Minh, Việt Nam</t>
  </si>
  <si>
    <t>CÔNG TY TNHH XNK HÓA CHẤT DUY HƯNG PHÁT</t>
  </si>
  <si>
    <t>Thuốc/Vaccine Thú y</t>
  </si>
  <si>
    <t>số 99 hẻm 3, tổ 8, khu phố 4C, phường trảng dài, thành phố biên hòa, tỉnh đồng nai</t>
  </si>
  <si>
    <t>CÔNG TY TNHH ĐẦU TƯ VÀ XÂY DỰNG NAM DƯƠNG PHÁT</t>
  </si>
  <si>
    <t>Bình Thuận</t>
  </si>
  <si>
    <t>B52 đường Nguyễn Văn Linh, phường Phú Tài, thành phố Phan Thiết, tỉnh Bình Thuận thành phố Phan Thiết, tỉnh Bình Thuận</t>
  </si>
  <si>
    <t>CÔNG TY TNHH BAO BÌ PHƯƠNG NAM PP-BAG</t>
  </si>
  <si>
    <t>Bao Bì</t>
  </si>
  <si>
    <t>Ấp Phước Toàb, xã Long Hiệp, huyện Bến Lức, tỉnh Long An</t>
  </si>
  <si>
    <t>Công Ty TNHH Thương Mại Đoàn Ấp</t>
  </si>
  <si>
    <t>Chất đốt</t>
  </si>
  <si>
    <t>Thôn 6, Xã Ea Đar, Huyện Ea Kar, Tỉnh Daklak, Việt Nam</t>
  </si>
  <si>
    <t>CÔNG TY TNHH THƯƠNG MẠI ĐẦU TƯ VÀ DU LỊCH RỒNG VIỆT</t>
  </si>
  <si>
    <t>04 Hát Giang, Phường 02, Quận Tân Bình, Tp.HCM</t>
  </si>
  <si>
    <t>CÔNG TY TNHH THIẾT BỊ CÔNG NGHIỆP TRUNG VIỆT PHÁT</t>
  </si>
  <si>
    <t>15, đường TX46, Phường Thạnh Xuân, Quận 12, Thành phố Hồ Chí Minh, Việt Nam</t>
  </si>
  <si>
    <t>CÔNG TY TNHH MTV NÔNG HUYỀN</t>
  </si>
  <si>
    <t>Thôn 2A, Xã Ea H'Leo, Huyện Ea H'Leo, Tỉnh Đắk Lắk, Việt Nam</t>
  </si>
  <si>
    <t>CÔNG TY TNHH MTV THANH NHÀN KON TUM</t>
  </si>
  <si>
    <t>Kon Tum</t>
  </si>
  <si>
    <t>Thôn 1, Xã Kon Đào, Huyện Đắk Tô, Tỉnh Kon Tum, Việt Nam</t>
  </si>
  <si>
    <t>Công ty Cổ phần Đầu tư và Công nghệ HTI</t>
  </si>
  <si>
    <t>Tầng 15-VP2, tòa nhà Sun Square, số 21 Lê Đức Thọ, phường Mỹ Đình 2, Nam Từ Liêm, Hà Nội</t>
  </si>
  <si>
    <t>Công Ty TNHH Thương Mại Và Kỹ Thuật Powertech</t>
  </si>
  <si>
    <t>Số 116, Lê Quang Định, Phường 9, Thành Phố Vũng Tàu, Tỉnh Bà Rịa – Vũng Tàu, Việt Nam</t>
  </si>
  <si>
    <t>Công Ty TNHH Dịch Vụ Xây Dựng Chí Thành</t>
  </si>
  <si>
    <t>56 Phạm Văn Chiêu, F8, Quận Gò Vấp</t>
  </si>
  <si>
    <t>Công ty TNHH TM KT Khải Hoàng</t>
  </si>
  <si>
    <t>207, Lý Thường Kiệt, Phường 5, TP.Mỹ Tho, tỉnh Tiền Giang</t>
  </si>
  <si>
    <t>Công Ty TNHH Quạt Huỳnh Thảo</t>
  </si>
  <si>
    <t>88 Đường 648, ấp Bàu Điều Thượng, xã Phước Thạnh , Huyện 
Củ Chi , Thành Phố Hồ Chí Minh</t>
  </si>
  <si>
    <t>Công Ty TNHH Thương Mại Thái Sơn Nam</t>
  </si>
  <si>
    <t>116 Đường D1, Khu Đô Thị Mới Him Lam, Phường Tân Hưng, Quận 7, Thành phố Hồ Chí Minh</t>
  </si>
  <si>
    <t>CÔNG TY TNHH MTV NÔNG NGHIỆP HUY PHÁT</t>
  </si>
  <si>
    <t>114/2, đường Nguyễn Hữu Cảnh, khu phố Thạnh Hoà B, phường An 
Thạnh, Thành phố Thuận An, tỉnh Bình Dương</t>
  </si>
  <si>
    <t>CÔNG TY CỔ PHẦN THƯƠNG MẠI XUẤT NHẬP KHẨU VTD</t>
  </si>
  <si>
    <t>Tòa nhà M.I.D, Số 2 Nguyễn Thế Lộc, Phường 12, Quận Tân Bình, 
Thành Phố Hồ Chí Minh</t>
  </si>
  <si>
    <t>Công Ty TNHH Minh Dũng Phát</t>
  </si>
  <si>
    <t>Thôn 14,TT EaKNốp, Eakar, Đắk Lắk</t>
  </si>
  <si>
    <t>CÔNG TY TNHH TM - XNK VÀ ĐẦU TƯ PHƯƠNG NAM</t>
  </si>
  <si>
    <t>74 Đường số 8, Phường Bình Trị Đông B, Quận Bình Tân, TP HCM</t>
  </si>
  <si>
    <t>Công ty TNHH Cơ khí và Dịch vụ Kỹ thuật Liên Minh</t>
  </si>
  <si>
    <t>61 Trần Thị Điệu, Khu phố 2, Phường Phước Long B, Tp Thủ Đức, Tp HCM</t>
  </si>
  <si>
    <t>CÔNG TY TNHH KỸ THUẬT CÔNG NGHIỆP KỶ LỤC</t>
  </si>
  <si>
    <t xml:space="preserve">39 Nguyễn Bỉnh Khiêm, Phường 01, Quận Gò Vấp, TP.HCM
</t>
  </si>
  <si>
    <t>Công Ty TNNH Đầu tư và Xây dựng Sài Gòn Kỷ Nguyên</t>
  </si>
  <si>
    <t>82/13C Bình Quới, Phường 27, Q Bình Thạnh, TP. HCM</t>
  </si>
  <si>
    <t>CÔNG TY CỔ PHẦN THƯƠNG MẠI NAM GIA LAI</t>
  </si>
  <si>
    <t>136 Lê Hồng Phong, Phường Đoàn Kết, Thị xã Ayun Pa, Tỉnh Gia Lai</t>
  </si>
  <si>
    <t>CÔNG TY TNHH ĐIỂM XANH VIỆT NAM</t>
  </si>
  <si>
    <t>Tầng 12, Tòa nhà Trụ sở điều hành và Trung tâm thương mại Viettel, số 285, Cách Mạng Tháng Tám, phường 12, quận 10, thành phố HCM</t>
  </si>
  <si>
    <t>Công Ty TNHH Thương Mại Lai Vy</t>
  </si>
  <si>
    <t>Thôn Hợp Thành, Xã Cư Huê, Huyện Ea Kar, Tỉnh Đắk Lắk</t>
  </si>
  <si>
    <t>Công Ty TNHH Giấy Vi Tính Liên Sơn</t>
  </si>
  <si>
    <t xml:space="preserve">34 Nguyễn Bỉnh Khiêm, Phường Đakao, Quận 1, TPHCM
</t>
  </si>
  <si>
    <t>CÔNG TY TNHH THƯƠNG MẠI VÀ DỊCH VỤ XUẤT NHẬP KHẨU N.A.T</t>
  </si>
  <si>
    <t>42/5-7 Hồ Đắc Di, Phường Tây Thạnh, Quận Tân Phú, TP Hồ Chí 
Minh</t>
  </si>
  <si>
    <t>Công Ty TNHH Kỹ Thuật Công Nghệ Minh Việt</t>
  </si>
  <si>
    <t>1225 Hoàng Sa, Phường 5, Quận Tân Bình, TPHCM</t>
  </si>
  <si>
    <t>Công ty TNHH Thiết Bị Khoa Học Kỹ Thuật Thiên Gia Phát</t>
  </si>
  <si>
    <t>99 Bàu Cát 1, Phường 14, Quận Tân Bình, TP.HCM</t>
  </si>
  <si>
    <t>CÔNG TY CỔ PHẦN EMIN VIỆT NAM-CHI NHÁNH MIỀN NAM</t>
  </si>
  <si>
    <t>Số 110A Chu Văn An, Phường 26, Quận Bình Thạnh, TP.Hồ Chí Minh</t>
  </si>
  <si>
    <t>Công Ty Cổ Phần Thiết Bị Quốc Tế TPT</t>
  </si>
  <si>
    <t>Số 56, Lô N15D, Khu tái định cư X2A, Phường Yên Sở, Quận Hoàng 
Mai, Thành phố Hà Nội</t>
  </si>
  <si>
    <t>Công Ty TNHH Cơ Khí Công Nghiệp VIKANSEN</t>
  </si>
  <si>
    <t>Đường 51, Ấp 6, Xã Tóc Tiên, Thị xã Phú Mỹ, Tỉnh Bà Rịa - Vũng Tàu</t>
  </si>
  <si>
    <t>Công Ty TNHH TM DV Trần Gia Phát</t>
  </si>
  <si>
    <t>Buôn knia4, xã eabar, huyện buôn đôn, dak lak</t>
  </si>
  <si>
    <t>Công Ty TNHH TMDV Tổng Hợp Tâm Ý</t>
  </si>
  <si>
    <t>Ấp Vĩnh Mẫu, X. Vĩnh Hậu, H. Hòa Bình, T. Bạc Liêu</t>
  </si>
  <si>
    <t>Công Ty TNHH Thương Mại Xây Dựng Hiệp Thương Phát 365</t>
  </si>
  <si>
    <t>32K/6 KV1, Phường Hưng Thạnh, Quận Cái Răng, Thành Phố Cần Thơ</t>
  </si>
  <si>
    <t>Công ty Cổ Phần Thương Mại MMS</t>
  </si>
  <si>
    <t>Số 81, đường cách mang tháng Tám, Phường Bến Thành, Quận 1, 
Thành Phố Hồ Chí Minh</t>
  </si>
  <si>
    <t xml:space="preserve">1225 Hoàng Sa, Phường 5, Quận Tân Bình, TP Hồ Chí Minh
</t>
  </si>
  <si>
    <t>CÔNG TY TNHH SUNRO</t>
  </si>
  <si>
    <t>180 Đường TX21, KP6, Phường Thạnh Xuân, Quận 12, Thành phố Hồ Chí Minh</t>
  </si>
  <si>
    <t>Công Ty TNHH Xây Dựng TCN</t>
  </si>
  <si>
    <t>Phú Yên</t>
  </si>
  <si>
    <t>Số 451 Trường Chinh, Phường 9, TP Tuy Hoà, Tỉnh Phú Yên</t>
  </si>
  <si>
    <t>Công Ty TNHH Kỹ Thuật Dịch Vụ Sao Kim</t>
  </si>
  <si>
    <t>320 Nguyễn Thị Minh Khai, P5, Q3, TPHCM</t>
  </si>
  <si>
    <t>Công Ty TNHH Long Nhân Thịnh</t>
  </si>
  <si>
    <t>96, Hồ Thị Hương, KP2, phường Xuân Trung, thành phố Long Khánh, Tỉnh Đồng Nai</t>
  </si>
  <si>
    <t>Công Ty TNHH Cơ Khí Chế Tạo Khải Minh</t>
  </si>
  <si>
    <t>Quốc lộ 19B Thôn Kiên Long xã Bình Thành huyện Tây Sơn tỉnh Bình Định</t>
  </si>
  <si>
    <t>CÔNG TY TNHH XÂY DỰNG THƯƠNG MẠI ĐỒNG THUẬN PHÁT</t>
  </si>
  <si>
    <t>328/27/3 Nguyễn Thị Đặng, Phường Tân Thới Hiệp, Quận 12, Thành phố Hồ Chí Minh</t>
  </si>
  <si>
    <t>DOANH NGHIỆP TƯ NHÂN CƯỜNG PHÁT</t>
  </si>
  <si>
    <t>Km 17, quốc lộ 27A, thôn Phú Thủy, Xã Mỹ Sơn, Huyện Ninh Sơn, 
Tỉnh Ninh Thuận</t>
  </si>
  <si>
    <t>CÔNG TY TNHH TM DV SẢN XUẤT PHƯƠNG LINH PHÁT</t>
  </si>
  <si>
    <t>154/30/8, KP 3, Phường Tân Hòa, TP.Biên Hòa,Tỉnh Đồng Nai</t>
  </si>
  <si>
    <t>Công Ty Cổ Phần Kiểm Định An Toàn 9</t>
  </si>
  <si>
    <t>154 Phạm Văn Chiêu, P.9, Q.Gò Vấp, Tp.HCM</t>
  </si>
  <si>
    <t>CÔNG TY TNHH THIẾT BỊ CÔNG NGHIỆP VĨNH LỘC</t>
  </si>
  <si>
    <t>385V10 Tổ 7 KV2, Phường An Khánh, Quận Ninh Kiều, Thành phố Cần Thơ</t>
  </si>
  <si>
    <t>CÔNG TY CỔ PHẦN KIỂM ĐỊNH VÀ HUẤN LUYỆN AN TOÀN LAO ĐỘNG SÀI GÒN</t>
  </si>
  <si>
    <t>21A Cầu Xây, phường Tân Phú, TP.Thủ Đức, TP.HCM</t>
  </si>
  <si>
    <t>CÔNG TY TNHH KIỂM ĐỊNH KỸ THUẬT AN TOÀN THÀNH PHỐ HỒ CHÍ MINH</t>
  </si>
  <si>
    <t>54/12 ĐƯỜNG SỐ 2, KHU PHỐ 5, PHƯỜNG BÌNH HƯNG HÒA B, QUẬN BÌNH TÂN , THÀNH PHỐ HỒ CHÍ MINH</t>
  </si>
  <si>
    <t>Chi Nhánh Công Ty TNHH NPC VINA</t>
  </si>
  <si>
    <t>Bao bì</t>
  </si>
  <si>
    <t>Lô Đất Số 30, đường Dd02, KCN Châu Đức, Thôn Quảng Tây, Xã Nghĩa Thành, Huyện Châu Đức, Tỉnh Bà Rịa- Vũng Tàu</t>
  </si>
  <si>
    <t>Công ty TNHH Công nghệ Môi trường Nông Lâm</t>
  </si>
  <si>
    <t>Lô O51, Khu Nhà Vạn Phúc 1, Đường Quốc Lộ 13, Phường Hiệp Bình Phước, Thành phố Thủ Đức, Thành phố Hồ Chí Minh</t>
  </si>
  <si>
    <t>Công ty CP Chứng nhận và Kiểm định Vinacontrol</t>
  </si>
  <si>
    <t>Số 54 phố Trần Nhân Tông, phường Nguyễn Du, quận Hai Bà Trưng, TP Hà Nội</t>
  </si>
  <si>
    <t>Công Ty TNHH Thương Mại và Dịch Vụ Kim Quang Phát</t>
  </si>
  <si>
    <t>175/28 Đường Đình Phong Phú, Kp3, Phường Tăng Nhơn Phú B, Thành Phố Thủ Đức, Thành Phố Hồ Chí Minh, Việt Nam</t>
  </si>
  <si>
    <t>CÔNG TY TNHH NĂNG LƯỢNG VÀ KỸ THUẬT LNG</t>
  </si>
  <si>
    <t>Văn phòng 02, tầng 08, Tòa nhà Pearl Plaza, số 561A Điện Biên Phủ, Phường 25, quận Bình Thạnh, Thành Phố Hồ Chí Minh</t>
  </si>
  <si>
    <t>CÔNG TY CỔ PHẦN METAL AND PLASTIC PACKAGING</t>
  </si>
  <si>
    <t>Lô E11, E12, KCN Cầu Tràm, Xã Long Trạch, Huyện Cần Đước, Long An</t>
  </si>
  <si>
    <t>CÔNG TY TNHH MTECH VIỆT NAM</t>
  </si>
  <si>
    <t>125/34 đường An Phú Đông 03, phường An Phú Đông, Quận 12, Thành phố Hồ Chí Minh, Việt Nam</t>
  </si>
  <si>
    <t>CÔNG TY TNHH TỰ ĐỘNG HÓA LAPPRO</t>
  </si>
  <si>
    <t>46/2 Đường TA 22, Phường Thới An, Quận 12, Thành phố Hồ Chí Minh</t>
  </si>
  <si>
    <t>1225 Hoàng Sa, Phường 5, Quận Tân Bình, TP. HCM.</t>
  </si>
  <si>
    <t>CÔNG TY TNHH KỸ THUẬT DỊCH VỤ THIÊN PHÚ</t>
  </si>
  <si>
    <t>47 Đường số 21, Khu phố 5, Phường Phước Long A, Thành phố Thủ Đức, TpHCM</t>
  </si>
  <si>
    <t>CÔNG TY CỔ PHẦN SẢN XUẤT CÔNG NGHỆ VÀ THƯƠNG MẠI 2K</t>
  </si>
  <si>
    <t>Số nhà 27 ngõ 101 Hào Nam, Phường Ô Chợ Dừa, Quận Đống Đa, Thành phố Hà Nôi, Việt Nam</t>
  </si>
  <si>
    <t>CÔNG TY CỔ PHẦN ĐẦU TƯ THƯƠNG MẠI VIỆT HÒA PHÁT</t>
  </si>
  <si>
    <t>19/5C Mỹ Huề, xã Trung Chánh, huyện Hóc Môn, TP. Hồ Chí Minh</t>
  </si>
  <si>
    <t>Công ty cổ phần cơ khí Công Minh</t>
  </si>
  <si>
    <t>Lô 44-12-2 KCN Phước Đông, Xã Phước Đông, Huyện Gò Dầu, Tỉnh Tây Ninh, Việt Nam</t>
  </si>
  <si>
    <t>Công ty TNHH Khoa học Công nghệ Môi Trường Việt</t>
  </si>
  <si>
    <t>A7-9/27 đường 13, trung tâm đô thị Chí Linh, phường Nguyễn An Ninh, thành phố Vũng Tàu, tỉnh Bà Rịa - Vũng Tàu, Việt Nam</t>
  </si>
  <si>
    <t>CÔNG TY CỔ PHẦN KỸ THUẬT CÔNG NGHỆ BIỂN ĐÔNG</t>
  </si>
  <si>
    <t>Số 77, đường Nguyễn Quý Đức, Khu phố 5, Phường An Phú, Thành phố Thủ Đức, Thành phố Hồ Chí Minh, Việt Nam</t>
  </si>
  <si>
    <t>Công Ty TNHH Kubota Kasui Việt Nam</t>
  </si>
  <si>
    <t>Số 3, đường 20, KCN Sóng Thần 2, Phường Dĩ An, TP Dĩ An, Tỉnh Bình Dương, Việt Nam</t>
  </si>
  <si>
    <t>Công ty TNHH Cơ Khí Xây Dựng Hoàng Ngọc Minh</t>
  </si>
  <si>
    <t>Địa chỉ: 177/3A Quốc Lộ 1K , Phường Linh Xuân, T.P Thủ Đức, TP. HCM</t>
  </si>
  <si>
    <t>CÔNG TY TNHH TMDV KỸ THUẬT CƠ ĐIỆN HOÀNG ANH</t>
  </si>
  <si>
    <t>Số 66B/12C, KP2, Phường Trảng Dài, TP Biên Hòa, Tỉnh Đồng Nai, Việt Nam</t>
  </si>
  <si>
    <t>CÔNG TY TNHH THƯƠNG MẠI DỊCH VỤ SIGMA VIỆT NAM</t>
  </si>
  <si>
    <t>235/1 Nguyễn Xí, Phường 13, Quận Bình Thạnh, Thành phố Hồ Chí Minh, Việt Nam</t>
  </si>
  <si>
    <t>CÔNG TY TNHH LEO ASIA</t>
  </si>
  <si>
    <t>Số 10 đường số 2, Khu nhà ở Văn phòng Chính phủ, Khu phố 5, Phường Hiệp Bình Phước, Thành phố Thủ Đức, Thành phố Hồ Chí Minh, Việt Nam</t>
  </si>
  <si>
    <t>Chi nhánh Công ty Cổ phần Đầu tư Nam Phúc - Kon Tum</t>
  </si>
  <si>
    <t>Thôn 1, xã Tân Cảnh, huyện Đắk Tô, tỉnh Kon Tum</t>
  </si>
  <si>
    <t>CÔNG TY CỔ PHẦN GIẢI PHÁP CÔNG NGHIỆP VÀ CÔNG NGHỆ MÔI TRƯỜNG HÒA PHÁT ECO</t>
  </si>
  <si>
    <t>Số 18, Đường số 2, Khu đô thị Vạn Phúc, Phường Hiệp Bình Phước, Thành phố Thủ Đức, Thành phố Hồ Chí Minh, Việt Nam</t>
  </si>
  <si>
    <t>CÔNG TY CỔ PHẦN VIỆT WATER</t>
  </si>
  <si>
    <t>339 Phạm Văn Bạch, Phường 15, Quận Tân Bình, TP. HCM</t>
  </si>
  <si>
    <t>CÔNG TY TNHH HƯNG NGHIỆP HẢI HÀ</t>
  </si>
  <si>
    <t>68 HÙNG VƯƠNG, KP TÂN HẠNH, PHƯỜNG PHÚ MỸ, THỊ XÃ PHÚ MỸ, TỈNH BÀ RỊA VŨNG TÀU</t>
  </si>
  <si>
    <t>CÔNG TY CỔ PHẦN DU LỊCH VÀ SỰ KIỆN CHÂU Á TOÀN CẦU</t>
  </si>
  <si>
    <t>637/127 Quang Trung, phường 11, quận Gò Vấp, TP. HCM</t>
  </si>
  <si>
    <t>CÔNG TY TNHH XÂY DỰNG THƯƠNG MẠI MINH AN</t>
  </si>
  <si>
    <t>346/41 Chu Văn An, phường 12, Quận Bình Thạnh, TpHCM</t>
  </si>
  <si>
    <t>CÔNG TY TNHH TM DV XUẤT NHẬP KHẨU NAM THẮNG</t>
  </si>
  <si>
    <t>119 Lý Phục Man, Phường Bình Thuận, Quận 7, TP.HCM, Việt Nam</t>
  </si>
  <si>
    <t>CÔNG TY TNHH ĐẦU TƯ DỊCH VỤ BẢO VỆ BECAMEX MIỀN ĐÔNG BDC</t>
  </si>
  <si>
    <t>18B, Đường Thới An 10, KP3, Phường Thới An, Quận 12, TP. Hồ Chí Minh</t>
  </si>
  <si>
    <t>Công ty TNHH MTV Dịch Vụ Bảo Vệ-Vệ Sĩ Huỳnh Long Hải</t>
  </si>
  <si>
    <t>639/3 tỉnh lộ 883 ấp Phước Hoà, xã Phú An Hoà, huyện Châu Thành, tỉnh Bến Tre</t>
  </si>
  <si>
    <t>Công Ty TNHH Dịch Vụ Thương Mại Tiến Đạt Mạnh</t>
  </si>
  <si>
    <t>Ấp Vĩnh mẫu xã Vĩnh hậu huyện hòa bình tỉnh bạc Liêu</t>
  </si>
  <si>
    <t>Chi nhánh Công Ty Cổ Phần Khử Trùng Việt Nam</t>
  </si>
  <si>
    <t>Số 263 Trần Hưng Đạo, phường Trần Hưng Đạo, thánh phố Quy Nhơn, tỉnh Bình Định</t>
  </si>
  <si>
    <t>CN CÔNG TY TNHH DỊCH VỤ BẢO VỆ NGÀY &amp; ĐÊM TẠI TP CẦN THƠ</t>
  </si>
  <si>
    <t>556A Đường CMT8, P. Bùi Hữu Nghĩa, Q. Bình Thủy, TP. Cần Thơ</t>
  </si>
  <si>
    <t>Thôn 10, xã EaĐar, huyện EaKar, tỉnh Đắk Lắk, Việt Nam</t>
  </si>
  <si>
    <t>Công Ty TNHH TM DV Gia Minh TMT</t>
  </si>
  <si>
    <t>Số 18 Tổ 1, khu 2, Phường Trà Nóc , Quận Bình Thủy TP Cần Thơ</t>
  </si>
  <si>
    <t>Tổ 1, Ấp 4, Xã Sông Trầu, Huyện Trảng Bom, Tỉnh Đồng Nai</t>
  </si>
  <si>
    <t>CÔNG TY TNHH HÀ MAI VÂN</t>
  </si>
  <si>
    <t>128/14/2, KP3, PHƯỜNG TÂN TIẾN, TP. BIÊN HÒA, TỈNH ĐỒNG NAI.</t>
  </si>
  <si>
    <t>CTY TNHH XÂY DỰNG TÍN PHÁT SÀI GÒN</t>
  </si>
  <si>
    <t>2/72D - ẤP ĐÌNH - TÂN XUÂN - HÓC MÔN - TP.HCM</t>
  </si>
  <si>
    <t>Công Ty TNHH MTV Kỹ Thuật Lưu Trữ Á Châu</t>
  </si>
  <si>
    <t>130 Lê Sao, P. Phú Thạnh, Q. Tân Phú, TP. HCM</t>
  </si>
  <si>
    <t>CÔNG TY TNHH MTV DV BẢO VỆ DUY NHẤT</t>
  </si>
  <si>
    <t>74 Nguyễn Đình Chiểu, P. Bình Định, TX. An Nhơn, T. Bình Định</t>
  </si>
  <si>
    <t>Công Ty TNHH Điện Cơ Hoàng Hải</t>
  </si>
  <si>
    <t>số nhà 700 tổ 9 ấp gia hòa xã xuân trường huyện xuân lộc , tỉnh đồng nai</t>
  </si>
  <si>
    <t>Chi Nhánh Công Ty TNHH Dịch Vụ Bảo Vệ Ngày &amp; Đêm</t>
  </si>
  <si>
    <t>QL 22, Tổ 2, Kp. An Bình, P. An Tịnh, Tx. Trảng Bàng, Tỉnh Tây Ninh</t>
  </si>
  <si>
    <t>CÔNG TY TNHH TMDV TƯ VẤN MÔI TRƯỜNG TÂN HUY HOÀNG</t>
  </si>
  <si>
    <t>B24, cư xá thuỷ lợi 301, đường Nguyễn Văn Thương, P. 25, Q. Bình Thạnh, Tp. HCM</t>
  </si>
  <si>
    <t>CÔNG TY TNHH THƯƠNG MẠI XUẤT NHẬP KHẨU NTH</t>
  </si>
  <si>
    <t>SỐ NHÀ 171, ĐT 766, THÔN 8, XÃ NAM CHÍNH, HUYỆN ĐỨC LINH, TỈNH BÌNH THUẬN, VIỆT NAM</t>
  </si>
  <si>
    <t>CÔNG TY TNHH TM-DV TIN HỌC VÀ QUẢNG CÁO LONG NHÂN</t>
  </si>
  <si>
    <t>195 Trần Phú - P.Bình Định - TX.An Nhơn - T.Bình Định - Việt Nam</t>
  </si>
  <si>
    <t>Công ty TNHH Thương Mại Kỹ Thuật Cường Thịnh</t>
  </si>
  <si>
    <t>Tổ 15, KP 5, Phường Trảng Dài, TP Biên Hòa, Tỉnh Đồng Nai</t>
  </si>
  <si>
    <t>Công Ty TNHH Kỹ Thuật Điện PTC</t>
  </si>
  <si>
    <t>Số 44/53, KV2, Phường Trà Nóc, Quận Bình Thuỷ, Thành phố Cần Thơ, Việt Nam</t>
  </si>
  <si>
    <t>CÔNG TY TNHH THƯƠNG MẠI DỊCH VỤ TỔNG HỢP TÂM Ý</t>
  </si>
  <si>
    <t>Ấp Vĩnh Mẫu, Xã Vĩnh Hậu, Huyện Hoà Bình, Tỉnh Bạc Liêu</t>
  </si>
  <si>
    <t>Công ty Cổ phần Dịch vụ An ninh Đại Gia Việt</t>
  </si>
  <si>
    <t>409 Nguyễn Thái Bình, Phường 12, Quận Tân Bình, TP. Hồ Chí Minh</t>
  </si>
  <si>
    <t>CÔNG TY TNHH KỸ THUẬT CÔNG NGHỆ TSK</t>
  </si>
  <si>
    <t>37/2C/12 ĐƯỜNG C18 - P12 - Q. TÂN BÌNH - TP.HCM</t>
  </si>
  <si>
    <t>Công ty CPDV Du Lịch Bến Thành</t>
  </si>
  <si>
    <t>70 Lý Tự Trọng, Phường Bến Thành, Quận 1, TPHCM</t>
  </si>
  <si>
    <t>CÔNG TY TNHH Hạnh Tính</t>
  </si>
  <si>
    <t>Thôn Cầu Gạo, Xã Yên Phụ, Huyện Yên Phong, Tỉnh Bắc Ninh</t>
  </si>
  <si>
    <t>Công ty cổ phần xây dựng và phát triển môi trường bền vững CEND</t>
  </si>
  <si>
    <t>Số nhà N8-LK01, Ngõ 24 Đường Văn Phú, Phường phú La, Quận Hà Đông, tp Hà Nội</t>
  </si>
  <si>
    <t>Công ty TNHH 1 TV SX-KD-XNK L.U.C.K.Y.S.T.A.R</t>
  </si>
  <si>
    <t>Tầng 8, tòa nhà Sannam, Số 78 Phố Duy Tân, P.Dịch Vọng Hậu, Q.Cầu Giấy, T.P Hà Nội</t>
  </si>
  <si>
    <t>Công ty cổ phần ZWZ Việt Nam</t>
  </si>
  <si>
    <t>Vật tư tổng hợp/dự án</t>
  </si>
  <si>
    <t>Số 89 Hoàng Ngọc Phách, Kênh Dương, Lê Chân, Hải Phòng</t>
  </si>
  <si>
    <t>Thương mại có kho/dịch vụ</t>
  </si>
  <si>
    <t>Công ty TNHH MTV Cơ Điện và Xây Dựng KiPo</t>
  </si>
  <si>
    <t>Thôn Tân Kỳ, Xã Tân Trường, Huyện Cẩm Giàng, Tỉnh Hải Dương, Việt Nam</t>
  </si>
  <si>
    <t>Công ty TNHH Công nghiệp Bắc Bình</t>
  </si>
  <si>
    <t>Căn nhà C6, Dự án khu nhà ở Mai Dịch, Phường Mai Dịch, Quận Cầu Giấy, Thành phố Hà Nội</t>
  </si>
  <si>
    <t>Công ty TNHH dịch vụ Pestkil Việt Nam</t>
  </si>
  <si>
    <t>T118 Lô đất L12 , Khu đấu giá 31ha, Thị Trấn Trâu Quỳ, Gia Lâm, Hà Nội</t>
  </si>
  <si>
    <t>Công ty Cổ phần Công nghệ Môi trường Âu Việt</t>
  </si>
  <si>
    <t>Số 19, ngõ 640 đường Láng, phường Láng Hạ, Đống Đa, Hà Nội</t>
  </si>
  <si>
    <t>Công ty Cổ phần thương mại năng lực việt</t>
  </si>
  <si>
    <t>lô đất số b2-3-3b, KCN Nam thăng long thụy phương bắc từ liêm hà nội</t>
  </si>
  <si>
    <t>Công ty TNHH T&amp;Q Hà Nội</t>
  </si>
  <si>
    <t>Số 14 ngõ 235, tổ 23 Phường Yên Hòa, Quận Cầu GIấy, TP Hà Nội</t>
  </si>
  <si>
    <t>Công ty TNHH đầu tư phát triển Sóng Vàng</t>
  </si>
  <si>
    <t>Số 27 ngõ 229 Bạch Đằng, Phường Chương Dương, Quận Hoàn Kiếm, TP. Hà Nội</t>
  </si>
  <si>
    <t>CÔNG TY CỔ PHẦN THƯƠNG MẠI XĂNG DẦU VIỆT NAM</t>
  </si>
  <si>
    <t>Phòng 907 nhà B, Khách sạn thể thao, Số 15 Lê Văn Thiêm, Nhân Chính, Thanh Xuân, Hà Nội</t>
  </si>
  <si>
    <t>Dịch Vụ</t>
  </si>
  <si>
    <t xml:space="preserve">Nam Định </t>
  </si>
  <si>
    <t>Số 45 Bà Triệu - Phường Bà Triệu - TP Nam Định - Tỉnh Nam Định - Việt Nam</t>
  </si>
  <si>
    <t>FSSC22000</t>
  </si>
  <si>
    <t>48G Ngô Thì Nhậm, Phường Hà Cầu, Quận Hà Đông, Thành Phố Hà Nội, Việt Nam</t>
  </si>
  <si>
    <t>193 Ngõ 192 Lê Trọng Tấn, Phường Định Công, Quận Hoàng Mai, Hà Nội</t>
  </si>
  <si>
    <t>16BT5, KĐT Cầu Bưu, Tân Triều, Thanh Trì, Hà Nội.</t>
  </si>
  <si>
    <t>Số 26, Ngõ 12 Khuất Duy Tiến, Phường Thanh Xuân Trung, Quận Thanh Xuân, Hà Nội</t>
  </si>
  <si>
    <t>Kho: Km1 - Đường Phan Trọng Tuệ, Thanh Trì, Hà Nội
Văn phòng: số 05-BT3, Trung Văn Vinaconex 3,đường Trung Văn, Nam Từ Liêm, Hà Nội</t>
  </si>
  <si>
    <t>Lô A2 đường CN9, KCN Vừa và nhỏ Từ Liêm, Phương Canh, Quận Nam Tư Liêm, Hà Nội</t>
  </si>
  <si>
    <t>Số nhà 50 chế Lan viên - khu đô thị Ecorivers- phường Hải Tân - thành phố Hải dương- tỉnh Hải dương- Việt nam.</t>
  </si>
  <si>
    <t>Tầng 02, Toà D, Việt Đức Complex, Ngõ 39 Lê Văn Lương, Q. Thanh Xuân, Hà Nội</t>
  </si>
  <si>
    <t>Thôn Lập Thàng, Xã Đông Xuân, Huyện Quốc Oai, TP. Hà Nội</t>
  </si>
  <si>
    <t>Tầng 10, Toà Nhà licogi 13, Số 164, Khuất Duy Tiến, P. Nhân Chính, Q.Thanh Xuân, Tp. Hà Nội</t>
  </si>
  <si>
    <t>Số Nhà 107, Tổ 3 Khu Tân Bình, Thị Trấn Xuân Mai, Huyện Chương Mỹ, Hà Nội</t>
  </si>
  <si>
    <t>Cụm Công nghiệp Vĩnh Tân, Ấp 4, Xã Vĩnh Tân, Tx. Tân Uyên, T. Bình Dương</t>
  </si>
  <si>
    <t>2 years</t>
  </si>
  <si>
    <t>Công Ty Cổ Phần Hàng Tiêu Dùng Biên Hòa</t>
  </si>
  <si>
    <t>Khu công nghiệp Biên Hòa 01, TP. Biên Hòa, T. Đồng Nai</t>
  </si>
  <si>
    <t>KCN Biên Hòa 1, Phường An Bình, TP. Biên Hòa, Đồng Nai, Việt Nam</t>
  </si>
  <si>
    <t>3 years</t>
  </si>
  <si>
    <t>Công Ty CP Vật Liệu Xây Dựng Và Chất Đốt Đồng Nai</t>
  </si>
  <si>
    <t>255B Phạm Văn Thuận, P. Tân Mai, Biên Hòa, Đồng Nai</t>
  </si>
  <si>
    <t>Số 255B, Đường Phạm Văn Thuận, P. Tân Mai, TP Biên Hòa, T. Đồng Nai</t>
  </si>
  <si>
    <t>Công Ty TNHH Uni-President Việt Nam</t>
  </si>
  <si>
    <t>Số 16-18-20 đường ĐT 473, KCN Sóng thần 2, Dĩ An, Bình dương</t>
  </si>
  <si>
    <t>Số 16-18 -20 đường ĐT 743, KCN Sóng Thần II, phường Dĩ An, thị xã Dĩ An, tỉnh Bình Dương</t>
  </si>
  <si>
    <t>Công Ty Cổ Phần Hạo Phương</t>
  </si>
  <si>
    <t>Số 88, Đường Vĩnh Phú 40, KP. Hòa Long, P. Vĩnh Phú, TX. Thuận An,   T. Bình Dương, Việt Nam</t>
  </si>
  <si>
    <t>Số 88, Đường Vĩnh Phú 40, KP.Hòa Long, P. Vĩnh Phú, TP. Thuận An, T. Bình Dương, Việt Nam</t>
  </si>
  <si>
    <t>Khu 2, KCN Nhơn Hòa, H. An Nhơn, Bình Định</t>
  </si>
  <si>
    <t>566 Trần Phú, P. Bình Định, TX. An Nhơn, T. Bình Định</t>
  </si>
  <si>
    <t>Công Ty CP Xuất Nhập Khẩu Nam Thái Sơn</t>
  </si>
  <si>
    <t>934 D3, Đường D, Cụm 2 KCN Cát Lái, Phường Thạnh Mỹ Lợi, Quận 2, Tp.HCM</t>
  </si>
  <si>
    <t>Số 934 D3, Đường D, Cụm 2 KCN Cát Lái, P. Thạnh Mỹ Lợi, TP. Thủ Đức, TP. Hồ Chí Minh</t>
  </si>
  <si>
    <t>Công Ty TNHH Thương Mại Phổ Bình</t>
  </si>
  <si>
    <t>Kho - Số 2 đường số 14, P. Linh Trung, Q. Thủ Đức. VP: 289 Luỹ Bán Bích, P.Hiệp Tân, Q.Tân Phú</t>
  </si>
  <si>
    <t>289 Lũy Bán Bích, P Hiệp Tân, Q Tân Phú, Hồ Chí Minh</t>
  </si>
  <si>
    <t>Công ty TNHH TM SX &amp; DV Toàn Hóa</t>
  </si>
  <si>
    <t>Lô G05, đường số 3, KCN Hạnh phúc, Đức hòa, Long An.</t>
  </si>
  <si>
    <t>Lô G05, Đường số 3, Khu Công Nghiệp Hạnh Phúc, Đức Hòa, Long An</t>
  </si>
  <si>
    <t>Lô G05, đường số 3, khu công nghiệp Hạnh Phúc, Đức Hòa, Long An</t>
  </si>
  <si>
    <t>Công Ty TNHH Công Nghệ Khiển Chất Lỏng K T N</t>
  </si>
  <si>
    <t>91 Đường 5 Khu Dân Cư Gia Hòa, Phường Phước Long B, Quận 9, TP. HCM</t>
  </si>
  <si>
    <t>Công ty TNHH SX &amp; TM Hằng Sinh</t>
  </si>
  <si>
    <t>243A, Quốc lộ 50, xã Đa Phước, huyện Bình Chánh, TP.HCM</t>
  </si>
  <si>
    <t>Doanh Nghiệp Tư Nhân TM Song Hành</t>
  </si>
  <si>
    <t>TP.HCM</t>
  </si>
  <si>
    <t>VP: 58 Vạn Kiếp, P.03, Q. Bình Thạnh, TP. HCM
Xưởng: 99/19 Bùi Tư Toàn P. An Lạc, Q. Bình Tân</t>
  </si>
  <si>
    <t>58 Vạn Kiếp, Phường 03, Quận Bình Thạnh, Tp. HCM</t>
  </si>
  <si>
    <t>58 Vạn Kiếp, Phường 3,Quận Bình Thạnh,TP.HCM</t>
  </si>
  <si>
    <t>Công ty TNHH Đại Thế Giới</t>
  </si>
  <si>
    <t>181 Đặng Văn Bi, Kp.4, P.Trường Thọ, Q.Thủ Đức Tp. Hồ Chí Minh</t>
  </si>
  <si>
    <t>10 Lô C Đường Số 1, Phường Phú Thuận,Quận 7,TP. Hồ Chí Minh</t>
  </si>
  <si>
    <t>Công Ty CP Việt Nam Kỹ Nghệ Bột Mì</t>
  </si>
  <si>
    <t>Lô C32C/I, đường 2G, KCN Vĩnh Lộc, xã Vĩnh Lộc A, huyện Bình Chánh, Tp.HCM</t>
  </si>
  <si>
    <t>Công ty TNHH Kỹ Thuật Tiêu Điểm</t>
  </si>
  <si>
    <t>Củ Chi</t>
  </si>
  <si>
    <t>Lô C1-4, đường N8, KCN Tân Phú Trung, xã Tân Phú Trung, Củ Chi</t>
  </si>
  <si>
    <t>L4 Tòa nhà Vạn Đạt Lô II - 1, Đường Số 8, KCN Tân Bình, P.Tây Thạnh, Q.Tân Phú,TP.Hồ Chí Minh</t>
  </si>
  <si>
    <t>41 Trần Khắc Chân, Phường 15, Quận Phú Nhuận, TP. Hồ Chí Minh</t>
  </si>
  <si>
    <t>Công Ty TNHH Thương Mại - Sản Xuất Trại Việt</t>
  </si>
  <si>
    <t>Xưởng: Thạnh đức, Gò Dầu, Tây Ninh 
VP: 181/51 Phan Đăng Lưu, P.1, Q.Phú Nhuận   TP HCM</t>
  </si>
  <si>
    <t>Tổ dân cư tự quản số 10, Thạnh Đức, Gò Dầu, Tây Ninh</t>
  </si>
  <si>
    <t>Tổ dân cư tự quản 10, Thạnh Đức, Gò Dầu, Tây Ninh</t>
  </si>
  <si>
    <t>Công Ty Cổ Phần Xây Dựng Và Đầu Tư Phú Sĩ</t>
  </si>
  <si>
    <t>329 Tô Hiến Thành, P. 13, Q. 10, TP. Hồ Chí Minh</t>
  </si>
  <si>
    <t>1 year</t>
  </si>
  <si>
    <t>Số 585/6C Sư Vạn Hạnh, Phường 13, Quận 10, TP.HCM</t>
  </si>
  <si>
    <t>Công Ty TNHH Anh Và Chánh</t>
  </si>
  <si>
    <t>Số 13, Đường 4, KP 4P. Linh Chiểu, TP. Thủ ĐứcTP. Hồ Chí Minh, Việt Nam</t>
  </si>
  <si>
    <t>Công Ty Cổ Phần Hóa Chất Á Châu</t>
  </si>
  <si>
    <t>Kho: Số 9, Đường 6, KCN Sóng Thần 2, Bình Dương
VP: Lầu 11, tòa nhà Vinamilk – Số 10 Tân Trào, P. Tân Phú, Q.7, HCM</t>
  </si>
  <si>
    <t>Lô K4B, KCN. Lê Minh Xuân, Đường Số 4, X.Lê Minh Xuân, H.Bình Chánh, TP.HCM</t>
  </si>
  <si>
    <t>Công Ty TNHH TMDV Lê Hùng Sao Mai</t>
  </si>
  <si>
    <t>14 Bình Phú, Phường Tam Phú, Thành Phố Thủ Đức, TP. Hồ Chí Minh</t>
  </si>
  <si>
    <t>Công Ty TNHH MTV SX TM Bảo Nguyên</t>
  </si>
  <si>
    <t>135/17/80 Nguyễn Hữu Cảnh, Phường 22, Quận Bình Thạnh, TP Hồ Chí Minh</t>
  </si>
  <si>
    <t>135/17/80 Nguyễn Hữu Cảnh, Phường 22,Quận Bình Thạnh,TP. Hồ Chí Minh</t>
  </si>
  <si>
    <t>Công Ty TNHH MTV Cơ Khí Xuân Phương</t>
  </si>
  <si>
    <t>25/16A Chuyên Dùng 9, Khu Phố 3, Phường Phú Mỹ, Quận 7, TP Hồ Chí Minh</t>
  </si>
  <si>
    <t>Số 35A đường 64, ấp Giồng Sao, xã Tân Phú Trung, Củ Chi, TP. HCM</t>
  </si>
  <si>
    <t>Công Ty Cổ Phần Quốc Tế Thiền Sinh Thái</t>
  </si>
  <si>
    <t>41 Thép Mới, Phường 12, Quận Tân Bình,TP. Hồ Chí Minh</t>
  </si>
  <si>
    <t>508/16/10 Đường Trường Chinh, Phường 13, Quận Tân Bình, TP Hồ Chí Minh</t>
  </si>
  <si>
    <t>Cần Thơ</t>
  </si>
  <si>
    <t>Xưởng: KCN Trà Nóc, Bình Thủy, Cần Thơ
VP: Ô Môn, Cần Thơ</t>
  </si>
  <si>
    <t>106 đường 3/2, P.Hưng Lợi, Quận Ninh Kiều, Cần Thơ</t>
  </si>
  <si>
    <t>Đường Tôn Đức Thắng (QL91), Phước Thới, Ô Môn, Cần Thơ</t>
  </si>
  <si>
    <t>Công Ty TNHH Kỹ Thuật Công Nghệ Môi Trường Long Trường Vũ</t>
  </si>
  <si>
    <t>72 Phú Thọ, Phường 2, Quận 11, TP. Hồ Chí Minh, Việt Nam</t>
  </si>
  <si>
    <t>72 Phú Thọ, Phường 2, Quận 11,Thành Phố Hồ Chí Minh, Việt Nam</t>
  </si>
  <si>
    <t>Công ty TNHH Cơ khí A.T.B</t>
  </si>
  <si>
    <t>Biên Hòa</t>
  </si>
  <si>
    <t>495/11, Tổ 15, KP2,Phường Trảng Dài, TP. Biên Hòa, Đồng Nai</t>
  </si>
  <si>
    <t>459/11 Tổ 15, KP.2, P Trảng Dài, TP. Biên Hòa, T Đồng Nai</t>
  </si>
  <si>
    <t>Số 459/11,Tổ 15,KP.2,P.Trảng Dài,TP. Biên Hòa,T. Đồng Nai, VN</t>
  </si>
  <si>
    <t>Lô C5, Cụm KCN Nhựa Đức Hòa Hạ, H.Đức Hòa, T. Long An</t>
  </si>
  <si>
    <t>Lô G đường số 03, KCN Hải Sơn, ấp Bình Tiền 2, xã Đức Hòa Hạ, H. Đức Hòa, Long An</t>
  </si>
  <si>
    <t>Cơ sở Minh Đoàn</t>
  </si>
  <si>
    <t>70/2A Ấp Thanh Hóa, Hố Nai 3, H. Trảng Bom, Đồng Nai</t>
  </si>
  <si>
    <t>Công Ty TNHH Box - Pak (Việt Nam)</t>
  </si>
  <si>
    <t>Số 22 ĐạiLộ Hữu Nghị, KCN Việt Nam- Singapore, P. Bình Hòa, TX. Thuận An, T. Bình Dương</t>
  </si>
  <si>
    <t>Cơ Sở Lê Văn Mum</t>
  </si>
  <si>
    <t>101/30 APĐ 03, Khu Phố 3, Phường An Phú Đông, Quận 12,TP Hồ Chí Minh</t>
  </si>
  <si>
    <t>Công Ty TNHH SX TM Dịch Vụ Thịnh Khang</t>
  </si>
  <si>
    <t>Lô số 14-16, đường số 3, KCN Tân Tạo, P. Tân Tạo A, quận Bình Tân, TP.HCM</t>
  </si>
  <si>
    <t>Lô số 14-16, Đường số 3, KCN Tân Tạo, P. Tân Tạo A, Q. Bình Tân, Tp Hồ Chí Minh</t>
  </si>
  <si>
    <t>Lô 261, Tổ 2, KP 1, TT Trảng Bom, H.Trảng Bom, Đồng Nai</t>
  </si>
  <si>
    <t>Công Ty TNHH MTV Sản Xuất Cơ Khí Nhân Văn Khoa</t>
  </si>
  <si>
    <t>Số 21/2A, Khu Phố 1, Phường Bửu Long, Thành Phố Biên Hòa, Tỉnh Đồng Nai</t>
  </si>
  <si>
    <t>Lô F, Đường số 12, KCN Sóng Thần 2, Thị xã Dĩ An, Bình Dương</t>
  </si>
  <si>
    <t>Công Ty TNHH Thiết Bị Khoa Học Kỹ Thuật Mỹ Thành</t>
  </si>
  <si>
    <t>445 Tô Hiến Thành, Quận 10, TP.HCM</t>
  </si>
  <si>
    <t>Số 445 Tô Hiến Thành, Phường 14, Quận 10 Thành Phố Hồ Chí Minh</t>
  </si>
  <si>
    <t>Công Ty TNHH Thương Mại - Dịch Vụ Hóa Khoa</t>
  </si>
  <si>
    <t>497/17 Sư Vạn Hạnh, phường 12, Quận 10, TP.HCM</t>
  </si>
  <si>
    <t>Số 497/17 Sư Vạn Hạnh, Phường 12, Quận 10, TP. Hồ Chí Minh</t>
  </si>
  <si>
    <t>Công Ty TNHH Minh Đống</t>
  </si>
  <si>
    <t>181 Đặng Văn Bi, Khu phố 4, Phường Trường Thọ, QuậnThủ Đức, TP. Hồ Chí Minh</t>
  </si>
  <si>
    <t>181 Đặng Văn Bi, KP. 4,P. Trường Thọ, TP. Thủ Đức,TP. HCM</t>
  </si>
  <si>
    <t>CTY TNHH S.T.D &amp; S ( STD &amp; S Co., Ltd )</t>
  </si>
  <si>
    <t>Lô 25A - Đường Trung Tâm - KCN Tân TạoMở Rộng - P. Tân Tạo A - Quận Bình Tân-TP Hồ Chí Minh - Việt Nam</t>
  </si>
  <si>
    <t>Công Ty TNHH Kỹ Thuật Hải Âu</t>
  </si>
  <si>
    <t>56 Đường 54, Khu Phố 9, P.Tân Tạo,  Q. Bình Tân,  TP Hồ Chí Minh</t>
  </si>
  <si>
    <t>56 Đường 54, Khu Phố 9, P.Tân Tạo, Q. Bình Tân, TP Hồ Chí Minh</t>
  </si>
  <si>
    <t xml:space="preserve"> 39B Trường Sơn, P.4, Q.Tân Bình,   TP Hồ Chí Minh, Việt Nam</t>
  </si>
  <si>
    <t>39B Trường Sơn, P.4, Q.Tân Bình, TP Hồ Chí Minh</t>
  </si>
  <si>
    <t xml:space="preserve"> Công ty TNHH MTV TM DV Song Ngư</t>
  </si>
  <si>
    <t>16/93/2 Nguyễn Thiện Thuật, Phường 2, Quận 3, TP Hồ Chí Minh</t>
  </si>
  <si>
    <t>Công Ty TNHH Thiết Bị New Diamond</t>
  </si>
  <si>
    <t>89/19 Phan Anh, Khu Phố 12, Phường Bình Trị Đông, Quận Bình Tân, TP. Hồ Chí Minh</t>
  </si>
  <si>
    <t>CTY CP Công Nghiệp Lạnh Hưng Trí</t>
  </si>
  <si>
    <t>51 Trần Phú, Phường 04, Quận 5, TP. Hồ Chí Minh, Việt Nam.</t>
  </si>
  <si>
    <t>Công Ty TNHH Hóa Chất - Thiết Bị Quang Phát</t>
  </si>
  <si>
    <t>2/66 Phạm Văn Bạch, Phường 15, Quận Tân Bình, TP. Hồ Chí Minh, Việt Nam</t>
  </si>
  <si>
    <t>2/66 Phạm Văn Bạch- Phường 15-Quận Tân Bình-TP Hồ Chí Minh</t>
  </si>
  <si>
    <t>47, Tổ 2, Ấp 1, Xã Sông Trầu, H. Trảng Bom, T. Đồng Nai</t>
  </si>
  <si>
    <t>Số 47, Tổ 2, Ấp 1, Xã Sông Trầu,Huyện Trảng Bom,Tỉnh Đồng Nai, Việt Nam</t>
  </si>
  <si>
    <t>Lô A11, Khu Dân Cư Thái An,1/45 Nguyễn  Văn Quá, P.Đông Hưng Thuận, Q.12   Tp. Hồ Chí Minh</t>
  </si>
  <si>
    <t>Lô A11, Khu Dân Cư Thái An,1/45 Nguyễn Văn Quá, P.Đông Hưng Thuận, Q.12 Tp. Hồ Chí Minh</t>
  </si>
  <si>
    <t>Công Ty TNHH Năng Lượng Xanh</t>
  </si>
  <si>
    <t>A1/18A, Hoàng Phan Thái, X.Bình Chánh, H.Bình Chánh,TP Hồ Chí Minh</t>
  </si>
  <si>
    <t>Công Ty TNHH Cơ Khí Nam Thanh Nhã</t>
  </si>
  <si>
    <t>33A, Đường 30/4, P. Hưng Lợi, Q. Ninh Kiều, TP. Cần Thơ</t>
  </si>
  <si>
    <t>Số 200 Đường Nhật Tảo, P. Lê Bình, Q. Cái Răng, Tp. Cần Thơ</t>
  </si>
  <si>
    <t>Công Ty Cổ Phần Tân Phú Việt Nam</t>
  </si>
  <si>
    <t>Cụm công nghiệp nhựa Đức Hòa (Lô C16), ấp Bình Tiên 2, xã Đức Hòa Hạ, huyện Đức Hòa, tỉnh Long An</t>
  </si>
  <si>
    <t>Cụm Công Nghiệp Nhựa Đức Hòa (Lô C16), Xã Đức Hòa Hạ , Huyện Đức Hòa, T. Long An</t>
  </si>
  <si>
    <t>Công ty Cổ phần Trung Đông</t>
  </si>
  <si>
    <t>Cụm CN Tam Phước 1, X. Tam Phước, TP. Biên Hòa, Đồng Nai</t>
  </si>
  <si>
    <t>Cụm CN Tam Phước 1, Xã Tam Phước, TP. Biên Hòa, Tỉnh Đồng Nai</t>
  </si>
  <si>
    <t>Công ty Ajinomoto Việt Nam</t>
  </si>
  <si>
    <t>Đường số 9, khu công nghiệp Long Thành, Long Thành, Đồng Nai</t>
  </si>
  <si>
    <t>KCN Biên Hòa 1, đường Lê Văn Duyệt, phường An Bình, Thành phố Biên Hòa, tỉnh Đồng Nai</t>
  </si>
  <si>
    <t>Khu Công Nghiệp Biên Hòa I,Phường An Bình, Thành Phố Biên Hòa,Tỉnh Đồng Nai, Việt Nam</t>
  </si>
  <si>
    <t>A6/12K, ấp 1, xã Tân Kiên, huyện Bình Chánh, TP.HCM</t>
  </si>
  <si>
    <t>CTY TNHH SX Và TM Tuyền Hưng Phú</t>
  </si>
  <si>
    <t>6A Thăng Long P.4 - Tân Bình-TP. Hồ Chí Minh</t>
  </si>
  <si>
    <t>21 Bàu Cát 4, Phường 14, Quận Tân Bình, Thành Phố Hồ Chí Minh</t>
  </si>
  <si>
    <t>21 Bàu Cát 4, P.14, Q.Tân BìnhTP. Hồ Chí Minh</t>
  </si>
  <si>
    <t>Công ty TNHH SX &amp; TM Bảo Mã</t>
  </si>
  <si>
    <t>Lô 21, đường số 03, KCN Tân Tạo, Q. Bình Tân, Hồ Chí Minh</t>
  </si>
  <si>
    <t>Lô 21, Đường số 3, KCN Tân Tạo, Quận Tân Bình, TP. Hồ Chí Minh</t>
  </si>
  <si>
    <t>Số 21 KCN Tân Tạo, Đường Số 3, P. Tân Tạo A, Q. Bình Tân, TP. Hồ Chí Minh</t>
  </si>
  <si>
    <t>Công Ty TNHH Hướng Đi</t>
  </si>
  <si>
    <t>476/234 A3/12 Âu Cơ, Phường 10, Quận Tân Bình,TP. Hồ Chí Minh</t>
  </si>
  <si>
    <t>Công ty TNHH Hóa Chất Bê Ta</t>
  </si>
  <si>
    <t>Số 22 đường 19, Phạm Văn Đồng, Phường Hiệp Bình Chánh, Thủ đức</t>
  </si>
  <si>
    <t>308/32 Bình Lợi, Phường 13, Quận Bình ThạnhTP. Hồ Chí Minh</t>
  </si>
  <si>
    <t>230A Kha Vạn Cân, phuờnng Linh Trung, TP. Thủ Đức</t>
  </si>
  <si>
    <t>Công Ty TNHH Roha Dyechem Việt Nam</t>
  </si>
  <si>
    <t>Lô EB9, đường 19A, KCN Hiệp Bình Phước 2, Hiệp Phước, Nhà Bè, TP.HCM</t>
  </si>
  <si>
    <t>Lô EB9, Đường 19A, KCN Hiệp Phước, H. Nhà Bè, TP. HCM</t>
  </si>
  <si>
    <t>Công Ty TNHH Hóa Chất &amp; Thực Phẩm</t>
  </si>
  <si>
    <t>Kho: ICD KCN Sóng Thần
VP: 106/10 Đường Phan Văn Trị, P.12  Q.Bình Thạnh  TP. Hồ Chí Minh</t>
  </si>
  <si>
    <t>106/10 Đường Phan Văn Trị, Phường 12, Quận Bình Thạnh, TP. Hồ Chí Minh</t>
  </si>
  <si>
    <t>106/10 Đường Phan Văn Trị, P.12 Q.Bình ThạnhTP. Hồ Chí Minh</t>
  </si>
  <si>
    <t>10, Đường 22 , P. Hiệp Bình Chánh, Q. Thủ Đức, Tp. Hồ Chí Minh</t>
  </si>
  <si>
    <t>26/1A Trần Quý Cáp, Phường 11, Quận Bình Thạnh, Thành Phố Hồ Chí Minh</t>
  </si>
  <si>
    <t>VP: C9 Lê Thị Riêng, Phường Thới An, Quận 12, TP. HCM
Kho: 1011 Quốc lộ 1A, phường Thới An, Quận 12, TP. HCM</t>
  </si>
  <si>
    <t>2018</t>
  </si>
  <si>
    <t xml:space="preserve"> 201/1A Nguyễn Xí, Phường 26, Quận Bình Thạnh,  TP. Hồ Chí Minh, Việt Nam</t>
  </si>
  <si>
    <t>Công ty TNHH ANPHACHEM</t>
  </si>
  <si>
    <t>201/1A Nguyễn Xí, Phường 26, Quận Bình Thạnh, TP. Hồ Chí Minh</t>
  </si>
  <si>
    <t>Công Ty TNHH Công Nghệ Tiềm Năng</t>
  </si>
  <si>
    <t>Lô HT-F1-10, HT-F1-11, đường số 19, KCN Hiệp Phước, Xã Hiệp Phước, Huyện Nhà Bè</t>
  </si>
  <si>
    <t>133-135 Mỹ Hào, Phường Tân Phong, Quận 7, Thành Phố Hồ Chí Minh</t>
  </si>
  <si>
    <t>Công Ty TNHH Trường Minh</t>
  </si>
  <si>
    <t>Căn hộ Terra Rosa, Nguyễn Văn Linh, xã Phong Phú, Bình Chánh, TP.HCM</t>
  </si>
  <si>
    <t>Căn hộ Terra Rosa, Bình Chánh, TP. Hồ Chí Minh</t>
  </si>
  <si>
    <t>Công Ty Cổ phần Thương Mại Sim Ba</t>
  </si>
  <si>
    <t>618/34 Âu Cơ, P.10, Q. Tân Bình, HCM</t>
  </si>
  <si>
    <t>Công Ty Cổ Phần Thương Mại Sim Ba</t>
  </si>
  <si>
    <t>Số 618/34 Âu Cơ, Q. Tân Bình, TP. HCM</t>
  </si>
  <si>
    <t>Công Ty TNHH DKSH Việt Nam</t>
  </si>
  <si>
    <t>Kho: Kho 6A, ICD Tân Cảng- Long Bình, G243 Bùi Văn Hòa , KP7, P. Long Bình, Biên Hòa, Đồng Nai 
VP: Tòa nhà Viettel, 215 CMT8, P.12, Quận 10, HCM</t>
  </si>
  <si>
    <t>Công Ty Liên Doanh Bột Quốc Tế</t>
  </si>
  <si>
    <t>Lô C30a/I, đường 2G, KCN Vĩnh Lộc, xã Vĩnh Lộc A, huyện Bình Chánh, Tp.HCM</t>
  </si>
  <si>
    <t>Lô C30a/I, Đường 2G, KCN Vĩnh Lộc, Xã Vĩnh Lộc A, H. Bình Chánh, TP. Hồ Chí Minh</t>
  </si>
  <si>
    <t>Công ty TNHH MTV Công Nghệ Phú Lộc</t>
  </si>
  <si>
    <t>VP: 4A Đặng Văn Ngữ, P.10, Q. Phú Nhuận, TP. HCM
Kho: 32 Sông Thao, P.2, Q. Tân Bình</t>
  </si>
  <si>
    <t>412/15 Nơ Trang Long, Phường 13, Quận Bình Thạnh, Thành Phố Hồ Chí Minh</t>
  </si>
  <si>
    <t>Kho: 412/15 Nơ Trang Long, Phường 13, Quận Bình Thạnh, TP.HCM</t>
  </si>
  <si>
    <t>Công Ty TNHH Behn Meyer Việt Nam</t>
  </si>
  <si>
    <t>Số 36, Đường số 6, KCN Việt Nam- Singapore, P. An Phú, Tx. Thuận An, Bình Dương</t>
  </si>
  <si>
    <t>Số 36, đường số 6, KCN Việt Nam- Singapore, P.An Phú Thành Phố Thuận An, tỉnh Bình Dương</t>
  </si>
  <si>
    <t>CTY TNHH TM Và Dịch Vụ Hưng Phát</t>
  </si>
  <si>
    <t>57 Cộng Hòa, Phường 4, Quận Tân Bình, TP. Hồ Chí Minh</t>
  </si>
  <si>
    <t>57 Cộng Hòa, P. 4, Q. Tân Bình,TP.  HCM, VN</t>
  </si>
  <si>
    <t>Công ty TNHH Kiến Vương</t>
  </si>
  <si>
    <t>Lô 22, Đường số 7, KCN Tân Tạo, Q. Bình Tân, TP.HCM</t>
  </si>
  <si>
    <t>Công Ty TNHH SKF Quang Minh</t>
  </si>
  <si>
    <t>82 Lý Tự Trọng, P. An Cư, Q. Ninh Kiều, TP. Cần Thơ</t>
  </si>
  <si>
    <t>82, Lý Tự Trọng, Phường An Cư,Quận Ninh Kiều,Thành Phố Cần Thơ</t>
  </si>
  <si>
    <t>Công Ty TNHH Nhựa Miền Tây</t>
  </si>
  <si>
    <t>288A, Đường Cách Mạng Tháng 8, P Bùi Hữu Nghĩa, Q Bình Thủy, TP Cần Thơ</t>
  </si>
  <si>
    <t>Công Ty TNHH Đại Thanh Ký</t>
  </si>
  <si>
    <t>Số 5/21A, KP 7, Phường Tam Hiệp, TP. Biên Hòa, Tỉnh Đồng Nai, Việt Nam</t>
  </si>
  <si>
    <t>Công Ty TNHH Nhựa Long Thành</t>
  </si>
  <si>
    <t>08 Kim Biên, Phường 13, Quận 5, Thành Phố Hồ Chí Minh</t>
  </si>
  <si>
    <t>Công Ty TNHH Thương Mại Dịch Vụ Đại Nhật Anh</t>
  </si>
  <si>
    <t>270 Lý Thường Kiệt, Quận 10, TP.HCM</t>
  </si>
  <si>
    <t>Số 270 Lý Thường Kiệt, Quận 10, TP. HCM</t>
  </si>
  <si>
    <t>Công ty TNHH Tấn Thành</t>
  </si>
  <si>
    <t>Số 288, tổ 3, ấp Kỉnh Nhượng, Xã Vĩnh Hòa, Huyện Phú Giáo,  Tỉnh Bình Dương, Việt Nam</t>
  </si>
  <si>
    <t>Số 288,Tổ 3, Ấp Kỉnh Nhượng, Xã Vĩnh Hòa, Huyện Phú Giáo, Tỉnh Bình Dương</t>
  </si>
  <si>
    <t>Số 288, tổ3, ấp Kỉnh Nhượng,Xã Vĩnh Hòa, Huyện Phú Giáo,Tỉnh Bình Dương, Việt Nam</t>
  </si>
  <si>
    <t>Số 101 Dương Văn An, Kp.5, P. An Phú, Q.2, TP.HCM</t>
  </si>
  <si>
    <t>36/212B, Đường số 12, Phường Trường Thọ, TP. Thủ Đức, TP. HCM</t>
  </si>
  <si>
    <t>Ấp Chánh, Xã Long Hiệp, H. Bến Lức, Long An</t>
  </si>
  <si>
    <t>Quốc lộ 1A, xã Long Hiệp, huyện Bến Lức, Long An</t>
  </si>
  <si>
    <t>Công ty CP TM &amp; DV Cao Phát Đạt</t>
  </si>
  <si>
    <t>A3, Lô I-1002, đường D2, Khu công nghệ cao, P. Long Thạnh Mỹ, Q.9, TP.HCM</t>
  </si>
  <si>
    <t>A3, Lô I-10-2, đường D2, Khu công nghệ cao, P. Long Thạnh Mỹ, TP. Thủ Đức, TP.HCM</t>
  </si>
  <si>
    <t>Lô C20, Cụm KCN Nhựa Đức Hòa Hạ, H.Đức Hòa, T. Long An</t>
  </si>
  <si>
    <t>Lô C20, Cụm CN Nhựa Đức Hòa Hạ, X. Đức Hòa, H. Đức Hòa, Long An</t>
  </si>
  <si>
    <t>Thôn An Bình, Xã Sông Phan, H. Hàm Tân, T. Bình Thuận</t>
  </si>
  <si>
    <t>Thôn An Bình , xã Sông Phan , H.Hàm Tân Bình Thuận</t>
  </si>
  <si>
    <t>314 Trần Phú, TT Gia Ray, Xuân Lộc, Đồng Nai</t>
  </si>
  <si>
    <t>Công Ty TNHH Thọ Thành Công</t>
  </si>
  <si>
    <t>G112,Khu Phố 7, Phường Long Bình,TP.Biên Hòa, Đồng Nai, Việt Nam.</t>
  </si>
  <si>
    <t>Công Ty TNHH An Ti</t>
  </si>
  <si>
    <t>Số 10/366, đường 904, phường Hiệp Phú, Quận 9, TP.HCM</t>
  </si>
  <si>
    <t>Công Ty TNHH Givaudan Việt Nam</t>
  </si>
  <si>
    <t>Số 31, Đường số 8, KCN  VN-Singapore Thuận An, Bình Dương</t>
  </si>
  <si>
    <t>Số 31, VSIP, đường số 8 KCN Việt Nam - Singapore, Thuận An, Bình Dương</t>
  </si>
  <si>
    <t>Số 31, đường số 8, KCN Việt Nam -Singapore Thuận An, Bình Dương</t>
  </si>
  <si>
    <t>Công Ty TNHH Vĩnh Nam Anh</t>
  </si>
  <si>
    <t>101/37 Ấp 3, đường Hương Lộ 80B, xã Đông Thạnh, H. Hóc Môn, TP.HCM</t>
  </si>
  <si>
    <t>Công Ty TNHH Hóa Chất Toàn Hưng</t>
  </si>
  <si>
    <t>4C International Plaza, số 343 Phạm Ngũ Lão, Quận 1. TP.HCM</t>
  </si>
  <si>
    <t>4C International Plaza, 343 Phạm Ngũ Lão, Quận 1, TP Hồ Chí Minh</t>
  </si>
  <si>
    <t>CTY TNHH TM &amp; DV Cơ Điện Lạnh Tân Phương Tây</t>
  </si>
  <si>
    <t>964/4C Hương Lộ 2, Phường Bình Trị ĐÔng A, Q. Tân Bình, Hồ Chí Minh</t>
  </si>
  <si>
    <t>199 Lãnh Binh ThăngP. 12, Q. 11TP.  Hồ Chí Minh, VN</t>
  </si>
  <si>
    <t>Công ty TNHH Kỹ Thuật Vinh Phát</t>
  </si>
  <si>
    <t>73A Hoàng Diệu 2, P. Linh Trung, Tp. Thủ Đức, Tp. Hồ Chí Minh</t>
  </si>
  <si>
    <t>314 Nguyễn Văn Công, Phường 3, Quận Gò Vấp, Tp. HCM</t>
  </si>
  <si>
    <t>314 Nguyễn Văn Công, P.3, Q.Gò Vấp, TP.HCM</t>
  </si>
  <si>
    <t>Công Ty TNHH Kỹ Thuật Thương Mại Cầu Vồng</t>
  </si>
  <si>
    <t>Lầu 15, Toàn nhà Lim II, 62A Cách Mạng Tháng Tám, Phường 06, Quận 3, TP Hồ Chí Minh</t>
  </si>
  <si>
    <t>254/98/57B Âu Cơ, Phường 9,Quận Tân Bình,Tp. Hồ Chí Minh</t>
  </si>
  <si>
    <t>Công Ty TNHH MTV Hòa Thắng Lợi</t>
  </si>
  <si>
    <t>12, KP5, P. Trảng dài, Biên Hòa, Đồng Nai.</t>
  </si>
  <si>
    <t>Số 112, KP.5, P. Trảng Dài, TP. Biên Hòa, T. Đồng Nai</t>
  </si>
  <si>
    <t>Lô 20-22, Đường số 1, KCN Tân Đức, H. Đức Hòa, T. Long An</t>
  </si>
  <si>
    <t>Lô 20-22 Đường Số 1, KCN Tân Đức, Xã Đức Hòa Hạ, Huyện Đức Hòa, Long An</t>
  </si>
  <si>
    <t>Công Ty TNHH Tập Đoàn Phan Nhân</t>
  </si>
  <si>
    <t>Số 656, Quốc Lộ 1A, Khu Phố 4, Phường Tân Hiệp, TP. Biên Hòa, Tỉnh Đồng Nai</t>
  </si>
  <si>
    <t>Công Ty TNHH Connell Bros. (VN)</t>
  </si>
  <si>
    <t>Kho: 189/8 Lê Hồng Phong, Dĩ An, Bình Dương</t>
  </si>
  <si>
    <t>189/8 đường Lê Hồng Phong, KP. Tân Phước, Tân Bình, Dĩ An, Bình Dương</t>
  </si>
  <si>
    <t>Công Ty TNHH Thiết Bị Khoa Học Kỹ Thuật Trung Hải</t>
  </si>
  <si>
    <t>Số 47, đường số 2, Khu dân cưCity Land, Phường 10, Quận Gò Vấp,Thành phố Hồ Chí Minh, Việt Nam</t>
  </si>
  <si>
    <t>Số 47, Đường số 2, Khu Dân Cư City Land, Phường 10, Quận Gò Vấp, TP. Hồ Chí Minh</t>
  </si>
  <si>
    <t>435/25 Lê Văn Thọ, Phường 9, Quận Gò Vấp TP. Hồ Chí Minh</t>
  </si>
  <si>
    <t>CTY TNHH SX TM Lê Gia</t>
  </si>
  <si>
    <t>108 Khuông Việt, Phường Phú Trung, Quận Tân PhúThành Phố Hồ Chí Minh, Việt Nam</t>
  </si>
  <si>
    <t>Công Ty Liên Doanh TNHH Anova</t>
  </si>
  <si>
    <t>Số 36 Đại lộ Độc lập, KCN Việt Nam - Singapore, P. Bình Hòa, TP. Thuận An, T. Bình Dương</t>
  </si>
  <si>
    <t>Công Ty CP Xuất Nhập Khẩu Đại Cát Lợi</t>
  </si>
  <si>
    <t>Lô D1, Cụm công nghiệp Nhị Xuân, Hóc Môn, TP.HCM</t>
  </si>
  <si>
    <t>Số 3/1E Tổ 1, Ấp Mỹ Hòa 4, Xã Xuân Thới Đông, Huyện Hóc Môn, TP.HCM</t>
  </si>
  <si>
    <t>Km 2087 + 550, QL 1A, thị trấn Cái Tắc, huyện Châu Thành A, Tỉnh Hậu Giang</t>
  </si>
  <si>
    <t>Km 2087+550, Quốc Lộ 1A, Thị Trấn Cái Tắc, H. Châu Thành A, T. Hậu Giang</t>
  </si>
  <si>
    <t>CN CTy TNHH Tân Hy Xí Nghiệp In &amp; Bao Bì Duy Nhật</t>
  </si>
  <si>
    <t>Sóc trăng</t>
  </si>
  <si>
    <t>Lô O, KCN An Nghiệp, H. Châu Thành, T. Sóc Trăng</t>
  </si>
  <si>
    <t>Số 388, ấp Thị Trấn B, Thị Trấn Hòa Bình, tỉnh Bạc Liêu</t>
  </si>
  <si>
    <t>Ấp Vĩnh Mậu, Vĩnh Mậu, huyện Hòa Bình, Tỉnh Bạc Liêu</t>
  </si>
  <si>
    <t>CTY TNHH SX TM Dịch Vụ Tân Tường Khang</t>
  </si>
  <si>
    <t>Lô F1 &amp; F2, Đường D2 và N5, KCN NamTân Uyên, P.Khánh Bình, TX. Tân Uyên,T. Bình Dương, Việt Nam</t>
  </si>
  <si>
    <t>275B Phạm Ngũ Lão, P. Phạm Ngũ Lão, Q.1, TP.HCM</t>
  </si>
  <si>
    <t>Số 275B Phạm Ngũ Lão, P. Phạm Ngũ Lão, Q.1, TP.Hồ Chí Minh</t>
  </si>
  <si>
    <t>Đỗ Văn Dũng</t>
  </si>
  <si>
    <t>Ấp 3B, Xã Xuân Bắc, Huyện Xuân Lộc,Đồng Nai</t>
  </si>
  <si>
    <t>Doanh Nghiệp Tư Nhân Ngọc Ánh</t>
  </si>
  <si>
    <t>Bình Phước</t>
  </si>
  <si>
    <t>Ấp Tà Thiết, Xã Lộc Thịnh, Lộc Ninh   Bình Phước</t>
  </si>
  <si>
    <t>Công ty TNHH MTV Trần Tường Giang</t>
  </si>
  <si>
    <t>Ấp 2B, Xuân Bắc, Xuân Lộc, Đồng Nai</t>
  </si>
  <si>
    <t>Tổ 4, ấp 2b, xã Xuân Bắc, huyện Xuân Lộc, tỉnh Đồng Nai</t>
  </si>
  <si>
    <t>Công ty TNHH Thương Mại Kiều Đồng</t>
  </si>
  <si>
    <t>254 Nguyễn Công Trứ, Phường Nguyễn Thái Bình, Quận 1, Tp.Hồ Chí Minh</t>
  </si>
  <si>
    <t>Công Ty TNHH TM &amp; DV C&amp;L</t>
  </si>
  <si>
    <t>Ấp Phú Ngãi, xã An Phú Hòa, huyện Châu Thành, Bến Tre</t>
  </si>
  <si>
    <t>Số 87, thôn Tây Lạc, ấp An Chu, xã Bắc Sơn, huyện Trảng Bom, Đồng Nai</t>
  </si>
  <si>
    <t>Số 87, thôn Tây Lạc, ấp An Chu, X.Bắc Sơn, H.Trảng Bom, T.Đồng Nai</t>
  </si>
  <si>
    <t>Công ty TNHH MTV Tân Anh Tuấn</t>
  </si>
  <si>
    <t>Lô 4C, Cụm công nghiệp Phước An, Tuy Phước, Bình Định</t>
  </si>
  <si>
    <t>06 Months</t>
  </si>
  <si>
    <t>Lô 4C, Cụm CN Phước An, Xã Phước An, H. Tuy Phước, Bình Định</t>
  </si>
  <si>
    <t>Lô 4C Cụm CN Phước An, xã Phước An, huyện Tuy Phước, tỉnh Bình Định</t>
  </si>
  <si>
    <t>Lô 4C cụm CN Phước An, xã Phước An, huyện Tuy Phước, tỉnh Bình Định</t>
  </si>
  <si>
    <t>CTY TNHH Kỹ Thuật Tự Động Cửu Long</t>
  </si>
  <si>
    <t>81/10 Nguyễn Cửu Vân, Phường 17,Quận Bình Thạnh,TP. Hồ Chí Minh, Việt Nam</t>
  </si>
  <si>
    <t>CTY TNHH Thiết Bị Khoa Học Kỹ Thuật Hóa Sinh</t>
  </si>
  <si>
    <t>180-182 ( Phòng 601, Tầng 6)Tòa Nhà Giầy Việt, Đường Lý Chính Thắng, P.9, Q.3TP. HCM</t>
  </si>
  <si>
    <t>29/24 Hoàng Hoa Thám, Phường 6, Quận Bình Thạnh, Thành Phố Hồ Chí Minh</t>
  </si>
  <si>
    <t>29/24 Hoàng Hoa Thám,Phường 6, Quận Bình Thạnh,Thành Phố Hồ Chí Minh, Việt Nam</t>
  </si>
  <si>
    <t>Công Ty TNHH Ishida Việt Nam</t>
  </si>
  <si>
    <t>1/14 Đường Số 33, Khu Phố 2, Phường Bình An, Quận 2, Thành Phố Hồ Chí Minh</t>
  </si>
  <si>
    <t>44/4 Phạm Viết Chánh, P. 19, quận Bình Thạnh, TP.HCM</t>
  </si>
  <si>
    <t>44/4 Phạm Viết Chánh, P.19, Q. Bình Thạnh, TP. HCM</t>
  </si>
  <si>
    <t>Công ty TNHH Cấp Nước Biển Xanh</t>
  </si>
  <si>
    <t>Tân Phụng 1, Mỹ Thọ, Phù Mỹ, Bình Định</t>
  </si>
  <si>
    <t>Thôn Tân Phụng 1, Xã Mỹ Thọ, Huyện Phù Mỹ, Tỉnh Bình Định, Việt Nam</t>
  </si>
  <si>
    <t>Cửa Hàng Kim Ngân Phát</t>
  </si>
  <si>
    <t>D3, KP 3B, Phường Bình Đa, TP. Biên Hòa, Đồng Nai</t>
  </si>
  <si>
    <t>Công Ty TNHH TM Kỹ Thuật Cường Thịnh</t>
  </si>
  <si>
    <t>Tổ 15, KP5, P. Trảng Dài, Tp. Biên Hòa, T. Đồng Nai</t>
  </si>
  <si>
    <t>Thửa đất số 1911, tờ bản đồ 3ba.2, Bình thung 2, Bình an, Dĩ an, Bình Dương</t>
  </si>
  <si>
    <t>Bình Thung 2, Bình An, Dĩ An, Bình Dương</t>
  </si>
  <si>
    <t>Công ty TNHH Đầu Tư SX Xây Dựng TM Quân Long</t>
  </si>
  <si>
    <t>Công Ty TNHH Quốc Tế Thủy Động Lực</t>
  </si>
  <si>
    <t>205/30 Phạm Đăng Giảng, P. Bình Hưng  Hòa, Q. Bình Tân,   TP. Hồ Chí Minh</t>
  </si>
  <si>
    <t>205/30 Phạm Đăng Giảng, P. Bình Hưng Hòa, Q. Bình Tân, TP. Hồ Chí Minh</t>
  </si>
  <si>
    <t>Cơ sở Võ Thị Kim Ánh</t>
  </si>
  <si>
    <t>Ấp 4, xã An Viễn, huyện Trảng Bom, Đồng Nai</t>
  </si>
  <si>
    <t>566 Trần Phú, Phường Bình Định, TX. An Nhơn, Bình Định</t>
  </si>
  <si>
    <t>Công Ty TNHH Tân Hùng Thái</t>
  </si>
  <si>
    <t>Lô H1, Đường số 1. KCN Lê Minh Xuân, X. Lê Minh Xuân, H. Bình Chánh, Tp. Hồ Chí Minh</t>
  </si>
  <si>
    <t>Công Ty Cổ Phần Thương Mại Kỹ Thuật An Thái</t>
  </si>
  <si>
    <t>221 Ấp Tây, Đông Hòa, Dĩ An, Bình Dương</t>
  </si>
  <si>
    <t>26 An Phú, Phường An Phú, Thủ Đức, Thành Phố Hồ Chí Minh</t>
  </si>
  <si>
    <t>Số 1768/10/4E đường Tỉnh Lộ 10, khu phố 1, phường Tân Tạo, quận Bình Tân, TP HCM</t>
  </si>
  <si>
    <t>Công Ty Cổ Phần Bao Bì Nhựa So Pha</t>
  </si>
  <si>
    <t>Ấp Rừng Sến, xã Mỹ Hạnh Bắc, huyện Đức Hòa, tỉnh Long An</t>
  </si>
  <si>
    <t>Ấp Rừng Sến, Xã Mỹ Hạnh Bắc, Huyện Đức Hòa, Tỉnh Long An</t>
  </si>
  <si>
    <t>Cơ sở Hoàng Văn Tư</t>
  </si>
  <si>
    <t>Lâm Đồng</t>
  </si>
  <si>
    <t>Tổ dân phố số 6, TT Cát Tiên, H Cát Tiên, T Lâm Đồng</t>
  </si>
  <si>
    <t>Công ty TNHH SX-TM-DV Và XNK Vạn Thiên Phú- Long An</t>
  </si>
  <si>
    <t>Ấp Bình Tiên 2, Đức Hòa Hạ, Bến Lức, Long An</t>
  </si>
  <si>
    <t xml:space="preserve"> Ấp Bình Tiền II, Xã Đức Hòa Hạ, H. Đức Hòa,   Long An</t>
  </si>
  <si>
    <t>Ấp Bình Tiền II, xã Đức Hòa Hạ, huyện Đức Hòa, tỉnh Long An</t>
  </si>
  <si>
    <t>Ấp Bình Tiền 2, X. Đức Hòa Hạ, H. Đức Hòa, T. Long An</t>
  </si>
  <si>
    <t>Công ty Cổ phần Đông Á</t>
  </si>
  <si>
    <t>Lô F1, F2, F3 Cụm CN Đắc Lộc, TP. Nha Trang, Khánh Hòa</t>
  </si>
  <si>
    <t>Lô F1, F2, F3, KT1 - KCN Đắc Lộc, xã Vĩnh Phương, Nha Trang - Khánh Hòa</t>
  </si>
  <si>
    <t>Công Ty TNHH MTV Tiến Thành TG</t>
  </si>
  <si>
    <t>181C, tỉnh lộ 870B, xã Trung An, Mỹ Tho, Tiền Giang</t>
  </si>
  <si>
    <t>Công Ty TNHH Thương Mại và Dịch Vụ Thành Tín</t>
  </si>
  <si>
    <t>Sóc Trăng</t>
  </si>
  <si>
    <t>Số 383 đường Bạch Đằng, Phường 9, Thành Phố Sóc Trăng, Tỉnh Sóc Trăng, Việt Nam</t>
  </si>
  <si>
    <t>Số 383 đường Bạch Đằng, Phường 9,Thành Phố Sóc Trăng,Tỉnh Sóc Trăng</t>
  </si>
  <si>
    <t>Công Ty TNHH Kỹ Thuật Điện Tài Phát</t>
  </si>
  <si>
    <t>39/71, Đường 385, Khu Phố 6 Phường Tăng Nhơn Phú A, Quận 9 TP. Hồ Chí Minh</t>
  </si>
  <si>
    <t>39/71, Đường 385, Khu Phố 6, Phường Tăng Nhơn Phú A,Thành Phố Thủ Đức,TP. Hồ Chí Minh, Việt Nam</t>
  </si>
  <si>
    <t>Công Ty TNHH Brenntag Việt Nam</t>
  </si>
  <si>
    <t>Kho: Cổng D, kho số 5, ICD Tân cảng Long bình
VP: 202B Hoàng Văn Thụ, Phường 9, Q.Phú Nhuận, TP. Hồ Chí Minh</t>
  </si>
  <si>
    <t>120 Hoàng Hoa Thám, Phường 7, Quận Bình Thạnh, TP. Hồ Chí Minh</t>
  </si>
  <si>
    <t>120 Hoàng Hoa Thám, P.7, Q.Bình Thạnh,TP.HCM,VN</t>
  </si>
  <si>
    <t>Số 354, Đường Thống Nhất, P. Phú Hà Phan Rang - Tháp Chàm Ninh Thuận</t>
  </si>
  <si>
    <t>Công Ty TNHH Dịch Vụ Năng Lượng Lò Hơi 246</t>
  </si>
  <si>
    <t>Tổ 8, ấp Tân Thạnh, X. Tân Hiệp A, H. Tân Hiệp, Kiên Giang</t>
  </si>
  <si>
    <t>Công Ty TNHH Kỹ Thuật Và TM Tân Nguyên</t>
  </si>
  <si>
    <t>Số 435, tổ 19, ấp Tân Hà A, xã Tân Hiệp B, H. Tân Hiệp, T. Kiên Giang</t>
  </si>
  <si>
    <t>Số 435, Tổ 11, Ấp Tân Hà Xã Tân Hiệp B, Tân Hiệp Kiên Giang</t>
  </si>
  <si>
    <t>Số D3, Khu Phố 3B, Phường Bình Đa, Thành Phố Biên Hòa,  Tỉnh Đồng Nai, Việt Nam</t>
  </si>
  <si>
    <t>Số D3, Khu Phố B3, Phường Bình Đa, Thành Phố Biên Hòa, Tỉnh Đồng Nai</t>
  </si>
  <si>
    <t>Số D3, Khu Phố 3B, Phường Bình Đa, TP. Biên Hòa, T. Đồng Nai</t>
  </si>
  <si>
    <t>Lô B24, Đường D1, KCN Đồng An II, Bình Dương</t>
  </si>
  <si>
    <t>Lô B.24, Đường D1, KCN Đồng An II, TP. Thủ Dầu Một, Bình Dương</t>
  </si>
  <si>
    <t>Công Ty Cổ Phần CTCBIO Việt Nam</t>
  </si>
  <si>
    <t>Lô I5-3a, 3b Khu Công Nghệ Cao, P. Tăng Nhơn Phú A, Tp. Thủ Đức, Tp. Hồ Chí Minh</t>
  </si>
  <si>
    <t>CTY TNHH Thiết Bị Và Vật Tư Công Nghiệp Lập Sơn</t>
  </si>
  <si>
    <t>403 Lầu 4, Đường 16A, Khu Phố 3, Phường Bình Hưng Hòa B, Quận Bình Tân, TP. Hồ Chí Minh</t>
  </si>
  <si>
    <t>403 Lầu 4, Đường 16A, KP 3, P. Bình Hưng Hòa B, Quận Bình Tân,TP. HCM</t>
  </si>
  <si>
    <t>Công Ty Cổ Phần Đông Hải Bến Tre</t>
  </si>
  <si>
    <t>Bến tre</t>
  </si>
  <si>
    <t>Lô AIII, KCN Giao Long, Xã An Phước, Huyện Châu Thành, Bến Tre</t>
  </si>
  <si>
    <t>Lô AIII, Khu Công Nghiệp Giao Long, Xã An Phước, H. Châu Thành, T. Bến Tre</t>
  </si>
  <si>
    <t>Công ty TNHH SX TM Bước Tiến</t>
  </si>
  <si>
    <t>Số 373/58, Tổ 40A, Khu Phố 5A, Phường Long Bình,TP. Biên Hòa, T. Đồng Nai, Việt Nam</t>
  </si>
  <si>
    <t>Số 373/58, Tổ 40A, khu phố 5A, phường Long Bình, thành phố Biên Hòa, tỉnh Đồng Nai</t>
  </si>
  <si>
    <t>Công Ty CP Giải Pháp Tin Học Mặt Trời</t>
  </si>
  <si>
    <t>117 - 119 Lý Chính Thắng, P. Võ Thị Sáu, Quận 3, TP. Hồ Chí Minh</t>
  </si>
  <si>
    <t>Công Ty TNHH VNFLOUR</t>
  </si>
  <si>
    <t>Số 98,Đường Bình Chuẩn 45,Tổ 2,Khu Phố Bình Quới B,P.Bình Chuẩn,TP.Thuận An,Tỉnh Bình Dương, Việt Nam</t>
  </si>
  <si>
    <t>CTY CP Thiết Bị Công Nghiệp Huỳnh Long</t>
  </si>
  <si>
    <t>Lô J35, KDC Phú Nhuận, 659 Đỗ Xuân Hợp, Phường Phước Long B, Quận 9, TP. Hồ Chí Minh</t>
  </si>
  <si>
    <t>Lô J35, KDC Phú Nhuận, 659 Đỗ Xuân Hợp, P. Phước Long B, TP. Thủ Đức, TP. HCM, VN</t>
  </si>
  <si>
    <t xml:space="preserve">Công Ty TNHH SXTM Bao Bì Huy Tiến </t>
  </si>
  <si>
    <t>Thôn Láng Me, Xã Bắc Sơn, Huyện Thuận Bắc, Tỉnh Ninh Thuận</t>
  </si>
  <si>
    <t>Đường Số 2, KCN Nhơn Trạch III-Giai Đoạn 2, Xã Long Thọ , Huyện Nhơn Trạch, Tỉnh Đồng Nai.</t>
  </si>
  <si>
    <t>Công Ty TNHH Vina Foods Kyoei</t>
  </si>
  <si>
    <t>Lô A55/II, đường 2D, KCN Vĩnh Lộc, P. Bình Hưng Hòa B, Q. Bình Tân, Tp.HCM</t>
  </si>
  <si>
    <t>Lô A5/11, Đường 2D, KCN Vĩnh Lộc, Q.Bình Tân Tp. Hồ Chí Minh</t>
  </si>
  <si>
    <t>Công Ty TNHH Hải Nam</t>
  </si>
  <si>
    <t>Lô A25-26 Cụm công nghiệp Diên phú, Huyện Diên Khánh, Khánh Hoà</t>
  </si>
  <si>
    <t>Lô A25-A26, Cụm CN Diên Phú, Xã Diên Phú, H.Diên Khánh, T. Khánh Hòa</t>
  </si>
  <si>
    <t>Công Ty TNHH Nam Trung</t>
  </si>
  <si>
    <t>Số 518 Đại Lộ Bình Dương, Tổ 13, Khu phố 1, Phường Hiệp Thành, TP.Thủ Dầu Một, Bình Dương</t>
  </si>
  <si>
    <t>Số 518 Đại Lộ Bình Dương, Tổ 13,Kp.1, P.Hiệp Thành,TP. Thủ Dầu Một, T. Bình Dương</t>
  </si>
  <si>
    <t>Công ty Cổ Phần Dinh Dưỡng Sài Gòn</t>
  </si>
  <si>
    <t>Kho lạnh CLK, Lô B2, KCN Tân Đông Hiệp B, Dĩ An, Bình Dương</t>
  </si>
  <si>
    <t>Công Ty Cổ Phần Dinh Dưỡng Sài Gòn</t>
  </si>
  <si>
    <t>36/212B, Đường số 12, Phường Trường Thọ, TP. Thủ Đức, TP. HCM (Kho Vimedimex)</t>
  </si>
  <si>
    <t>Điện Lạnh Thành Trung</t>
  </si>
  <si>
    <t>Số 114, Đường Trịnh Hoài Đức, P.Mỹ Hải, Tp.Phan Rang-Tháp Chàm, T.Ninh Thuận</t>
  </si>
  <si>
    <t>CTY TNHH Đầu Tư Phát Triển Hiền Phát</t>
  </si>
  <si>
    <t>U29 Bến Vân Đồn, Phường 8, Quận 4, TP. Hồ Chí Minh</t>
  </si>
  <si>
    <t>Công Ty TNHH Nitto-Fuji International VN</t>
  </si>
  <si>
    <t>Số 49, VSIP, đường số 8 KCN Việt Nam - Singapore, Thuận An, Bình Dương</t>
  </si>
  <si>
    <t>Số 49, Vsip, Đường Số 8, KCN Việt Nam-Singapore, Tx.Thuận An, Bình Dương</t>
  </si>
  <si>
    <t>Công Ty TNHH MTV Tâm Đức Tài</t>
  </si>
  <si>
    <t>9/6B Xa Lộ Hà Nội, Phường Tam Hòa,TP. Biên Hòa, T. Đồng Nai, Việt Nam</t>
  </si>
  <si>
    <t>269/17 Võ Văn Kiệt, KP6, P. Định Hòa, TP. Thủ Dầu Một, Bình Dương</t>
  </si>
  <si>
    <t>Số 27/50, Đường ĐX 68, tổ 50, khu 6, Phường Định Hòa, TP Thủ Dầu Một, Tỉnh Bình Dương, Việt Nam</t>
  </si>
  <si>
    <t>CTY TNHH TM Dịch Vụ Tự Động Hoá N Và H</t>
  </si>
  <si>
    <t>426/22 Phạm Văn Chiêu, P.16, Q. Gò Vấp, Tp. Hồ Chí Minh</t>
  </si>
  <si>
    <t>426/22 Phạm Văn Chiêu, P.16, Q. Gò Vấp,TP. HCM</t>
  </si>
  <si>
    <t>Công ty TNHH MTV Nông Sản Nguyễn Khả Ái</t>
  </si>
  <si>
    <t>Số 75, Ấp 5, X. Xuân Tâm, H. Xuân Lộc, Đồng Nai</t>
  </si>
  <si>
    <t>Công ty TNHH Đầu Tư SX-TM-DV Phan Minh</t>
  </si>
  <si>
    <t>Ấp 8, Xã Lương Hoa, H. Bến Lức, T. Long An</t>
  </si>
  <si>
    <t>Ấp 8, xã Lương Hòa, huyện Bến Lức, tỉnh Long An</t>
  </si>
  <si>
    <t>Công Ty TNHH CSPV</t>
  </si>
  <si>
    <t>Kho vận Bình Minh - lô 4, đường số 10, KCN Sóng Thần, Dĩ An, Bình Dương</t>
  </si>
  <si>
    <t>Công ty TNHH in - bao bì Nam Việt</t>
  </si>
  <si>
    <t>624D ấp Phú Chiến, xã Phú Hưng, thành phố Bến Tre, tỉnh Bến Tre</t>
  </si>
  <si>
    <t>Công Ty TNHH In - Bao Bì Nam Việt</t>
  </si>
  <si>
    <t>Số 624D, Ấp Phú Chiến, Xã Phú Hưng, TP.Bến Tre, Tỉnh Bến Tre</t>
  </si>
  <si>
    <t>Công Ty TNHH Thương Mại Dịch Vụ KINGFOTEC</t>
  </si>
  <si>
    <t>Số 16, Đường số 11, KP.6, KDC Sông Đà, P. Hiệp Bình Chánh, TP. Thủ Đức, TP. HCM</t>
  </si>
  <si>
    <t>Công ty TNHH Duy Hoàng Quân</t>
  </si>
  <si>
    <t>45 QL1, Xã Thái Hòa, H. Trảng Bom, Đồng Nai</t>
  </si>
  <si>
    <t>Công Ty TNHH Trường Thịnh</t>
  </si>
  <si>
    <t>Ấp 1, xã Suối Ngô, huyện Tân Châu, tỉnh Tây Ninh</t>
  </si>
  <si>
    <t>CÔNG TY CỔ PHẦN BAO BÌ ĐÔNG NAM VIỆT</t>
  </si>
  <si>
    <t>Lô K'-2-CN, Đường N7, KCN Mỹ Phước 1, P. Mỹ Phước, Bến Cát, Bình Dương</t>
  </si>
  <si>
    <t>Lô K'2-CN, đường N7, KCN Mỹ Phước I, P. Mỹ Phước, Tx. Bến Cát, T. Bình Dương</t>
  </si>
  <si>
    <t>Kho: Đường số 15, KCN Amata, Phường Long Bình, Tp. Biên Hòa, Đồng Nai</t>
  </si>
  <si>
    <t>Kho: Trung tâm kho vận Amata, đường số 15, KCN Amata, P. Long Bình, Biên Hòa, Đồng Nai</t>
  </si>
  <si>
    <t xml:space="preserve">134/5 đường 2/4 Tổ 2 Tây Bắc, P. Vĩnh Hải, TP. Nha Trang </t>
  </si>
  <si>
    <t>Số 134/5 Đường 2/4, Tổ 2 Tây Bắc, P. Vĩnh Hải, TP. Nha Trang, Khánh Hòa</t>
  </si>
  <si>
    <t>85 Đường số 4, Bình Hưng Hòa B, Bình Tân,TP. Hồ Chí Minh</t>
  </si>
  <si>
    <t>Công Ty TNHH Hiệp Hưng</t>
  </si>
  <si>
    <t>Lô H2-H7 KCN Suối Dầu, xã Suối Tân, Huyện Cam Lâm, Khánh Hòa</t>
  </si>
  <si>
    <t>Lô H2-H7 KCN Suối Dầu, xã Suối Tân, Huyện Cam Lâm, Tỉnh Khánh Hòa</t>
  </si>
  <si>
    <t>Công Ty TNHH Đầu Tư TM Và SX Khánh Minh</t>
  </si>
  <si>
    <t>290/40/39C Nơ Trang Long, Phường 12, Quận Bình Thạnh, TP. Hồ Chí Minh</t>
  </si>
  <si>
    <t>Công Ty TNHH Getabec Việt Nam</t>
  </si>
  <si>
    <t>Số 30 Cao Đức Lân, phường An Phú, TP. Thủ Đức, TP. Hồ Chí Minh</t>
  </si>
  <si>
    <t>Công Ty Cổ Phần Thế Giới Giấy</t>
  </si>
  <si>
    <t>Số 11 Tân Thới Nhất 17, Phường Tân Thới Nhất, Quận 12, TP.Hồ Chí Minh, Việt Nam.</t>
  </si>
  <si>
    <t>Kho: WI-03-1 Đường 22A, KCX Tân Thuận, Q.7, HCM
Văn phòng: 40 Bà Huyện Thanh Quan, Q.3, HCM</t>
  </si>
  <si>
    <t>Số 40 Bà Huyện Thanh Quan, Q.3, TP.HCM</t>
  </si>
  <si>
    <t>Tầng 17, Tòa nhà E. Town Central, số 11 Đoàn Văn Bơ, Phường 12, Quận 4, TP. Hồ Chí Minh</t>
  </si>
  <si>
    <t>Công Ty TNHH TM Dịch Vụ Và Sản Xuất Trí Việt Phát</t>
  </si>
  <si>
    <t>206/14B Long Thuận, P. Long Phước, Quận 9, Tp. Hồ Chí Minh</t>
  </si>
  <si>
    <t>81 Đường Tân Hòa 2, Khu Phố 6, Phường Hiệp Phú, Quận 9, Thành Phố Hồ Chí Minh</t>
  </si>
  <si>
    <t>Kho: C4B, đường số 13, P. Tân Thuận Tây, Q.7.
VP: 133 Dương Bá Trạc, P.1, Q.8, TP.HCM</t>
  </si>
  <si>
    <t>Kho: C4B, đường số 13, Tân Thuận Tây, quận 7</t>
  </si>
  <si>
    <t>68/14 Lữ Gia, Phường 15, Quận 11, Tp. Hồ Chí Minh, Việt Nam</t>
  </si>
  <si>
    <t>Kho: Số 900, QL1A, Phường Khánh Hậu, TP. Tân An, Long An</t>
  </si>
  <si>
    <t>Lô 14, đường 4, KCN-CX Linh Trung 2, P.Bình Chiểu, Q. Thủ Đức, Tp.HCM</t>
  </si>
  <si>
    <t>Lô 14, đường 4, KCN-CX Linh Trung 2, P.Bình Chiểu, TP. Thủ Đức, TP.HCM</t>
  </si>
  <si>
    <t>Công Ty TNHH MTV Trường Phú Lộc</t>
  </si>
  <si>
    <t>Số 305, Tổ 9, Khu 4, Ấp Chợ, Xã Trung An, TP. Mỹ Tho, Tỉnh Tiền Giang</t>
  </si>
  <si>
    <t>Chi Nhánh Công Ty TNHH Bao Bì Hoàng Thịnh</t>
  </si>
  <si>
    <t>98Q, Đường Lê Thị Hoa, P. Bình Chiểu, Q. Thủ Đức, HCM</t>
  </si>
  <si>
    <t xml:space="preserve"> 227/3 Đường số 13, KCN AMATA, P. Long Bình, Biên Hòa, Đồng Nai</t>
  </si>
  <si>
    <t>227/3 Đường số 13, KCN AMATA, Phường Long Bình, Thành Phố Biên Hòa, Tỉnh Đồng Nai</t>
  </si>
  <si>
    <t>Công Ty Cổ Phần Bao Bì Bình Minh</t>
  </si>
  <si>
    <t>Thủ đức</t>
  </si>
  <si>
    <t>42 Kha Vạn Cân, Khu phố 3, Hiệp Bình Chánh, Thủ Đức</t>
  </si>
  <si>
    <t>Lô A5-7, đường số N3, KCN Tân Phú Trung, Củ Chi, TP.HCM</t>
  </si>
  <si>
    <t>Lô A5-7, Đường N3, KCN Tân Phú Trung, Củ Chi, TP. HCM</t>
  </si>
  <si>
    <t>Công ty TNHH Gia Vị Và Hương Liệu Ghi Vi</t>
  </si>
  <si>
    <t>2/211C Dương Công Khi, Tân Thới Nhì, Hóc Môn</t>
  </si>
  <si>
    <t>2/211C Dương Công Khi, Xã Tân Thới Nhì, Huyện Hóc Môn, Thành Phố Hồ Chí Minh</t>
  </si>
  <si>
    <t>2/11C Dương Công Khi, Tân Thới Nhì, Hóc Môn, thành phố Hồ Chí Minh</t>
  </si>
  <si>
    <t>Công Ty TNHH Dịch vụ thực phẩm Indoguna Vina</t>
  </si>
  <si>
    <t>Kho - Kho lạnh Emergent Cold, KCN Sóng Thần 1. VP: 44B Phan xích long, P.3, Phú nhuận</t>
  </si>
  <si>
    <t>Số 44B, Phan Xích Long, P.3, Q. Phú Nhuận, TP. HCM</t>
  </si>
  <si>
    <t>Công Ty TNHH PAK Việt Nam</t>
  </si>
  <si>
    <t>Ấp 4, X. Phước Bình, H. Long Thành, T. Đồng Nai</t>
  </si>
  <si>
    <t>Cụm Công Nghiệp Phước Bình, Ấp 4,  Xã Phước Bình, Huyện Long Thành,  Tỉnh Đồng Nai, Việt Nam</t>
  </si>
  <si>
    <t>Cụm Công Nghiệp Phước Bình, Ấp 4, Xã Phước Bình, Huyện Long Thành,Tỉnh Đồng Nai</t>
  </si>
  <si>
    <t>Công Ty Cổ Phần Bao Bì Biên Hòa</t>
  </si>
  <si>
    <t>KCN Biên Hòa 1, Đường số 7, P. An Bình, Biên Hòa, Đồng Nai</t>
  </si>
  <si>
    <t>Công Ty Cổ Phần Phát Triển Công Nghệ Viễn Thông Tin Học Sun Việt</t>
  </si>
  <si>
    <t xml:space="preserve"> Số 2A Phan Thúc Duyện, Phường 4, Tân Bình, TP Hồ Chí Minh</t>
  </si>
  <si>
    <t>Công Ty TNHH TĐH</t>
  </si>
  <si>
    <t>C11-C15 CCN Đức Hòa Hạ, Huyện Đức Hoà, Long An</t>
  </si>
  <si>
    <t>C11-C15 CCN nhựa Đức Hòa Hạ, huyện Đức Hòa, tỉnh Long An</t>
  </si>
  <si>
    <t>C11-C15, Cụm CN Đức Hòa Hạ, Xã Đức Hòa Hạ, Huyện Đức Hòa, Tỉnh Long An</t>
  </si>
  <si>
    <t>CTY TNHH Thiết Kế Xây Dựng Lộc Phát Lộc</t>
  </si>
  <si>
    <t>51/4 Ông Bích Khiêm, P. 10, Q. 11, Tp.HCM</t>
  </si>
  <si>
    <t>General supplies</t>
  </si>
  <si>
    <t>51/4 Ông Ích Khiêm, Phường 10, Quận 11,Thành Phố Hồ Chí Minh</t>
  </si>
  <si>
    <t>CTY TNHH TM Xuất Nhập Khẩu Và Xây Dựng Điện Hưng Thịnh Phát</t>
  </si>
  <si>
    <t>17/K5A Phan Huy Ích, Phường 14, Quận Gò Vấp,Thành Phố Hồ Chí Minh</t>
  </si>
  <si>
    <t>17/K5A Phan Huy Ích, Phường 14,Quận Gò Vấp,Thành Phố Hồ Chí Minh, Việt Nam</t>
  </si>
  <si>
    <t>Công ty cổ phần thương mại kỹ thuật Việt Cường</t>
  </si>
  <si>
    <t>152 Nguyễn Sĩ Sách, Phường 15, Quận Tân Bình, Thành phố Hồ Chí Minh</t>
  </si>
  <si>
    <t>Công Ty Cổ Phần Công Nghệ MTS</t>
  </si>
  <si>
    <t>60/20 Quốc Lộ 13, Phường 26, Quận Bình Thạnh, TP Hồ Chí Minh, Việt Nam</t>
  </si>
  <si>
    <t xml:space="preserve"> Công Ty TNHH Một Thành Viên Lê Bá Hải</t>
  </si>
  <si>
    <t>Số 72, Đường Hùng Vương, KP3, TT.TrảngBom, H.Trảng Bom, Đồng Nai</t>
  </si>
  <si>
    <t>Công Ty Cổ Phần Thương Mại Victa</t>
  </si>
  <si>
    <t>Kho NTG: Số 7, Đại lộ Độc Lập, KCN Sóng Thần, Dĩ An, Bình Dương</t>
  </si>
  <si>
    <t>Lô TH-1B, Đường số 7,Khu Thương mại Nam,Khu Chế Xuất Tân Thuận, P. Tân Thuận Đông, Q. 7, TP. HCM, VN</t>
  </si>
  <si>
    <t>Công Ty TNHH Sản Xuất Thương Mại An Khải</t>
  </si>
  <si>
    <t>Lô K03, KCN Long Hậu, Đường Long Hậu, Xã Long Hậu, Huyện Cần Giuộc, Tỉnh Long An</t>
  </si>
  <si>
    <t>Công Ty TNHH Hồ Tiêu Việt</t>
  </si>
  <si>
    <t>43 Gò nổi, Phú hữu, Q.9, HCM</t>
  </si>
  <si>
    <t>Số 45 Gò Nổi, Phường Phú Hữu, TP. Thủ Đức, TP. HCM</t>
  </si>
  <si>
    <t>Công ty cổ phần in nhãn hàng An Lạc</t>
  </si>
  <si>
    <t>Lô 19, đường số 3, KCN Tân Đức,  xã Đức Hòa Hạ, huyện Đức Hòa, tỉnh Long An</t>
  </si>
  <si>
    <t>Lô 19, Đường Số 3, KCN Tân Đức, Xã Đức Hòa Hạ, H. Đức Hòa, T. Long An</t>
  </si>
  <si>
    <t>Công Ty TNHH Kewpie Việt Nam</t>
  </si>
  <si>
    <t>Số 11 VSIP II-A, Đường số 14 VSIP II-A, Tân Uyên  Bình Dương</t>
  </si>
  <si>
    <t>Số 11 VSIP II-A, Đường số 14 VSIP II-A, Tân Uyên, Bình Dương</t>
  </si>
  <si>
    <t>Công Ty TNHH TM DV Thảo Liên</t>
  </si>
  <si>
    <t>Tổ Dân Phố Thanh Châu, P. Ninh Giang, TX. Ninh Giang, T. Khánh Hòa</t>
  </si>
  <si>
    <t>Tổ Dân phố Thanh Châu, P. Ninh Giang, Thị xã Ninh Hoà, T. Khánh Hòa</t>
  </si>
  <si>
    <t>Doanh Nghiệp Tư Nhân Thiết Bị Điện Ngọc Huy</t>
  </si>
  <si>
    <t>Số 261, Tổ 19, KP 1, Phường Long Bình Tân, Thành Phố Biên Hòa, Tỉnh Đồng Nai</t>
  </si>
  <si>
    <t>Công Ty TNHH TM DV XNK NL Nam Phát</t>
  </si>
  <si>
    <t>43/20 Hòa Bình, Phường Tân Thới Hòa, Quận Tân Phú, TP. Hồ Chí Minh</t>
  </si>
  <si>
    <t>Số 669D Đỗ Xuân hợp, Phường Phước Long B, TP. Thủ Đức, TP. HCM</t>
  </si>
  <si>
    <t>50 Đường số 04, KDC Intresco, Ấp 5, X. Bình Hưng, H. Bình Chánh, TP. HCM</t>
  </si>
  <si>
    <t>Lô C2-4, đường VL3, khu công nghiệp Vĩnh Lộc 2, ấp Voi Lá, Xã Long Hiệp, Huyện Bến Lức, Tỉnh Long An, Việt Nam</t>
  </si>
  <si>
    <t>Công Ty TNHH Cơ Khí Xây Dựng NBC</t>
  </si>
  <si>
    <t>Số 234C/16 Khu Phố Nội Hóa 1,Phường Bình An, Thành Phố Dĩ An,Tỉnh Bình Dương</t>
  </si>
  <si>
    <t>CTY TNHH Vật Tư Xăng Dầu Tín Phát</t>
  </si>
  <si>
    <t>164/12 đường Bình Quới, F.27, Q. Bình Thạnh</t>
  </si>
  <si>
    <t>164/12 Bình Quới, P. 27, Q. Bình Thạnh, TP. Phố Hồ Chí Minh, Việt Nam</t>
  </si>
  <si>
    <t>164/12 Bình Quới, P. 27, Q. Bình Thạnh, TP. HCM</t>
  </si>
  <si>
    <t>Công Ty Cổ Phần Hạnh Minh Thi - Long An</t>
  </si>
  <si>
    <t>1059 Tạ quang bửu, Phường 6, Quận 8, TP.HCM</t>
  </si>
  <si>
    <t>Lô đất 3G-10, Đường số 14, KCN Long Hậu 3, Ấp 3,X. Long Hậu, H. Cần Giuộc, T. Long An</t>
  </si>
  <si>
    <t>Công ty Cổ phần muối Bạc Liêu</t>
  </si>
  <si>
    <t>Số 108 QL1A, xã Long Thạnh, huyện Vĩnh Lợi, tỉnh Bạc Liêu</t>
  </si>
  <si>
    <t>Công Ty Cổ Phần Muối Bạc Liêu</t>
  </si>
  <si>
    <t>Số 108 Quốc lộ 1A, Xã Long Thạnh, Huyện Vĩnh Lợi, Tỉnh Bạc Liêu</t>
  </si>
  <si>
    <t>Công Ty TNHH TM Và Dịch Vụ Ánh Sáng Châu Á</t>
  </si>
  <si>
    <t>Số 19 Tân Thới Nhất 8, Kp 5, Tân Thới Nhất, Quận 12, Tp. HCM</t>
  </si>
  <si>
    <t>Kho: số 19 Tân Thới Nhất 08, KP. 5, P.Tân Thới Nhất, Q.12, TP.HCM.</t>
  </si>
  <si>
    <t>Công Ty Cổ Phần BJ&amp;T</t>
  </si>
  <si>
    <t>20 PQR, rạch Ông Kinh, Long Tuyền, Bình Thủy , Cần Thơ</t>
  </si>
  <si>
    <t>186 ÔK, Phường Long Tuyền, Quận Bình Thủy, TP. Cần Thơ</t>
  </si>
  <si>
    <t xml:space="preserve">
CÔNG TY TNHH Thương Mại Dịch Vụ Đầu Tư Q&amp;N</t>
  </si>
  <si>
    <t>Ấp 4, xã Long Cang, Huyện Cần Đước, Long An</t>
  </si>
  <si>
    <t xml:space="preserve"> Ấp 4, Xã Long Cang, H. Cần Đước,   T. Long  An, Việt Nam</t>
  </si>
  <si>
    <t>Ấp 4, xã Long Định, huyện Cần Đước, tỉnh Long An</t>
  </si>
  <si>
    <t>Ấp 4, Xã Long Cang, H. Cần Đước,T. Long An, Việt Nam</t>
  </si>
  <si>
    <t>Ấp 4, Xã Long Cang, H. Cần Đước,T. Long  An, Việt Nam</t>
  </si>
  <si>
    <t>Công Ty TNHH Một Thành Viên Sản Xuất Thương Mại Phương
Khương_Công ty cổ phần Long Vũ XNK tổng hợp Long An</t>
  </si>
  <si>
    <t>53 Phan Văn Lại, F.6, TP. Tân An, Long An.</t>
  </si>
  <si>
    <t>Công ty TNHH Hưng Dụ</t>
  </si>
  <si>
    <t>Số 32, đường Dân Chủ, VSIP II, P. Hòa Phú, Thủ Dầu Một, Bình Dương</t>
  </si>
  <si>
    <t>Công Ty TNHH MTV Phân Phối Sài Gòn Co.op</t>
  </si>
  <si>
    <t>765-766 Khu A, KĐT An Phú An Khánh, P. An Khánh, Quận 2, TP. HCM</t>
  </si>
  <si>
    <t>Số 765-766 Đường 8B, Khu A, Khu đô thị An Phú An Khánh, Phường An Phú, Thành Phố Thủ Đức, Thành Phố Hồ Chí Minh.</t>
  </si>
  <si>
    <t>302/15 Phan Huy Ích, P.12, Q.Gò Vấp,TP. Hồ Chí Minh, Việt Nam</t>
  </si>
  <si>
    <t>Số 19/2M Tổ 9, Ấp Thới Tây 1, Xã Tân Hiệp, Huyện Hóc Môn, TP. HCM</t>
  </si>
  <si>
    <t>Số 235/35, KP 2, Phường Long Bình, TP Biên Hòa,  Tỉnh Đồng Nai, Việt Nam</t>
  </si>
  <si>
    <t>Số 235/35, KP 2, Phường Long Bình, TP Biên Hòa, Tỉnh Đồng Nai,</t>
  </si>
  <si>
    <t>Số 392/20/72 đường Cao Thắng, phường 12, Quận 10, TP. HCM</t>
  </si>
  <si>
    <t>Công Ty TNHH TM Minh Thái Lộc</t>
  </si>
  <si>
    <t>Số 19, đường số 07, KDC CityLand, P.7, Q. Gò Vấp, Tp.HCM</t>
  </si>
  <si>
    <t>số 19 Đường Số 7, Khu Dân Cư Cityland, P.7, Q.Gò Vấp, TP.HCM</t>
  </si>
  <si>
    <t>Công Ty TNHH Bình Dương Chinh Long</t>
  </si>
  <si>
    <t>Lô CN8, Đường N6, KCN Sóng Thần III, Thủ Dầu I - Bình Dương</t>
  </si>
  <si>
    <t>Công Ty TNHH Buhler Asia Việt Nam</t>
  </si>
  <si>
    <t>Lô B4, Đường Số 6, Khu Công Nghiệp Hòa Bình, Xã Nhị Thành, Huyện Thủ Thừa, Tỉnh Long An</t>
  </si>
  <si>
    <t>Lầu 1, Terra Royal - 280 Nam Kỳ Khởi Nghĩa, Phường Võ Thị Sáu, Quận 3, TP. Hồ Chí Minh</t>
  </si>
  <si>
    <t>Công Ty Cổ Phần Bơm Và Thiết Bị Quang Phước - CN HCM</t>
  </si>
  <si>
    <t>502 Lý Thường Kiệt, Phường 7,quận Tân Bình,TP. Hồ Chí Minh</t>
  </si>
  <si>
    <t>CTY TNHH Thiết Bị Điện Tân Thanh</t>
  </si>
  <si>
    <t>546/16/12 Nguyễn Văn Quá,Phường Đông Hưng Thuận, Quận 12,TP Hồ Chí Minh</t>
  </si>
  <si>
    <t>546/16/12 Nguyễn Văn Quá,Phường Đông Hưng Thuận, Quận12,Thành Phố Hồ Chí Mính, Việt Nam</t>
  </si>
  <si>
    <t>Công Ty TNHH Wilmar Marketing CLV</t>
  </si>
  <si>
    <t>Lô C21, KCN Hiệp Phước, Hiệp Phước, H. Nhà Bè, TP.HCM</t>
  </si>
  <si>
    <t>Lô C21 và Lô C18-C24 Khu công nghiệp Hiệp Phước, Xã Hiệp Phước, Huyện Nhà Bè, TP. Hồ Chí Minh</t>
  </si>
  <si>
    <t>Công Ty TNHH TNHH SX TM Thiên Mã</t>
  </si>
  <si>
    <t>Thôn Gia An Đông, X. Hoài Châu Bắc, H, Hoài Nhơn, Bình Định</t>
  </si>
  <si>
    <t>Số 35 Lê Lợi, Thành phố Quy Nhơn, Tỉnh Bình Định</t>
  </si>
  <si>
    <t>Cụm công nghiệp Tân Đức, Nhơn Mỹ, An Nhơn, Bình Định</t>
  </si>
  <si>
    <t>Công Ty TNHH MTN Việt Nam</t>
  </si>
  <si>
    <t>Kho: Lô C2, đường số 6, KCN Tân Đô, X. Đức Hòa Hạ, Long An
VP: 241 Điện Biên Phủ, Phường 6, Quận 3, TP.HCM</t>
  </si>
  <si>
    <t>22/19B Nguyễn Hiền, Phường 04,Quận 3,Thành phố Hồ Chí Minh</t>
  </si>
  <si>
    <t>22/19B Nguyễn Hiền, Phường 04,Quận 3,Thành phố Hồ Chí Minh, Việt Nam</t>
  </si>
  <si>
    <t>Dak Nong</t>
  </si>
  <si>
    <t>Nhà máy tinh bột sắn Đăk Song: Thôn 11, Xã Nâm N Jang, Huyện Đắk Song, Tỉnh Đắk Nông</t>
  </si>
  <si>
    <t>72/2B Bành Văn Trân, Phường 7,Quận Tân Bình,Thành Phố Hồ Chí Minh</t>
  </si>
  <si>
    <t>VP: Thửa đất 536, Tờ bản đồ số 20, Khu Phố 3, Phường Phú Lợi , Thành Phố Thủ Dầu I,  Tỉnh Bình Dương
Farm: KCN Tân Phú Trung, H. Củ Chi, Hồ Chí Minh</t>
  </si>
  <si>
    <t>Thửa đất 536, Tờ bản đồ số 20, Khu phố 3, Phường Phú Lợi, Thành Phố Thủ Dầu Một, Tỉnh Bình Dương</t>
  </si>
  <si>
    <t>Công Ty TNHH Thương Mai Dịch Vụ PNS</t>
  </si>
  <si>
    <t>10/8A Trần Thị Do, Phường Hiệp Thành, Quận 12, Thành Phố Hồ Chí Minh</t>
  </si>
  <si>
    <t>Công ty TNHH Phương Yến</t>
  </si>
  <si>
    <t>KCN Thái Hòa, Đức Hòa 3, ấp Tân Hòa, xã Đức Lập Hạ, huyện Đức Hòa, tỉnh Long An</t>
  </si>
  <si>
    <t>Công Ty Cổ Phần MKT Group</t>
  </si>
  <si>
    <t>Lầu 9, 14 Phan Tôn, Phường Đa Kao,Quận 1,TP. HCM, Việt Nam</t>
  </si>
  <si>
    <t>Công Ty TNHH Tập Đoàn FL</t>
  </si>
  <si>
    <t>132 Đường Hoàng Ngân, Phường 16, Quận 8, Tp. Hồ Chí Minh</t>
  </si>
  <si>
    <t>132 Đường Hoàng Ngân, Phường 16,Quận 8,TP. Hồ Chí Minh, Việt Nam</t>
  </si>
  <si>
    <t>Công Ty Cổ Phần Công Nghiệp An Vũ</t>
  </si>
  <si>
    <t>Số 41F/14 Đặng Thùy Trâm, Phường 13, Quận Bình Thạnh,TP. Hồ Chí Minh</t>
  </si>
  <si>
    <t>Số 41F/14 Đặng Thùy Trâm, P. 13Q.Bình Thạnh,TP. Hồ Chí Minh, Việt Nam</t>
  </si>
  <si>
    <t>Công Ty TNHH Metro Health Việt Nam</t>
  </si>
  <si>
    <t xml:space="preserve">Số 9 Nguyễn Văn Tạo, P. Long Thới, Nhà Bè, TP. Hồ Chí Minh </t>
  </si>
  <si>
    <t>DNTN Tân Huy Hoàng</t>
  </si>
  <si>
    <t>Tổ 3, ấp Quang Mẫn, thị trấn Giồng Riềng, Huyện Giồng Riêng, Kiên Giang</t>
  </si>
  <si>
    <t>Tổ 3, Ấp Quang Mẫn, Thị Trấn Giồng Riềng, Huyện Giồng Riềng, Tỉnh Kiên Giang</t>
  </si>
  <si>
    <t>Công Ty TNHH Vận Tải Dầu Khí Nam Hòa</t>
  </si>
  <si>
    <t>Số 37, Cách Mạng Tháng 8, Khu phố 3, Phường Quyết Thắng, Biên Hòa, Đồng Nai</t>
  </si>
  <si>
    <t>Số 37 Cách Mạng Tháng 8, khu phố 3, phường Quyết Thắng, thành phố Biên Hòa, tỉnh Đồng Nai</t>
  </si>
  <si>
    <t>Công Ty TNHH SX-TM-DV Tân Tường Khang</t>
  </si>
  <si>
    <t>Lô F1-F2, Đường D2&amp;N5, KCN Nam Tân Uyên, P Khánh Bình, Tx. Tân Uyên, T. Bình Dương, Việt Nam</t>
  </si>
  <si>
    <t>Công Ty TNHH TM Dịch Vụ Tâm Việt Hưng</t>
  </si>
  <si>
    <t>122/8 Thoại Ngọc Hầu, Q. Tân Phú, TP. HCM</t>
  </si>
  <si>
    <t>122/8 Thoại Ngọc Hồi, P. Phú Thọ Hòa, Q Tân Phú, HCM</t>
  </si>
  <si>
    <t>53/40/8 Vườn Lài, Phường Phú Thọ Hòa, Quận Tân Phú, TP Hồ Chí Minh</t>
  </si>
  <si>
    <t>42/4 Đường TA 04 , P. Thới An, Q.12, HCM</t>
  </si>
  <si>
    <t>Công Ty TNHH MTV Vững Bền Phát</t>
  </si>
  <si>
    <t>Số 326, Tổ 4, ấp Tân Cang, Phường Phước Tân, TP Biên Hòa, T Đồng Nai</t>
  </si>
  <si>
    <t>Chi Nhánh Công Ty TNHH Thương Mại Anh Linh</t>
  </si>
  <si>
    <t>Tổ 6, Ấp Thọ Hòa, X. Xuân Thọ, H. Xuân Lộc, Đồng Nai</t>
  </si>
  <si>
    <t>Tổ 6, Ấp Thọ Hòa, Xã Xuân Thọ, Huyện Xuân Lộc, Tỉnh Đồng Nai</t>
  </si>
  <si>
    <t>Công Ty TNHH TM Dịch Vụ Công Nghệ Thông Tin Hoàng Tín</t>
  </si>
  <si>
    <t>30 Đường 18, KP5, Phường Hiệp Bình Chánh, TP Thủ Đức</t>
  </si>
  <si>
    <t>CTY TNHH Thiết Bị Công Nghiệp Miền Trung</t>
  </si>
  <si>
    <t>Quốc Lộ 19, Thôn Ngọc Thạch, Xã Nhơn Thọ, Thị xã An Nhơn, Tỉnh Bình Định</t>
  </si>
  <si>
    <t>QL 19, Thôn Ngọc Thạnh, Xã Nhơn Thọ, Thị xã An Nhơn, Tỉnh Bình Định, Việt Nam</t>
  </si>
  <si>
    <t>KCN Hải Sơn, ấp Bình Tiền 2, xã Đức Hòa Hạ, huyện Đức Hòa, tỉnh Long An</t>
  </si>
  <si>
    <t>KCN Hải Sơn, Ấp Bình Tiền 2, Xã Đức Hòa Hạ, Huyện Đức Hòa, Tỉnh Long An</t>
  </si>
  <si>
    <t>Công Ty Cổ Phần Năng Lượng Thuận Minh</t>
  </si>
  <si>
    <t>Kho: Tổ 6, Ấp 3, X. Phước Khánh, H. Nhơn Trạch, T. Đồng Nai
VP: Tòa nhà IPC, 1489 Nguyễn Văn Linh, P. Tân Phong, Q.7. Tp.HCM</t>
  </si>
  <si>
    <t>Tổ 6, Ấp 3, Xã Phước Khánh, Huyện Nhơn Trạch, Tỉnh Đồng Nai</t>
  </si>
  <si>
    <t>Công Ty TNHH TM Goldriver</t>
  </si>
  <si>
    <t>Kho Bình Minh, đường số 9, KCN Sóng Thần, Dĩ An, Bình Dương</t>
  </si>
  <si>
    <t xml:space="preserve">Kho: Số 40/3 Tổ 3, KP. Bình Giao, P. Thuận Giao, Tp. Thuận An, T. Bình Dương </t>
  </si>
  <si>
    <t>Công ty CP SX TM DV Kim Cương</t>
  </si>
  <si>
    <t>Lô I-12, đường CN 13, KCN Tân Bình, P. Sơn Kỳ, Q. Tân Phú, TP.HCM</t>
  </si>
  <si>
    <t>Lô C5/2, đường D4, KCN Tân Phú Trung, H. Củ Chi, TP.HCM</t>
  </si>
  <si>
    <t>Lô C5-2, Đường D4, KCN Tân Phú Trung, Củ Chi, TP. HCM</t>
  </si>
  <si>
    <t>Ấp Bãi Ớt - Xã Dương Hòa - Huyện Kiên Lương - Kiên Giang</t>
  </si>
  <si>
    <t>Ấp Vĩnh Mới, xã Vĩnh Thịnh, H. Hòa Bình, T. Bạc Liêu</t>
  </si>
  <si>
    <t>Công Ty TNHH CJ Foods Việt Nam</t>
  </si>
  <si>
    <t>KCN Mỹ Xuân B1 - Tiến Hùng, P. Mỹ Xuân, TX. Phú Mỹ, Bà Rìa - Vũng Tàu</t>
  </si>
  <si>
    <t>Khu Công Nghiệp Mỹ Xuân B1 - Tiến Hùng, Xã Mỹ Xuân, TX. Phú Mỹ, T. Bà Rịa - Vũng Tàu</t>
  </si>
  <si>
    <t>Công ty cổ phần Rynan Agrifoods (Mỹ Lan Group)</t>
  </si>
  <si>
    <t>KCN Long Đức, thành phố Trà Vinh, tỉnh Trà Vinh</t>
  </si>
  <si>
    <t>Doanh Nghiệp Tư Nhân Tiên Nhân</t>
  </si>
  <si>
    <t>Ấp Tú Điềm, Xã Đại Ân 2,Huyện Trần Đề,Tỉnh Sóc  Trăng</t>
  </si>
  <si>
    <t>Ấp Tú Điềm- Xã Đại Ân 2-Huyện Trần Đề-Tỉnh Sóc Trăng</t>
  </si>
  <si>
    <t>90 Thống Nhất, Phường Tân Thành,Quận Tân Phú,TP. Hồ Chí Minh, Việt Nam</t>
  </si>
  <si>
    <t>CTY TNHH Vận Tải TM Xây Dựng Trường Giang</t>
  </si>
  <si>
    <t>Thôn Xuân Bình, Xã Mỹ An, Huyện Phù Mỹ, Tỉnh Bình Định, Việt Nam</t>
  </si>
  <si>
    <t>Thôn Xuân Bình, Xã Mỹ An, Huyện Phù Mỹ, Tỉnh Bình Định</t>
  </si>
  <si>
    <t>Công Ty TNHH Thương Mại Và Công Nghệ VINATOKEN</t>
  </si>
  <si>
    <t>Số 57 đường 43, phường Tân Phong, quận 7, Tp.HCM (Văn phòng đại diện)</t>
  </si>
  <si>
    <t>Công Ty TNHH Một Thành Viên Xăng Dầu Hoàng Lợi</t>
  </si>
  <si>
    <t>Ấp 3, Xã Lộc Điền, Huyện Lộc Ninh,Tỉnh Bình Phước, Việt Nam</t>
  </si>
  <si>
    <t>Công ty TNHH TM &amp; DV Quốc Nam Hương</t>
  </si>
  <si>
    <t>Tổ 1, khu phố Ninh Thạnh, thị trấn Lộc Ninh, huyện Lộc Ninh, tỉnh Bình Phước</t>
  </si>
  <si>
    <t>CTY TNHH Qiangyouli Yarn VN</t>
  </si>
  <si>
    <t>Số 85 Nguyễn Sơn, P. Phú Thạnh,Quận Tân Phú,TP Hồ Chí Minh, Việt Nam</t>
  </si>
  <si>
    <t xml:space="preserve">Công Ty TNHH Cơ Khí An Hòa ND </t>
  </si>
  <si>
    <t>Lô 6A, Đường D14, KDC Mỹ Hưng, Phường Hưng Thạnh, Quận Cái Răng, TP. Cần Thơ</t>
  </si>
  <si>
    <t>CTY TNHH Kỹ Thuật Tự Động Phúc An</t>
  </si>
  <si>
    <t>40/22 Đường Thạnh Lộc 16,Phường Thạnh Lộc, Quận 12,TP. HCM, Việt Nam</t>
  </si>
  <si>
    <t>Số 44/25 Đường An Phú Đông 25, KP.3, P. An Phú Đông, Quận 12, Thành Phố Hồ Chí Minh</t>
  </si>
  <si>
    <t>Công Ty TNHH Vật Tư Mạnh Phát</t>
  </si>
  <si>
    <t>1937A, Tổ 1, Khu Phố Hương Phước,Phường Phước Tân, Thành Phố Biên Hòa,Tỉnh Đồng Nai, Việt Nam</t>
  </si>
  <si>
    <t>Lô 80, Đường số 5, KCX và CN Linh Trung III, P. An Tịnh, TX. Trảng Bàng, T. Tây Ninh</t>
  </si>
  <si>
    <t>Lô 80, KCX&amp;CN Linh Trung III, Xã An tịnh, H. Trảng Bàng, T. Tây Ninh</t>
  </si>
  <si>
    <t>Số 37 ấp Rạch Đào, Xã Long Hựu Đông,Huyện Cần Đước,Tỉnh Long An</t>
  </si>
  <si>
    <t>Số 37 ấp Rạch Đào, Xã Long Hựu Đông, Huyện Cần Đước, Tỉnh Long An</t>
  </si>
  <si>
    <t>Công ty TNHH MTV Ngô Thị Sáu</t>
  </si>
  <si>
    <t>Thửa Đất Số 98, Tờ Bản Đồ 43, Đội 3, Ấp Cây Điệp, X. Tân Phước, H. Đồng Phú, T. Bình Phước</t>
  </si>
  <si>
    <t>CTY TNHH Dịch Vụ Kỹ Thuật Công Nghiệp</t>
  </si>
  <si>
    <t>453/38 Lê Văn Sỹ, Phường 12 ,Quận 3, TP. Hồ Chí Minh</t>
  </si>
  <si>
    <t>453/38 Lê Văn Sỹ, Phường 12,Quận 3,TP. Hồ Chí Minh, Việt Nam</t>
  </si>
  <si>
    <t>Công Ty TNHH MTV Công Nghệ Mới Thịnh Phát</t>
  </si>
  <si>
    <t>Lô B5-1, KCN Tân Kim, Huyện Cần Giuộc, Tỉnh Long An</t>
  </si>
  <si>
    <t>16 Đường 12, Phường Phước Long B, Quận 9, Thành Phố Hồ Chí Minh</t>
  </si>
  <si>
    <t>Công Ty Cổ Phần Thương Mại-Dịch Vụ-Công Nghệ Môi Trường Bách Khoa</t>
  </si>
  <si>
    <t>30 Đường D9, Phường Tây Thạnh,Quận Tân Phú, TP HCM</t>
  </si>
  <si>
    <t>Công Ty TNHH Thương Mại Dịch Vụ Dũng An Phát</t>
  </si>
  <si>
    <t>Số 1391,Quốc Lộ 51,Khu Phố Hương Phước,Phường Phước Tân, Thành Phố Biên Hòa,Tỉnh Đồng Nai</t>
  </si>
  <si>
    <t>Số 1391,Quốc Lộ 51, KP. Hương Phước,P. Phước Tân, TP. Biên Hòa, T. Đồng Nai</t>
  </si>
  <si>
    <t>Chi nhánh tại TP.HCM- Công ty cổ phần thuốc thú y - thủy sản Thịnh Phú</t>
  </si>
  <si>
    <t xml:space="preserve">27/2A tổ 14, ấp Mỹ Hòa 1, xã Trung Chánh, huyện Hóc Môn, TP.HCM </t>
  </si>
  <si>
    <t>Ô 18 Lô HA2, Đường DHA 3 Khu Dân Cư Mỹ Phước III, P. Thới Hòa, TX. Bến Cát, Tỉnh Bình Dương</t>
  </si>
  <si>
    <t xml:space="preserve">Ô 18, Lô HA2, Đường DHA 3, Khu Dân Cư Mỹ Phước III, P. Thới Hòa, TX Bến Cát, T. Bình Dương </t>
  </si>
  <si>
    <t>Công Ty TNHH Koastal Eco Industries</t>
  </si>
  <si>
    <t>Số 92F, đường Nguyễn Hữu Cảnh, Phường 22, Q Bình Thạnh, TP. HCM, Việt Nam</t>
  </si>
  <si>
    <t>Hộ Kinh Doanh Cơ Sở Vôi Càng Long Xuân Đào</t>
  </si>
  <si>
    <t>2/27 Đường Quốc Lộ 1A, KP3,P. Hiệp Bình Phước, Quận Thủ ĐứcTP Hồ Chí Minh</t>
  </si>
  <si>
    <t>Công Ty TNHH Foss Việt Nam</t>
  </si>
  <si>
    <t>140 Bạch Đằng, Phường 2, Q Tân Bình tp HCM</t>
  </si>
  <si>
    <t>Số 140 Bạch Đằng, Phường 2, Quận Tân Bình, TP.HCM</t>
  </si>
  <si>
    <t>Công Ty TNHH Chánh Sương</t>
  </si>
  <si>
    <t>Số 44, Trần Hưng Đạo, Khóm 1, Phường 2, Thành Phố Sa Đéc,Tỉnh Đồng Tháp, Việt Nam</t>
  </si>
  <si>
    <t>Số 679 Đường Hùng Vương, Khóm 3, Phường 1, TP. Sa Đéc, T. Đồng Tháp</t>
  </si>
  <si>
    <t>Công Ty TNHH Chế Tạo Máy Và Dịch Vụ Công Nghệ Cao TE</t>
  </si>
  <si>
    <t>121/40 Đường Nguyễn Văn Hưởng, Phường Thảo Điền, Quận 2, TP. Hồ Chí Minh</t>
  </si>
  <si>
    <t>Công Ty TNHH Thương Mại Dịch Vụ Nông Sản Xuân Tâm</t>
  </si>
  <si>
    <t>Số 2079, QL1A, ấp 5, xã Xuân TâmH. Xuân LộcTỉnh Đồng Nai</t>
  </si>
  <si>
    <t>199 Tân Quý, Phường Tân Quý,Quận Tân Phú,TP. Hồ Chí Minh</t>
  </si>
  <si>
    <t>Số 98, đường 14, Phường 8, Gò Vấp, TP.HCM</t>
  </si>
  <si>
    <t>Công Ty TNHH Thương Mại Dịch Vụ Tín Mỹ An</t>
  </si>
  <si>
    <t>Kho: Vemedimex 36/212B, đường số 12, KP8, Trường Thọ, Thủ Đức, TP.HCM</t>
  </si>
  <si>
    <t>Công ty cổ phần Nam An - TTĐ (In L.A)</t>
  </si>
  <si>
    <t>Lô 4, đường số 1, KCN Đức Hòa III, ấp Đức Hạnh 2, xã Đức Lập Hạ, huyện Đức Hòa, tỉnh Long An</t>
  </si>
  <si>
    <t>Công Ty Cổ Phần Đầu Tư Và Phát Triển Công Nghiệp T.Q.L</t>
  </si>
  <si>
    <t>43 Nguyễn Thái Bình, Phường 9, TP. Vũng Tàu, Tỉnh Bà Rịa-Vũng Tàu</t>
  </si>
  <si>
    <t>Số 82E/30, tổ 26, KP5, Phường Trảng Dài, Thành Phố Biên Hòa, Tỉnh Đồng Nai</t>
  </si>
  <si>
    <t xml:space="preserve">Số 944/22, KP1, phường Tân Mai, Biên Hòa, Đồng Nai </t>
  </si>
  <si>
    <t>Số 944/22, KP 1, Phường Tân Mai, Thành Phố Biên Hòa, Tỉnh Đồng Nai</t>
  </si>
  <si>
    <t>Công Ty TNHH Nam Việt Đỗ</t>
  </si>
  <si>
    <t>17 Huỳnh Đình Hai, P.14, Q. Bình Thạnh, TP.HCM</t>
  </si>
  <si>
    <t>17 Huỳnh Đình Hai, Phường 14, Quận Bình Thạnh, Tp.HCM</t>
  </si>
  <si>
    <t>Công ty TNHH Gold Star Việt Nam</t>
  </si>
  <si>
    <t>Ô 1, Lô DC 10, Khu dân cư Việt Sing, Phường An Phú, Thành Phố Thuận An, Tỉnh Bình Dương</t>
  </si>
  <si>
    <t>Ô 29, DC04, Đường D6, KDC Việt Sing,KP.4, P.An Phú, TP.Thuận An,T.Bình Dương, VN</t>
  </si>
  <si>
    <t>Công Ty TNHH Hoàng Khánh Gia</t>
  </si>
  <si>
    <t xml:space="preserve">Số 33/85, KP1, phường Tân Biên, Biên Hòa, Đồng Nai </t>
  </si>
  <si>
    <t>Số 33/85, Khu Phố 1, Phường Tân Biên Tp.Biên Hòa, Tỉnh Đồng Nai</t>
  </si>
  <si>
    <t>Công ty TNHH Điện Cơ Sao Việt</t>
  </si>
  <si>
    <t>Đồng Nai</t>
  </si>
  <si>
    <t>7A7 KDC An Bình, P. An Bình, Biên Hòa, Đồng Nai</t>
  </si>
  <si>
    <t>Công ty TNHH Hải Nam Tài</t>
  </si>
  <si>
    <t>149K Tổ 10, KP5, P.Long Bình, TP. Biên Hòa, T.Đồng Nai</t>
  </si>
  <si>
    <t>149 Tổ 10, Kp 5, Long Bình, Biên Hòa, Đồng Nai</t>
  </si>
  <si>
    <t>Số 1131A, Tổ 14, Kp. Hương Phước, X. Phước Tân, Tp. Biên Hòa, T. Đồng Nai</t>
  </si>
  <si>
    <t>CTY TNHH TM DV Điện Cơ -Điện Công Nghiệp Quốc Bảo Ngọc</t>
  </si>
  <si>
    <t>Số 2403, Ấp Tân Tiến, Xã Xuân Hiệp, Huyện Xuân Lộc, Tỉnh Đồng Nai</t>
  </si>
  <si>
    <t>Số 2403, Ấp Tân Tiến, Xã Xuân HiệpHuyện Xuân LộcTỉnh Đồng Nai, Việt Nam</t>
  </si>
  <si>
    <t>Công Ty TNHH Ecolab Việt Nam</t>
  </si>
  <si>
    <t>Tầng 8, phòng 8.2B, Tòa nhà ETown 2364 Cộng Hòa, Phường13, Quận Tân Bình,TP. HCM</t>
  </si>
  <si>
    <t>141/30 Đường Số 28, Phường 6, Quận Gò Vấp, Thành phố Hồ Chí Minh</t>
  </si>
  <si>
    <t>Công Ty Cổ Phần Thương Mại Sản Xuất Nhựa Khải Tường</t>
  </si>
  <si>
    <t>Số 285A Tỉnh Lộ 2, Ấp 3, Xã Phước Vĩnh An, Huyện Củ Chi, Tp. Hồ Chí Minh.</t>
  </si>
  <si>
    <t>Số 285A, Tỉnh lộ 2, Ấp 3, Xã Phước Vĩnh An, Huyện Củ Chi,TP. Hồ Chí Minh, Việt Nam</t>
  </si>
  <si>
    <t>Số 285A, Tỉnh lộ 2, Ấp 3, Xã Phước Vĩnh An, Huyện Củ Chi,TP. Hồ Chí Minh</t>
  </si>
  <si>
    <t>Công Ty TNHH Thương Mại Dịch Vụ Và Xây Dựng NTV Thành Phát</t>
  </si>
  <si>
    <t>Số 1, Đường 3A, Tòa Nhà Sonadezi, KCN Biên Hòa 02, TP Biên Hòa, Tỉnh Đồng Nai</t>
  </si>
  <si>
    <t>Công Ty TNHH IcFood Việt Nam</t>
  </si>
  <si>
    <t>316 Lê Văn Sỹ, Phường 1,Quận Tân Bình,Thành Phố Hồ Chí Minh, VN</t>
  </si>
  <si>
    <t>Công Ty TNHH MTV Dịch Vụ Hậu Cần Thủy Sản Hoàng Yến</t>
  </si>
  <si>
    <t>Số 276/6, Ấp Thới Lợi 1, Xã Thới Thuận, Huyện Bình Đại, Tỉnh Bến Tre</t>
  </si>
  <si>
    <t>Công Ty TNHH Thiết Bị Vật Tư Đức Phát</t>
  </si>
  <si>
    <t>Số 48/2 Đường Đông Hưng Thuận 26, Khu Phố 3A, Phường Đông Hưng Thuận, Quận 12, TP. Hồ Chí Minh</t>
  </si>
  <si>
    <t>Công Ty TNHH MSD Animal Health Việt Nam</t>
  </si>
  <si>
    <t>CTY TNHH TM &amp; Dịch Vụ T &amp; H</t>
  </si>
  <si>
    <t>96/13 Đường D1, Phường 25, Quận Bình Thạnh, TP. Phố Hồ Chí Minh, Việt Nam</t>
  </si>
  <si>
    <t>Tổ 1, KP. Ninh Thạnh, TT. Lộc Ninh, Huyện Lộc Ninh, Tỉnh Bình Phước</t>
  </si>
  <si>
    <t>Công Ty TNHH SX TM G.B.C.O</t>
  </si>
  <si>
    <t>Kho: 585/2A, KDC Đồng An, Dĩ An, Bình Dương</t>
  </si>
  <si>
    <t>585/2A KDC Đồng An, TP. Dĩ An, Bình Dương</t>
  </si>
  <si>
    <t>Công Ty TNHH Cơ Khí Chế Tạo NTD</t>
  </si>
  <si>
    <t>1210 Võ Nguyên Giáp, P. Nhơn Hòa,Thị Xã An Nhơn, Tỉnh Bình Định</t>
  </si>
  <si>
    <t>Công Ty TNHH TM Dịch Vụ Trường Đạt Phát</t>
  </si>
  <si>
    <t>Quốc Lộ 19 Khu Vực Tân Hòa,Phường Nhơn Hòa, Thị Xã An Nhơn,Tỉnh Bình Định</t>
  </si>
  <si>
    <t>Số 820, Quốc Lộ 19 Khu Vực Tân Hòa, P. Nhơn Hòa, TX. An Nhơn,T. Bình Định</t>
  </si>
  <si>
    <t>Công Ty TNHH SX Và Chế Biến Nông Sản Phạm Gia</t>
  </si>
  <si>
    <t>738 ấp Long Hòa B, xã Đạo Thạnh, TP. Mỹ Tho, tỉnh Tiền Giang</t>
  </si>
  <si>
    <t>Số 738 Ấp Long Hòa B, Xã Đạo Thạnh, Tp. Mỹ Tho, T.Tiền Giang</t>
  </si>
  <si>
    <t>Công Ty TNHH Vina Tray</t>
  </si>
  <si>
    <t>VP: 27 Đường Nhị Bình 3, Ấp 1,  Xã Nhị Bình, Huyện Hóc Môn,  TP. Hồ Chí Minh, Việt Nam
Xưởng SX: KCN Bình Minh, Vĩnh Long (Công ty TNHH In MeKong)</t>
  </si>
  <si>
    <t>27 Đường Nhị Bình 3, Ấp 1, Xã Nhị Bình, Huyện Hóc Môn, TP. Hồ Chí Minh, Việt Nam</t>
  </si>
  <si>
    <t>Số 27 đường Nhị Bình 3, ấp 1, xã Nhị Bình, huyện Hóc Môn, thành phố Hồ Chí Minh</t>
  </si>
  <si>
    <t>CTY TNHH Cơ Khí Chế Tạo Máy Hùng Minh</t>
  </si>
  <si>
    <t>Thửa đất số 1029, Tờ bản đồ số 10, Khu dân cư ấp 6, P. Thới Hòa, TX. Bến Cát, Tỉnh Bình Dương</t>
  </si>
  <si>
    <t>Thửa đất số 1029, Tờ bản đồ số 10, Khu dân cư ấp 6, P. Thới Hòa, TX. Bến Cát,Tỉnh Bình Dương, Việt Nam</t>
  </si>
  <si>
    <t>Công Ty TNHH TM DV Minh Thiên Phát</t>
  </si>
  <si>
    <t>Văn Phòng: Số 1219/5/24 KP 6, P. Tân Tiến, Tp. Biên Hòa, Tỉnh Đồng Nai
Kho: Tổ 21, KP. Hương Phước, P. Phước Tân, Biên Hòa, Đồng Nai</t>
  </si>
  <si>
    <t>Số 4110 QL1A, Bảo Hòa, H. Xuân Lôc, T. Đồng Nai</t>
  </si>
  <si>
    <t>Công Ty TNHH Accredo Asia</t>
  </si>
  <si>
    <t>Số 28, VSIP II-A, Đường 32, Xã Bắc Bình, H. Bắc Tân Uyên, Bình Dương</t>
  </si>
  <si>
    <t>Số 28 VSIP II-A, Đường 32, KCN Việt Nam -Singapore II-A, TT.Tân Bình, H.Bắc Tân Uyên, T.Bình Dương</t>
  </si>
  <si>
    <t>CTY TNHH TM và Dịch Vụ Nguyên Bình</t>
  </si>
  <si>
    <t>221E/4 Trần Huy Liệu, Phường 08,Quận Phú Nhuận,TP. Hồ Chí Minh, Việt Nam</t>
  </si>
  <si>
    <t>CTY TNHH Kỹ Thuật Xây Dựng TM QT Hưng Thịnh</t>
  </si>
  <si>
    <t>328/18/9 Đường HT13, Khu Phố 7,Phường Hiệp Thành, Quận 12,TP. Hồ Chí Minh</t>
  </si>
  <si>
    <t>328/18/9 Đường HT13, Khu Phố 7,Phường Hiệp Thành, Quận 12,TP. Hồ Chí Minh, Việt Nam</t>
  </si>
  <si>
    <t>Công Ty TNHH TM Dịch Vụ Minh Thiên</t>
  </si>
  <si>
    <t>14/1 Khu Phố Bình Hòa, Phường Lái Thiêu,Thành Phố Thuận An,Tỉnh Bình Dương</t>
  </si>
  <si>
    <t>KDC Đông Trung, P.Bình Hoà, TP.Thuận An, Tỉnh Bỉnh Dương</t>
  </si>
  <si>
    <t>Công ty TNHH Monyl</t>
  </si>
  <si>
    <t>84 Mậu Thân, phường An Hòa, quận Ninh Kiều, Cần Thơ</t>
  </si>
  <si>
    <t>84 Mậu Thân, Phường An Hòa , Quận Ninh Kiều, TP. Cần Thơ</t>
  </si>
  <si>
    <t>CTY TNHH In Ấn Quảng Cáo Kiến Tạo</t>
  </si>
  <si>
    <t>Số 71/93C, khu phố 13, P. Hố Nai, TP. Biên Hoà, T. Đồng Nai, Việt Nam</t>
  </si>
  <si>
    <t>Công Ty TNHH Mai Tân Phong</t>
  </si>
  <si>
    <t>8/28, Tổ 14, KP 4A,P. Trảng Dài, TP. Biên Hòa,T. Đồng Nai</t>
  </si>
  <si>
    <t>Số 8/28, Tổ 14, KP 4A, P. Trảng Dài, TP. Biên Hòa, T. Đồng Nai</t>
  </si>
  <si>
    <t>Công Ty TNHH Amiba Việt Nam</t>
  </si>
  <si>
    <t>Số 8 VSIP II-A,Đường Số 16 , KCN Việt Nam-Singapore II-A, X.Vĩnh Tân,TX.Tân Uyên,T.Bình Dương</t>
  </si>
  <si>
    <t>Công Ty TNHH Đầu Tư Thương Mại Và Xây Dựng T&amp;P</t>
  </si>
  <si>
    <t>401A Vườn Lài, P. Phú Thọ Hòa, Q. Tân Phú,TP. Hồ Chí Minh</t>
  </si>
  <si>
    <t>Công Ty TNHH Giấy Yuen Foong Yu Đồng Nai</t>
  </si>
  <si>
    <t>Ấp 8, Xã Bình Sơn, Huyện Long Thành, Tỉnh Đồng Nai, Việt Nam</t>
  </si>
  <si>
    <t>Công Ty TNHH Bao Bì Quang Trường</t>
  </si>
  <si>
    <t>Số 38 ,Đường Lê Thị Ngà,Ấp 3,Xã Phước Vĩnh An, Huyện Củ Chi, TP.Hồ Chí Minh,Việt Nam</t>
  </si>
  <si>
    <t>38 Lê Thị Ngà, Ấp 3, Xã Phước Vĩnh An, Củ Chi, Tp. Hồ Chí Minh</t>
  </si>
  <si>
    <t>Đường số 4, KCN Tân Đô, Đức Hòa Hạ, Đức Hòa, Long An</t>
  </si>
  <si>
    <t>Công ty TNHH Bao Bì Hoàng Thịnh</t>
  </si>
  <si>
    <t>98Q đường Lê Thị Hoa, KP.3, P. Bình Chiểu, Q.Thủ Đức, TP.HCM</t>
  </si>
  <si>
    <t>Doanh Nghiệp Tư Nhân Mỹ Tân</t>
  </si>
  <si>
    <t>Ấp Thanh Hòa, xã Thanh Lương,Thị Xã Bình Long,Tỉnh Bình Phước</t>
  </si>
  <si>
    <t>Ấp Thanh Hòa, xã Thanh Lương, Thị Xã Bình Long,Tỉnh Bình Phước</t>
  </si>
  <si>
    <t>Công ty TNHH Sản Xuất Bao Bì Alcamax Việt Nam</t>
  </si>
  <si>
    <t xml:space="preserve">Số 7, đường số 6, KCN Việt Nam - Singapore, Bình Hòa, Thuận An, Bình Dương </t>
  </si>
  <si>
    <t>Số 7, đường 6, KCN Viêt Nam - Singapore, Tx. Thuận An, T. Bình Dương</t>
  </si>
  <si>
    <t>Công Ty TNHH TM DV XNK Nguyễn Hà Phát</t>
  </si>
  <si>
    <t>Số 531, tổ 20, Kp.6, phường Long Bình, Biên Hòa, Đồng Nai</t>
  </si>
  <si>
    <t>Công Ty TNHH Khoa Học Kỹ Thuật Việt Sinh</t>
  </si>
  <si>
    <t>730/1/2/7C Hương lộ 2, Bình Trị Đông A, Q. Bình Tân, HCM</t>
  </si>
  <si>
    <t>118/4 Tân Chánh Hiệp 10, P. Tân Chánh Hiệp, Q. 12, TP.HCM</t>
  </si>
  <si>
    <t>471/50 Đ. Tân Thới Hiệp 21, P. Tân Thới Hiệp, Q. 12, TP Hồ Chí Minh</t>
  </si>
  <si>
    <t>CTY TNHH SX TM Bảo Nhân</t>
  </si>
  <si>
    <t>68/456G Phan Huy Ích, Phường 12,Quận Gò Vấp,TP. Hồ Chí Minh, Việt Nam</t>
  </si>
  <si>
    <t>Công Ty Cổ Phần Thuận Trình</t>
  </si>
  <si>
    <t>54 Phan Đăng Lưu, Phường 05, Quận Phú Nhuận, Tp. Hồ Chí Minh</t>
  </si>
  <si>
    <t>CTY CP Đầu Tư Phát Triển Abio VN</t>
  </si>
  <si>
    <t>708 Quốc lộ 1A, Phường Thạnh Lộc,Quận 12,TP. Hồ Chí Minh, Việt Nam</t>
  </si>
  <si>
    <t>Công Ty TNHH VN Nisshin Technomic</t>
  </si>
  <si>
    <t>Lô 517, Đường 13, KCN Long Bình (Amata), P. Long Bình, TP. Biên Hòa, Tỉnh Đồng Nai</t>
  </si>
  <si>
    <t>CTY TNHH TM - Tư Vấn - Tiếp Thị Đông Bắc</t>
  </si>
  <si>
    <t>Kho: A27 Bis, Tô Ký, P. Trung Mỹ Tây, Q.12
VP: 10C, Hoàng Hoa Thám, P.7, Q. Bình Thạnh, HCM</t>
  </si>
  <si>
    <t>10C Hoàng Hoa Thám, Phường 7, Quận Bình Thạnh, TP. Hồ Chí Minh</t>
  </si>
  <si>
    <t>10C Hoàng Hoa Thám, Phường 7,Quận Bình Thạnh,TP. Hồ Chí Minh, Việt Nam</t>
  </si>
  <si>
    <t>Công Ty Cổ Phần S.I.M. VN</t>
  </si>
  <si>
    <t>Số D.07B Đường số 3, KCN Long Hậu,Ấp 3, Xã Long Hậu, Huyện Cần Giuộc,Tỉnh Long An</t>
  </si>
  <si>
    <t>Khu Công Nghiệp Long Đức, Xã Long Đức, Thành Phố Trà Vinh, Tỉnh Trà Vinh</t>
  </si>
  <si>
    <t>Công Ty TNHH Như Ánh Dương</t>
  </si>
  <si>
    <t>Số 25, Tổ 8 C5, KP3, Phường Trảng Dài, Thành Phố Biên Hòa, Tỉnh Đồng Nai</t>
  </si>
  <si>
    <t>Số 25, Tổ 8 C5, KP3, Phường Trảng Dài, Thành Phố Biên Hòa, Tỉnh Đồng Na</t>
  </si>
  <si>
    <t>Công Ty Cổ Phần Bóng Đèn Điện Quang</t>
  </si>
  <si>
    <t>121-123-125 Hàm Nghi, Phường Nguyễn Thái Bình, Quận 1,TP. Hồ Chi Minh, Việt Nam</t>
  </si>
  <si>
    <t>Số 6, Đại Lộ Tự Do, KCN VSIP 1, Thuận Giao, TP. Thuận An, T. Bình Dương (Yusen Logistics)</t>
  </si>
  <si>
    <t>Công Ty TNHH PTC Vietnam</t>
  </si>
  <si>
    <t>12M Nguyễn Thị Minh Khai,Phường Đa Kao, Quận 1,Thành Phố Hồ Chí Minh, Việt Nam</t>
  </si>
  <si>
    <t>CTY TNHH Khoa Học Kỹ Thuật Hải Đăng</t>
  </si>
  <si>
    <t>36/77 Lê Thị Hồng, P.17,Q.Gò Vấp,TP. HCM</t>
  </si>
  <si>
    <t>Công Ty TNHH MTV An Khánh Bình</t>
  </si>
  <si>
    <t>Quốc lộ 1A, Khu phố Cẩm Tân, P. Xuân Tân, TP. Long Khánh, Đồng Nai</t>
  </si>
  <si>
    <t>Số 170, QL 1A, KP. Cẩm Tân, P. Xuân Tân, TP. Long Khánh, T. Đồng Nai</t>
  </si>
  <si>
    <t>Công Ty TNHH MTS Agritech</t>
  </si>
  <si>
    <t>14/15/16 đường 53, Phường 14, Quận Gò Vấp, TP. Hồ Chí Minh</t>
  </si>
  <si>
    <t>Công Ty TNHH Fotesco</t>
  </si>
  <si>
    <t>26 Đường 19, KDC Phong phú 4, Xã Phong Phú, Huyện Bình Chánh, Thành phố Hồ Chí Minh, Việt Nam</t>
  </si>
  <si>
    <t>Công Ty TNHH Việt Phú Đạt</t>
  </si>
  <si>
    <t>Số 36/8/15 đường Huỳnh Thiện Lộc, P. Hoà Thạnh, Q. Tân Phú, TP. HCM</t>
  </si>
  <si>
    <t>126/1 Đường An Thạnh 19, P. An Thạnh TP. Thuận An, Tỉnh Bình Dương, Việt Nam</t>
  </si>
  <si>
    <t>Số 370 đường Gò Ô Môi, Khu Phố 02 Phường Phú Thuận, Quận 7, TP. Hồ Chí Minh</t>
  </si>
  <si>
    <t>Công Ty TNHH MTV Ngôi Sao Vàng</t>
  </si>
  <si>
    <t>C-08 Tầng 012, Tòa nhà Luxcity Block C, 528 Huỳnh Tấn Phát, P. Bình Thuận, Quận 7, HCM</t>
  </si>
  <si>
    <t>Ấp 1, Xã Tân Thanh, Huyện Cái Bè, Tỉnh Tiền Giang</t>
  </si>
  <si>
    <t>Công Ty TNHH Công Nghệ Thực Phẩm Shineroad VN</t>
  </si>
  <si>
    <t>Đường số 10, Đại lộ Độc Lập, KCN Sóng Thần, Dĩ An, Bình Dương (Kho Toàn Phát)</t>
  </si>
  <si>
    <t>Công Ty Cổ Phần Xây Dựng Central</t>
  </si>
  <si>
    <t>204/9 Nguyễn Văn Hưởng, Phường Thảo Điền, Quận 2, TP Hồ Chí Minh</t>
  </si>
  <si>
    <t>Công Ty TNHH MTV SX TM Cao Việt</t>
  </si>
  <si>
    <t>Công Ty TNHH TM - SX Phúc Minh Thành</t>
  </si>
  <si>
    <t>Số 18, Đường An Bình, Dĩ An, Bình Dương</t>
  </si>
  <si>
    <t>Công Ty TNHH TM Dịch Vụ Tổng Hợp An Thiên</t>
  </si>
  <si>
    <t>22, ấp Thới Thuận A, Xã Tân Thạnh, Huyện Thới Lai, Thành phố Cần Thơ</t>
  </si>
  <si>
    <t>CTY TNHH MTV Công Nghiệp Quốc Tế T &amp; T</t>
  </si>
  <si>
    <t>Số 52, Đường Lê Văn Duyệt, Thạnh Hòa A,Phường An Thạnh, Thành phố Thuận An,Tỉnh Bình Dương</t>
  </si>
  <si>
    <t>Lô B1-2 Khu B1, Đường N5, KCN Tân Phú Trung, X. Tân Phú Trung, H. Củ Chi, TP. HCM</t>
  </si>
  <si>
    <t>Công Ty TNHH Xây Dựng TM Điện Minh Phát</t>
  </si>
  <si>
    <t>Số 107 Seaview 4 A9 Trung Tâm Chí Linh Phường 10, TP Vũng Tàu</t>
  </si>
  <si>
    <t>Công Ty TNHH Author Việt Nam</t>
  </si>
  <si>
    <t>21/2P Dương Đình Nghệ, P.8,Q.11,TP. Hồ Chí Minh, VN</t>
  </si>
  <si>
    <t>Lô đất 3G-10 Đường số 14, KCN Long Hậu 3, Ấp 3, X. Long Hậu, H. Cần Giuộc, T. Long An</t>
  </si>
  <si>
    <t>Công Ty TNHH SX TM Dịch Vụ Việt Spice</t>
  </si>
  <si>
    <t>164/18 Đường Lê Đình Thám, Phường Tân Qúy, Quận Tân Phú, TP Hồ Chí Minh</t>
  </si>
  <si>
    <t>Công ty TNHH Tư Vấn Xây Dựng Đức Thiên Bảo</t>
  </si>
  <si>
    <t>Số 338/104, tổ 92, Kp. 13, P. Hố Nai, Tp. Biên Hòa, T. Đồng Nai</t>
  </si>
  <si>
    <t>Công ty TNHH Green Kites VN</t>
  </si>
  <si>
    <t>Đường An Phú Đông 13, P. An Phú Đông, Quận 12, TP. HCM</t>
  </si>
  <si>
    <t>CTY TNHH SX TM Chấn Khang</t>
  </si>
  <si>
    <t>74-74B Cao Thắng, Phường 04, Quận 3, Thành phố Hồ Chí Minh, Việt Nam</t>
  </si>
  <si>
    <t>B2-4A, khu nhà xưởng xây sẵn lô B, KCN Long Hậu, X. Long Hậu, H. Cần Giuộc, T. Long An, Việt Nam</t>
  </si>
  <si>
    <t>Ấp 4, Xã Long Định, Huyện Cần Đước, Tỉnh Long An</t>
  </si>
  <si>
    <t>06 months</t>
  </si>
  <si>
    <t>Công ty TNHH Công nghiệp Wogeak Việt Nam</t>
  </si>
  <si>
    <t>Đường M14, KCN Tân Bình, Q. Tân Bình, TP. HCM</t>
  </si>
  <si>
    <t>Công ty TNHH Huhtamaki Việt Nam</t>
  </si>
  <si>
    <t>Bình Dương</t>
  </si>
  <si>
    <t>Số 22 Đường số 8, KCN VSIP1, P. Bình Hòa, TX. Thuận An, Bình Dương</t>
  </si>
  <si>
    <t>Công ty TNHH Đầu tư và Phát triển Gia Việt</t>
  </si>
  <si>
    <t>Lô 5A, Đường số 5, KCN Hải Sơn, X. Đức Hòa Hạ, H. Đức Hòa, T. Long An</t>
  </si>
  <si>
    <t>Công ty TNHH SX &amp; TM Thiên Phú Lộc</t>
  </si>
  <si>
    <t>66/5 Quốc lộ 1K, P. Linh Xuân, Q. Thủ Đức, TP. Hồ Chí Minh</t>
  </si>
  <si>
    <t>Công ty TNHH SX &amp; TM Khởi Thuận</t>
  </si>
  <si>
    <t>Tổ 2, Ấp Tân Thành, X. Thanh Bình, H. Trảng Bom, T. Đồng Nai</t>
  </si>
  <si>
    <t>Công ty TNHH Hoàng Thiên Sơn</t>
  </si>
  <si>
    <t>Ấp 05, X. Phú Cường, H. Cai Lậy, T. Tiền Giang</t>
  </si>
  <si>
    <t>Công ty TNHH Hoa Ninh</t>
  </si>
  <si>
    <t>1/15/F6, Ấp 5A, X. Phú Cường, H. Cai Lậy, Tiền Giang</t>
  </si>
  <si>
    <t>Ấp 3, X. Tân Bình, H. Cai Lậy, T. Tiền Giang</t>
  </si>
  <si>
    <t>Công ty TNHH Kỹ Thuật Môi Trường Tấn Đế</t>
  </si>
  <si>
    <t>1848-1850 Đường Võ Văn Kiệt, Phường An Lạc, Quận Tân Bình, TP Hồ Chí Minh</t>
  </si>
  <si>
    <t>TCVN 5063:2023 (HACCP Codex Alimentarius - CXC 1-1969, Revised 2020)</t>
  </si>
  <si>
    <t>Công Ty TNHH Tầm Nhìn Công Nghệ HT</t>
  </si>
  <si>
    <t>81 Cách Mạng Tháng Tám,Phường Bến Thành, Quận 1,Thành Phố Hồ Chí Minh, Việt Nam</t>
  </si>
  <si>
    <t>Công Ty TNHH Bao Bì Vina Corrugated</t>
  </si>
  <si>
    <t>Số 7,Đường số 6,KCN Việt Nam-Singapore,P. Bình Hòa, TP. Thuận An,T. Bình Dương,Việt Nam</t>
  </si>
  <si>
    <t xml:space="preserve">ISO 14001:2015 
ISO 9001:2015
FSC </t>
  </si>
  <si>
    <t xml:space="preserve"> Lô B.24, Đường D1, KCN Đồng An II, Thành Phố Thủ Dầu Một, Tỉnh Bình Dương, Việt Nam. </t>
  </si>
  <si>
    <t>HACCP 
ISO 22000:2018</t>
  </si>
  <si>
    <t>28/06/2025, KFC</t>
  </si>
  <si>
    <t>Số 855 Kinh Dương Vương, Phường An LẠc, Quận Bình Tân, HCM</t>
  </si>
  <si>
    <t>Công Ty TNHH HCP PUMPS Việt Nam</t>
  </si>
  <si>
    <t>Kho_ Lô LK4, Đường Số 10 KCN Xuyên Á, Mỹ Hạnh Bắc, Đức Hòa, Long An, Việt Nam</t>
  </si>
  <si>
    <t>Xưởng_Lô C1-4, Đường N8, KCN Tân Phú Trung, Xã Tân Phú Trung, Huyện Củ Chi, Thành Phố Hồ Chí Minh, Việt Nam</t>
  </si>
  <si>
    <t>Công Ty Cổ Phần Hồ Tiêu Việt</t>
  </si>
  <si>
    <t>ISO 22000:2018 
BRC
 HACCP 
HALAL</t>
  </si>
  <si>
    <t>Công Ty TNHH Thương Mại Dịch Vụ PNS</t>
  </si>
  <si>
    <t>Kho: Số 423 Nguyễn Thị Kiểu, Phường Tân Thới Hiệp, Quận 12, Thành Phố Hồ Chí Minh</t>
  </si>
  <si>
    <t>CTY TNHH Thiết Kế Mỹ Thuật Và Tin Học Huynh Đệ Anh Khoa</t>
  </si>
  <si>
    <t xml:space="preserve">Xưởng : Lô C5-2, Đường D4, KCN Tân Phú Trung, Củ Chi, Thành Phố Hồ Chí Minh , Việt Nam. </t>
  </si>
  <si>
    <t>'ISO 9001:2015</t>
  </si>
  <si>
    <t>12/09/2025, KFC</t>
  </si>
  <si>
    <t>Công Ty TNHH Mỹ Ân</t>
  </si>
  <si>
    <t>Kho: 59 đường N8, Khu dân cư Jamona city, phường Phú Thuận, Quận 7, Tp. HCM.</t>
  </si>
  <si>
    <t>CTY TNHH SX Và TM Thiên Phước</t>
  </si>
  <si>
    <t>Lô B8 - B9 Cụm Công Nghiệp Nhị Xuân,X. Xuân Thới Sơn, H. Hóc Môn,TP. HCM, VN</t>
  </si>
  <si>
    <t>CTY TNHH TM Ngọc Kim Châu</t>
  </si>
  <si>
    <t>Kho_Số 27/6F Đường Tô Ký 12, Ấp Thới Tam Thôn, Xã Thới Tam Thôn, Huyện Hóc Môn, Thành Phố Hồ Chí Minh, Việt Nam.</t>
  </si>
  <si>
    <t>Lô K4B, KCN. Lê Minh Xuân, Đường Số 4, X.Lê Minh Xuân, H.Bình Chánh, TP.HCM
Kho Á Châu số 1 -  12 Độc Lập, KCN Sóng Thần, Dĩ An, Bình Dương, Việt Nam</t>
  </si>
  <si>
    <t>CTY TNHH TM Dịch Vụ Phúc Hưng Thịnh</t>
  </si>
  <si>
    <t>Số 298/10 Tân Hòa Đông, Bình Trị Đông, Bình Tân, Thành Phố Hồ Chí Minh, Việt Nam.</t>
  </si>
  <si>
    <t>CTY TNHH TM - Dịch Vụ Tài Phát</t>
  </si>
  <si>
    <t>Kho_277A Bến Bình Đông, phường 14, quận 8, Tp.HCM (Khu nhà kho thuộc Công ty Bột Mì Bình Đông)</t>
  </si>
  <si>
    <t>CTY TNHH TM Dịch Vụ Envitech Đại Lộc</t>
  </si>
  <si>
    <t>32/2, Khu phố hòa long, Thuận An, Bình Dương, Việt Nam</t>
  </si>
  <si>
    <t>Kho: 14 Bình Phú , Phường Tam Phú ,Thành Phố Thủ Đức,Thành Phố Hồ Chí Minh</t>
  </si>
  <si>
    <t>Công Ty TNHH Thương Mại Minh An</t>
  </si>
  <si>
    <t>Kho: Số 216R, Đường Quang Trung, Phường 10, Gò Vấp, Hồ Chí Minh, Việt Nam</t>
  </si>
  <si>
    <t>Công Ty TNHH Thương Mại Kiều Đồng</t>
  </si>
  <si>
    <t>254 Nguyễn Công Trứ, Phường Nguyễn Thái Bình, Quận 1, Tp.Hồ Chí Minh
152 Nguyễn Sĩ Sách, Phường 15, Tân Bình, Hồ Chí Minh</t>
  </si>
  <si>
    <t>CTY TNHH Thiết Bị Thí Nghiệm Á Châu</t>
  </si>
  <si>
    <t>594/23 Âu Cơ, Phường 10, Quận Tân Bình,  Thành phố Hồ Chí Minh , Việt Nam</t>
  </si>
  <si>
    <t>Doanh Nghiệp Tư Nhân TM Cao Hùng</t>
  </si>
  <si>
    <t>83/4, Khu Phố 1, Phường Tân Mai, Thành Phố Biên Hòa, Tỉnh Đồng Nai, Việt Nam.</t>
  </si>
  <si>
    <t>Công Ty TNHH Giấy Minh Cường Phát</t>
  </si>
  <si>
    <t>Lô 500/1, đường 13, KCN Long Bình (Amata), P. Long Bình,TP. Biên Hòa, T.  Đồng Nai, VN</t>
  </si>
  <si>
    <t>Công Ty TNHH Bảo Tín Khôi Nguyên</t>
  </si>
  <si>
    <t>Xưởng: 96A đường số 21, xã Bình Hưng, Bình Chánh, Tp. HCM</t>
  </si>
  <si>
    <t>Xưởng - 121/40 Nguyễn Văn Hưởng, Phường Thảo Điền, Thành Phố Thủ Đức, Thành Phố Hồ Chí Minh.</t>
  </si>
  <si>
    <t>Công Ty TNHH SX TM Tổng Hợp II</t>
  </si>
  <si>
    <t>A12/286B Bà Tỵ, Xã Tân Nhựt, Huyện Bình Chánh, TP. Hồ Chí Minh, Việt Nam</t>
  </si>
  <si>
    <t>Lô C2 Đường số 6, Khu Công Nghiệp Tân Đô, Xã Đức Hòa Hạ, Huyện Đức Hòa, Tỉnh Long An.</t>
  </si>
  <si>
    <t>Công Ty TNHH Yilin Việt Nam</t>
  </si>
  <si>
    <t>Lô K4C, Đường số 4, KCN Lê Minh Xuân,X. Lê Minh Xuân, H. Bình Chánh,TP. HCM</t>
  </si>
  <si>
    <t>CTY CP Thiết Bị Và Hóa Chất Đông Nam</t>
  </si>
  <si>
    <t>Kho_ số 23/30 đường C1, phường 13, Quận Tân Bình, TP. Hồ Chí Minh</t>
  </si>
  <si>
    <t>CN CTY TNHH KSS VN Tại Bình Dương</t>
  </si>
  <si>
    <t>Lô DC13, Ô 44, KDC Việt Sing, P. An Phú,TP. Thuận An,T. Bình Dương</t>
  </si>
  <si>
    <t>CTY TNHH TM Và Công Nghệ VI NA TO KEN</t>
  </si>
  <si>
    <t>157 Nguyễn Thị Thập, Phường Tân Phú,Quận 7,Thành Phố Hồ Chí Minh, Việt Nam</t>
  </si>
  <si>
    <t>89/19 Phan Anh, KP. 12,P. Bình Trị Đông, Q. Bình Tân,TP. HCM, VN</t>
  </si>
  <si>
    <t>CTY TNHH Nhất Gia</t>
  </si>
  <si>
    <t>Văn phòng 02,Tầng 8 Tòa nhà Pearl Plaza,561A Điện Biên Phủ, P. 25, Q.Bình Thạnh,TP. HCM, VN</t>
  </si>
  <si>
    <t>CTY TNHH Redachem VN</t>
  </si>
  <si>
    <t xml:space="preserve">Kho: ICD Tân cảng Long Bình - số 10 Phan Đăng Lưu, P.Long Bình, Tp.Biên Hòa, Đồng Nai 
</t>
  </si>
  <si>
    <t>CTY TNHH IGM VN</t>
  </si>
  <si>
    <t>Tòa nhà PLS, 39/3 Trần Nhật Duật, Phường Tân Định, Quận 1, Thành Phố Hồ Chí Minh, Việt Nam.</t>
  </si>
  <si>
    <t>Không đạt -&gt; Đạt (khắc phục lên tới 92%)</t>
  </si>
  <si>
    <t>Công ty TNHH Khảo sát việt</t>
  </si>
  <si>
    <t>Dịch vụ ( dịch vụ đo đạc, kiểm tra bồn silo)</t>
  </si>
  <si>
    <t>Tổ dân phố Đông Ngạc 3, phường Đông Ngạc, quận Bắc Từ Liêm, tp Hà Nội</t>
  </si>
  <si>
    <t>Dự án (dịch vụ)</t>
  </si>
  <si>
    <t>CÔNG TY TNHH MỘT THÀNH VIÊN ỨNG DỤNG CÔNG NGHỆ KỸ THUẬT NHỰA ÂU LẠC</t>
  </si>
  <si>
    <t>Lô II-3, Nhóm Công nghiệp 2, Đường 11, Khu Công nghiệp Tân Bình, Phường Tây Thạnh, Quận Tân Phú, Thành phố Hồ Chí Minh, Việt Nam</t>
  </si>
  <si>
    <t>ISO 9001:2015 
ISO 14001:2015</t>
  </si>
  <si>
    <t>CÔNG TY CỔ PHẦN DỊCH VỤ XUẤT NHẬP KHẨU VÀ THƯƠNG MẠI VÂN NAM</t>
  </si>
  <si>
    <t>Ấp Bình Lợi, xã Đức Tân, huyện Tân Trụ, tỉnh Long An</t>
  </si>
  <si>
    <t>CÔNG TY TNHH SẢN XUẤT VÀ THƯƠNG MẠI CÔNG NGHỆ GIẤY D&amp;D</t>
  </si>
  <si>
    <t>Tổ 01, Ấp Long Tân, Xã Long Giang, Huyện Bến Cầu, Tỉnh Tây Ninh, Việt Nam.</t>
  </si>
  <si>
    <t>Công ty TNHH Việt Như Ý</t>
  </si>
  <si>
    <t>Xưởng Sản Xuất_ Tổ 20, Ấp 4, Xã Tân Hưng, Huyện Nhà Bè, Tỉnh Tiền Giang, Việt Nam.</t>
  </si>
  <si>
    <t>NM Food Phú Nghĩa, Đông Lạnh Bến Tre</t>
  </si>
  <si>
    <t>CÔNG TY CỔ PHẦN BAO BÌ BIÊN HÒA</t>
  </si>
  <si>
    <t>Xưởng sản xuất 2: KCN Biên Hòa 1, Đường số 7, Phường An Bình, TP. Biên Hòa, Tỉnh Đồng Nai</t>
  </si>
  <si>
    <t>CÔNG TY TNHH THỰC PHẨM DARY FOOD</t>
  </si>
  <si>
    <t>Lô D4, đường N1, KCN Hiệp Phước, Huyện Nhà Bè, Thành Phố Hồ Chí Minh, Việt Nam</t>
  </si>
  <si>
    <t>BRCS</t>
  </si>
  <si>
    <t>Five Star</t>
  </si>
  <si>
    <t>Công Ty TNHH An Huy B.T</t>
  </si>
  <si>
    <t>Công ty TNHH MTV My Anh</t>
  </si>
  <si>
    <t>Công Ty Cổ Phần Dịch Vụ Bảo Vệ Ninh Thuận</t>
  </si>
  <si>
    <t>CÔNG TY TNHH TM &amp; DV KT PHÚ TÍN</t>
  </si>
  <si>
    <t>CÔNG TY TNHH MÔI TRƯỜNG KHÍ SINH HỌC VIỆT NAM</t>
  </si>
  <si>
    <t>CÔNG TY CỔ PHẦN TỔNG CÔNG TY ĐẦU TƯ PHƯƠNG TRỜI</t>
  </si>
  <si>
    <t>Công ty TNHH Chăn nuôi Bảo An Gia Lai</t>
  </si>
  <si>
    <t>CÔNG TY TNHH TỰ ĐỘNG HÓA INTECHPLUS VIỆT NAM</t>
  </si>
  <si>
    <t>Công ty TNHH MTV Dịch Vụ Bảo Vệ Đồng Nai Thiên Long</t>
  </si>
  <si>
    <t>CÔNG TY TNHH GIA HOÀNG</t>
  </si>
  <si>
    <t>Công Ty TNHH Cơ Điện Đức Thiện</t>
  </si>
  <si>
    <t>CÔNG TY TNHH MỸ THUẬT QUẢNG CÁO HOÀI HƯNG</t>
  </si>
  <si>
    <t>CN CTy CPDV Bảo vệ Tây Bình Tây Sơn tại Quy Nhơn</t>
  </si>
  <si>
    <t>Công Ty TNHH Thiết Bị Trường Đại Phát</t>
  </si>
  <si>
    <t>CÔNG TY TNHH TM DV ĐIỆN LẠNH TÂM ANH</t>
  </si>
  <si>
    <t>CÔNG TY TNHH SX TM DV MINH TÍN</t>
  </si>
  <si>
    <t>Công ty TNHH Hệ Thống Âu Việt</t>
  </si>
  <si>
    <t>Công Ty TNHH An Pha Hùng Mạnh</t>
  </si>
  <si>
    <t>Công ty TNHH Dịch Vụ Bảo Vệ Nam Đô - Ninh Thuận</t>
  </si>
  <si>
    <t>36 Đường số 5, cư xá chu văn an, P.26, Quận Bình Tân</t>
  </si>
  <si>
    <t>Ấp Bàu Teng, xã Quang Minh, TX Chơn Thành, Bình Phước</t>
  </si>
  <si>
    <t>56/2 Nguyễn Thị Minh Khai, TP. Phan Rang - Tháp Chàm, Ninh Thuận</t>
  </si>
  <si>
    <t>ĐẠI LỘ BÌNH DƯƠNG, KHU PHỐ 3A, PHƯỜNG THỚI HÒA, TP BẾN CÁT, BÌNH DƯƠNG</t>
  </si>
  <si>
    <t>154-156 Nguyễn Hữu Thọ, xã Phước Kiển, huyện Nhà Bè, TP.HCM</t>
  </si>
  <si>
    <t>164 TỔ 28A, KHU PHỐ 2A, TRẢNG DÀI, BIÊN HÒA, ĐỒNG NAI</t>
  </si>
  <si>
    <t>Thôn 4, xã Pờ Tó, huyện Ia Pa, tỉnh Gia Lai, Việt Nam</t>
  </si>
  <si>
    <t>1008/48 Đường Trường Sa, Phường 12, Quận 3, Thành phố Hồ Chí Minh, Việt Nam</t>
  </si>
  <si>
    <t>B17, KP4, F. Quang Vinh, TP. Biên Hoà, T. Đồng Nai</t>
  </si>
  <si>
    <t>12/1/14 tổ 35, khu phố 9, phường Tân Phong,TP.Biên Hoà, Tỉnh Đồng Nai</t>
  </si>
  <si>
    <t>Số 1303, tổ 1, ngọc lâm 3, xã Phú Xuân Tân Phú, đồng nai</t>
  </si>
  <si>
    <t>456 Nguyễn Văn Linh, P. Phú Lâm, TP. Tuy Hòa, Tỉnh Phú Yên</t>
  </si>
  <si>
    <t>101 Trần Cao Vân, P. Lê Lợi, TP.Quy Nhơn, Tỉnh Bình Định</t>
  </si>
  <si>
    <t>12/11 Nước vàng,An Bình,Phú Giáo,Bình Dương</t>
  </si>
  <si>
    <t>6A6, khu phố 1, phường Phú Tân, TP.Bến Tre, Tỉnh Bến Tre</t>
  </si>
  <si>
    <t>C8 – C8A, CMT8, P.Bùi Hữu Nghĩa, Q.Bình Thủy, TP.Cần Thơ</t>
  </si>
  <si>
    <t>1A/24 Tam Bình, KP 7, P. Hiệp Bình Chánh, Tp Thủ Đức, HCM</t>
  </si>
  <si>
    <t>439A, KP Hương Phước, P Phước Tân, TP Biên Hòa, T Đồng Nai, Viet Nam</t>
  </si>
  <si>
    <t>Lô TM 22 – 75 Khu K1, Phường Thanh Sơn, Thành Phố Phan Rang –Tháp Chàm, Tỉnh Ninh Thuận</t>
  </si>
  <si>
    <t>ISO 9001:2015
ISO 14001:2016
FSC</t>
  </si>
  <si>
    <t>CÔNG TY TNHH MTV GỐM SỨ PHI HẢI</t>
  </si>
  <si>
    <t>CÔNG TY TRÁCH NHIỆM HỮU HẠN MỘT THÀNH VIÊN THƯƠNG MẠI DỊCH VỤ LỘC PHÚC XUÂN</t>
  </si>
  <si>
    <t>CÔNG TY CỔ PHẦN THIẾT BỊ KỸ THUẬT CÔNG NGHIỆP SEIMATECH</t>
  </si>
  <si>
    <t>CÔNG TY TNHH KAP AUTOMATION</t>
  </si>
  <si>
    <t>CÔNG TY TNHH LAM THÁI PHÁT</t>
  </si>
  <si>
    <t>CÔNG TY CỔ PHẦN GIẢI PHÁP VPOWER</t>
  </si>
  <si>
    <t>CÔNG TY TNHH ABS ENGINEERING VIỆT NAM</t>
  </si>
  <si>
    <t>Công ty Cổ Phần Dịch Vụ Bảo Vệ An Ninh Đại Gia Việt</t>
  </si>
  <si>
    <t>Công ty TNHH Thiết Bị Điện Shihlin VN</t>
  </si>
  <si>
    <t>Công ty TNHH TNT An Ninh</t>
  </si>
  <si>
    <t>CÔNG TY TNHH CÔNG NGHIỆP HITECH VĨNH THÀNH</t>
  </si>
  <si>
    <t>CÔNG TY TNHH ĐẦU TƯ PHÁT TRIỂN SẢN XUẤT THƯƠNG MẠI HOÀNG GIA</t>
  </si>
  <si>
    <t>CÔNG TY TNHH TM DV NCMED</t>
  </si>
  <si>
    <t>CÔNG TY TNHH MTV KYOUWA VIỆT NAM</t>
  </si>
  <si>
    <t>Công ty TNHH Kỹ Thuật Đo Lường Tân Quốc Hưng</t>
  </si>
  <si>
    <t>Công ty TNHH Xây dựng Thịnh Nam Tiến</t>
  </si>
  <si>
    <t>DNTN ĐIỆN MÁY NỘI THẤT PHÚ</t>
  </si>
  <si>
    <t>CÔNG TY TNHH DỊCH VỤ BẢO VỆ PHI HỖ BÌNH ĐỊNH</t>
  </si>
  <si>
    <t>Công ty TNHH Đầu tư và Xây dựng Sài Gòn Kỷ Nguyên</t>
  </si>
  <si>
    <t>CÔNG TY TNHH MTV DỊCH VỤ BẢO VỆ ĐẠI AN PHÁT</t>
  </si>
  <si>
    <t>CÔNG TY TNHH MTV ĐIỆN LẠNH TOÀN THẮNGG</t>
  </si>
  <si>
    <t>Chi nhánh cty TNHH Intertek Việt Nam tại Tp.HCM</t>
  </si>
  <si>
    <t>CÔNG TY TNHH MTV BÁ HƯNG</t>
  </si>
  <si>
    <t>CÔNG TY TNHH DVBV HOÀNG KIM GIÁP</t>
  </si>
  <si>
    <t>CTY TNHH COOPERL VIỆT NAM</t>
  </si>
  <si>
    <t>Công ty TNHH Long Thuận</t>
  </si>
  <si>
    <t>CONG TY TNHH DEN XANH</t>
  </si>
  <si>
    <t>CÔNG TY TNHH KỸ THUẬT CÔNG TRÌNH &amp; TM PHẠM MINH</t>
  </si>
  <si>
    <t>Công ty TNHH Kỹ Thuật Tân Thiên Phước</t>
  </si>
  <si>
    <t>Công ty TNHH Thương Mại Dịch Vụ Thanh An</t>
  </si>
  <si>
    <t>CÔNG TY TNHH TÍN BẢO LAN</t>
  </si>
  <si>
    <t>Công ty TNHH TM DV Nam Song Mã</t>
  </si>
  <si>
    <t>CÔNG TY TNHH THIẾT BỊ TỰ ĐỘNG BẢO PHÚC</t>
  </si>
  <si>
    <t>70 Nguyễn Trãi, Phường 7, Mỹ Tho, Tiền Giang</t>
  </si>
  <si>
    <t>Số 82-84 đường Nguyễn Phúc Nguyên, Phường 09, Quận 03, Thành phố Hồ Chí Minh, Việt Nam</t>
  </si>
  <si>
    <t>42/5-7, Hồ Đắc Di, Phường Tây Thạnh, Quận Tân Phú, Thành phố Hồ Chí Minh</t>
  </si>
  <si>
    <t>Văn phòng 02, Tầng 08, Pearl Plaza Tower, 561A Điện Biên Phủ, Phường 25, Quận Bình Thạnh, TP.HCM, Việt Nam</t>
  </si>
  <si>
    <t>39/7 Đường TL56, Phường Thạnh Lộc, Quận 12, Tp. Hồ Chí Minh, Việt Nam</t>
  </si>
  <si>
    <t>Số 66B/12C, Khu phố 2, Phường Trảng Dài, Thành phố Biên Hòa, Tỉnh Đồng Nai, Việt Nam</t>
  </si>
  <si>
    <t>8 Nguyễn Cửu Vân, Phường 17, Quận Bình Thạnh, Thành phố Hồ Chí Minh, Việt Nam</t>
  </si>
  <si>
    <t>166A Nguyễn Gia Trí, P.25, Q. Bình Thạnh, Tp.HCM</t>
  </si>
  <si>
    <t>409 Nguyễn Thái Bình, Phường 12, Tân Bình, Hồ Chí Minh</t>
  </si>
  <si>
    <t>Đường số 10, KCN Hố Nai, Xã Hố Nai 3, Huyện Trảng Bom, Tỉnh Đồng Nai, Việt Nam</t>
  </si>
  <si>
    <t>48A3 Trần Đình Xu, Phường Cô Giang, Quận 1, Tp. Hồ Chí Minh</t>
  </si>
  <si>
    <t>121/26 đường Bà Điểm 4, Ấp Tiền Lân, Xã Bà Điểm, Hóc Môn, Tp. HCM, Việt Nam</t>
  </si>
  <si>
    <t>Số 07 đường T13, Khu Manhattan-Dự án Khu dân cư và công viên Phước Thiện, Tổ 1, Khu phố Phước Thiện, P.Long Bình, TP.Thủ Đức, TP. Hồ Chí Minh</t>
  </si>
  <si>
    <t>330 Đỗ Pháp Thuận, An Phú, Thủ Đức, TP Hồ Chí Minh</t>
  </si>
  <si>
    <t xml:space="preserve">Long An </t>
  </si>
  <si>
    <t>Lô 3A-27, đường số 10, Khu Công nghiệp Long Hậu 3 (Giai đoạn 1), Xã Long Hậu, Huyện Cần Giuộc, Tỉnh Long An, Việt Nam</t>
  </si>
  <si>
    <t>Lô M3 Khu Công Nghiệp Long Hậu Ấp 3 xã Long Hậu Huyện Cần Giuộc Tỉnh Long An Việt Nam</t>
  </si>
  <si>
    <t>A15, Golden Center City, Phường Mỹ Phước, Thành Phố Bến Cát, tỉnh Bình Dương.</t>
  </si>
  <si>
    <t>Số 220, Quốc lộ 13, Phường Hưng Long, Thị xã Chơn Thành, Tỉnh Bình Phước, Việt Nam</t>
  </si>
  <si>
    <t>39A Lê Thánh Tôn , Phường Lê Lợi , TP Quy Nhơn , Tỉnh Bình Định , Việt Nam</t>
  </si>
  <si>
    <t>82/13C đường Bình Quới, Phường 27, Quận Bình Thạnh</t>
  </si>
  <si>
    <t>05 Ỷ LAN, PHƯỜNG THỊ NẠI, THÀNH PHỐ QUY NHƠN, TỈNH BÌNH ĐỊNH, VIỆT NAM</t>
  </si>
  <si>
    <t>Tổ 8 Khu Phố 3 - Phường Hưng Long, TX.Chơn Thành Tỉnh Bình Phước Thành , Tỉnh Bình Phước</t>
  </si>
  <si>
    <t>Tầng 5,6,7 tòa nhà S.O.H.O, Số 38 Huỳnh Lan Khanh, P.2, Q.Tân Bình, Tp.HCM</t>
  </si>
  <si>
    <t>KP PHÚ CƯỜNG, PHƯỜNG TÂN PHÚ, THÀNH PHỐ ĐỒNG XOÀI, TỈNH BÌNH PHƯỚC</t>
  </si>
  <si>
    <t>44/4, Ấp Bà Rịa, Xã Phước Tân, Huyện Xuyên Mộc, Tỉnh Bà Rịa Vũng Tàu</t>
  </si>
  <si>
    <t>25 đường 34a, Phường An Phú, Tp Thủ Đức, Tp HCM, Việt Nam</t>
  </si>
  <si>
    <t>27/11 ĐT 743, KP.Đông Chiêu, P.Tân Đông Hiệp, TP.Dĩ An, T.Bình Dương.</t>
  </si>
  <si>
    <t>KP 9, PHƯỜNG TÂN BIÊN, BIÊN HOA, DONG NAI</t>
  </si>
  <si>
    <t>46 Phạm Văn Thuận, Kp1, P. Tam Hòa, Biên Hòa Đồng Nai</t>
  </si>
  <si>
    <t>Thửa đất số 988, khu QHDC đô thị mới, Phường Đập Đá, Thị xã An Nhơn, Tỉnh Bình Định, Việt Nam</t>
  </si>
  <si>
    <t>119 Tô hiến thành Phường 13 quận 10 Thành phố Hồ Chí Minh</t>
  </si>
  <si>
    <t>160/47 Bùi Đình Túy, Phường 12, Quận Bình Thạnh, TP HCM</t>
  </si>
  <si>
    <t>126/4/3 đường Tám Danh, Phường 4, Quận 8, TP.Hồ Chí Minh</t>
  </si>
  <si>
    <t xml:space="preserve">411 Trần Văn Giàu, Phường Bình Trị Đông B, Quận Bình Tân, TP.HCM </t>
  </si>
  <si>
    <t>Công Ty TNHH Peroma Việt Nam</t>
  </si>
  <si>
    <t>FSSC 22000:2018</t>
  </si>
  <si>
    <t>ISO 9001:2015
Halal</t>
  </si>
  <si>
    <t>Công Ty TNHH Tăng Minh Châu</t>
  </si>
  <si>
    <t>CN CTY CP TM Và Dịch Vụ Ngọc Hà Tại Bình Dương</t>
  </si>
  <si>
    <t>Halal
USDA-NOP Organic regulation</t>
  </si>
  <si>
    <t>CTY TNHH MTV Thanh Thanh Lâm</t>
  </si>
  <si>
    <t>CTY TNHH SX TM Dịch Vụ Việt Spice</t>
  </si>
  <si>
    <t>263 Trần Hưng Đạo, Tp. Quy Nhơn, Bình Định</t>
  </si>
  <si>
    <t>Công ty TNHH MTV Kim Khí Điện Máy Thu Thuỷ</t>
  </si>
  <si>
    <t>Ấp Tân Phú 2, Thị Xã Tân Thuận Bình, Huyện Chợ Gạo, Tỉnh Tiền 
Giang, Việt Nam</t>
  </si>
  <si>
    <t>CTY TNHH MTV CƠ KHÍ VINH KHOA</t>
  </si>
  <si>
    <t>844 Đại lộ bình dương, Thới hòa , Bến Cát Bình Dương</t>
  </si>
  <si>
    <t>CTY CP Đầu Tư Và Phát Triển Sunny VN</t>
  </si>
  <si>
    <t>Số 33 Khu Văn Phòng Hồng Hà,Ngõ 109, đường Trường Chinh, P. Phương Liệt, Q. Thanh Xuân TP. Hà Nội, VN</t>
  </si>
  <si>
    <t>CTY CP Bao Bì Công Nghệ Thuận Phát</t>
  </si>
  <si>
    <t>Thôn Kim Tháp, X. Nguyệt Đức, TX. Thuận Thành, T. Bắc Ninh, VN</t>
  </si>
  <si>
    <t>FSC, ISO9001</t>
  </si>
  <si>
    <t>Cụm Công Nghiệp Quất Động, huyện Thường Tín, TP. Hà Nội</t>
  </si>
  <si>
    <t>ISO9001</t>
  </si>
  <si>
    <t>Lô D1, KCN Tràng Duệ, P. Hồng Phong, Q. An Dương,TP. Hải Phòng, VN</t>
  </si>
  <si>
    <t>ISO9001, ISO14000</t>
  </si>
  <si>
    <t>Số 2 ngách 253/31 Định Công Thượng, Phường Định Công, Quận Hoàng Mai, Thành phố Hà Nội, Việt Nam</t>
  </si>
  <si>
    <t>Cty TNHH KSP VN - CN Hải Dương</t>
  </si>
  <si>
    <t>Lô 13.3 đường số 10 kcn Cẩm Điền - Lương Điền, Xã lương Điền, huyện Cẩm Giàng, tỉnh Hải Dương , Việt Nam</t>
  </si>
  <si>
    <t>ISO 9001</t>
  </si>
  <si>
    <t>CTY TNHH TM Vinova</t>
  </si>
  <si>
    <t>Số 81 khu B, khu biệt thự Mê Linh, P. Anh Dũng, Q. Dương Kinh, TP. Hải Phòng, VN</t>
  </si>
  <si>
    <t>CTY TNHH TM SX May Sen Vàng</t>
  </si>
  <si>
    <t>Công Ty Cổ Phần Hawee Năng Lượng</t>
  </si>
  <si>
    <t>Lô D2, khu đấu giá quyền sử dụng đất, P. Vạn Phúc, Q. Hà Đông, TP Hà Nội</t>
  </si>
  <si>
    <t>Tổng CTY CP Công Trình Viettel</t>
  </si>
  <si>
    <t>06 Phạm Văn Bạch, Yên Hòa, Cầu Giấy, Hà Nội</t>
  </si>
  <si>
    <t>SO 14001, ISO 45001, ISO 9001, ISO 20000, ISO 22301, ISO 27001</t>
  </si>
  <si>
    <t>Công ty TNHH Khoa học công nghệ Minh Việt</t>
  </si>
  <si>
    <t>Tầng 12, Tòa nhà Licogi 13, Số 164 Khuất Duy Tiến, Phường Nhân Chính, Quận Thanh Xuân, TP Hà Nội</t>
  </si>
  <si>
    <t>HTX Chế Biến Vôi Ngân Hồng</t>
  </si>
  <si>
    <t>Thôn Đình - xã Hương Vĩ- Huyện Yên Thế - Tỉnh Bắc Giang</t>
  </si>
  <si>
    <t>Sản xuất (Vôi)</t>
  </si>
  <si>
    <t>Công ty TNHH Tư vấn Công nghệ và Thiết bị Phan Lê</t>
  </si>
  <si>
    <t>Số 1, phố Trúc Khê, phường Láng Hạ, quận Đống Đa, Hà Nộ</t>
  </si>
  <si>
    <t>Dịch vụ ( Lắp đồng hồ đo lưu lượng nước)</t>
  </si>
  <si>
    <t>CÔNG TY TNHH HỢP TIẾN</t>
  </si>
  <si>
    <t>SỐ 3 NGHÁCH 128 NGÕ 43 ĐƯỜNG CỔ NHUẾ, PHƯỜNG CỔ NHUẾ 2, QUẬN BẮC TỪ LIÊM, TP HÀ NỘI</t>
  </si>
  <si>
    <t>Công ty Cổ Phần Xây Dựng ATK</t>
  </si>
  <si>
    <t>Số 14, Liền kề 2, Khu Đô thị Xa La,P. Phúc La, Q. Hà Đông, Hà Nội.</t>
  </si>
  <si>
    <t>ISO 9001:2015
 ISO 14001:2015</t>
  </si>
  <si>
    <t>ISO 14001:2015 
ISO 45001:2018
ISO 9001:2015 
ISO 20000-1:2018
 ISO 22301:2019
 ISO 27001: 2013</t>
  </si>
  <si>
    <t>Công Ty TNHH Môi Trường Sông Công</t>
  </si>
  <si>
    <t xml:space="preserve"> Công ty TNHH MT Tân Hưng Phát </t>
  </si>
  <si>
    <t>Công ty TNHH môi trường phú minh Vina</t>
  </si>
  <si>
    <t xml:space="preserve">Công ty TNHH Thương mại và Xây dựng An Sinh - NM Quảng Nam </t>
  </si>
  <si>
    <t xml:space="preserve">Công ty TNHH Đại Hòa </t>
  </si>
  <si>
    <t xml:space="preserve">Công ty Cổ phần Môi trường và Công trình Đô thị Huế </t>
  </si>
  <si>
    <t>Chất thải</t>
  </si>
  <si>
    <t>Thôn Tân Mỹ 2, Xã Tân Quang, TP. Sông Công, T. Thái Nguyên</t>
  </si>
  <si>
    <t>Khu nhà xưởng của Công ty TNHH bao bì Thái Hà Hưng, Phường Bạch Sam, Thị xã Mỹ Hào, Tỉnh Hưng Yên, Việt Nam</t>
  </si>
  <si>
    <t xml:space="preserve">Xã trạm thản, huyện phù ninh, tỉnh phú thọ </t>
  </si>
  <si>
    <t>Thôn Phú Hải, Xã Đại Hiệp, Huyện Đại Lộc, Tỉnh Quảng Nam</t>
  </si>
  <si>
    <t>Cụm công nghiệp Mỹ An, Xã Đại Quang, Huyện Đại Lộc, Tỉnh Quảng Nam, Việt Nam</t>
  </si>
  <si>
    <t xml:space="preserve">46 Trần Phú, Phường Phước Vĩnh, Thành phố Huế, Tỉnh Thừa Thiên Huế, Việt Nam </t>
  </si>
  <si>
    <t>Công Ty Cổ Phần Môi Trường Xanh VN</t>
  </si>
  <si>
    <t>Công Ty TNHH MTV Môi Trường Xanh Huê Phương VN</t>
  </si>
  <si>
    <t>Công Ty TNHH MT Nam Thái Dương</t>
  </si>
  <si>
    <t>Công Ty Cổ Phần Thương Mại Tài Tiến</t>
  </si>
  <si>
    <t>Công Ty CP Công Nghệ Môi Trường Trái Đất Xanh</t>
  </si>
  <si>
    <t>Công Ty Cổ Phần Môi Trường Tân Thiên Nhiên</t>
  </si>
  <si>
    <t>Công Ty Cổ Phần Môi Trường Việt Úc</t>
  </si>
  <si>
    <t>Công ty TNHH TM và MT Hậu Sanh</t>
  </si>
  <si>
    <t>Công Ty Cổ Phần Môi Trường Thiên Thanh - Chi nhánh Vĩnh Tân</t>
  </si>
  <si>
    <t xml:space="preserve">Công Ty TNHH MTV Liên Hợp Khoa Học - công nghệ - Môi trường Biwase </t>
  </si>
  <si>
    <t xml:space="preserve">Công Ty Cổ phần môi trường Thảo Dương Xanh  </t>
  </si>
  <si>
    <t>Công Ty TNHH Môi Trường Cao Gia Qúy</t>
  </si>
  <si>
    <t>Công Ty TNHH Thương Mại Dịch Vụ Xử Lý Môi Trường Khải Tiến Phát</t>
  </si>
  <si>
    <t xml:space="preserve">Công Ty TNHH Công Nghệ Sinh Học Sài Gòn Xanh </t>
  </si>
  <si>
    <t>Đường số 8, KCN Trảng Bàng, Phường An Tịnh, Thị Xã Tràng Bàng, Tỉnh Tây Ninh</t>
  </si>
  <si>
    <t>Tổ 5, Ấp Bến Rộng, Xã Thạnh Đức, Huyện Gò Dầu, Tỉnh Tây Ninh</t>
  </si>
  <si>
    <t>Ấp Tân Phước (thửa đất số 281, 328, 330; tờ bản đồ số 27, xã Tân Thanh, huyện Giống Trôm, Tỉnh Bến Tre, Việt Nam</t>
  </si>
  <si>
    <t xml:space="preserve">Ấp Nhân Hòa, Xã Tây Hòa, Huyện Trảng Bom, Tỉnh Đồng Nai </t>
  </si>
  <si>
    <t>Lô 04HG-1, Đường Dọc kênh Ranh, KCN Xuyên Á, Ấp Tràm Lạc, Xã Mỹ Hạnh Bắc, Huyện Đức Hòa, Tỉnh Long An</t>
  </si>
  <si>
    <t>Ấp 7, Xã Bàu Cạn, Huyện Long Thành, Tỉnh Đồng Nai</t>
  </si>
  <si>
    <t>TP. HCM</t>
  </si>
  <si>
    <t xml:space="preserve">B4-B21, B5-B20, Đường số 9 KCN Lê Minh Xuân, Bình Chánh, TP.HCM </t>
  </si>
  <si>
    <t>Số 05, Đường Bà Huyện Thanh Quan, Phường Hải Cảng, TP Quy Nhơn, Tỉnh Bình Định</t>
  </si>
  <si>
    <t>Tổ 1, ấp 2, Xã An Viễn, Huyện Trảng Bom, Tỉnh Đồng Nai</t>
  </si>
  <si>
    <t>Tổ 12, ấp 4, Xã Vĩnh Tân, Huyện Vĩnh Cửu, Tỉnh Đồng Nai</t>
  </si>
  <si>
    <t>Số 39, Tổ 8, Khu phố 1B, Phường Chánh Phú Hòa, Thành Phố Bến Cát, Tỉnh Bình Dương</t>
  </si>
  <si>
    <t xml:space="preserve">Xã Tân Quang, Huyện Hớn Quảng, Tỉnh Bình Phước </t>
  </si>
  <si>
    <t>Ấp Phước Tân, xã Tân Phước, Huyện Đồng Phú, Tỉnh Bình Phước</t>
  </si>
  <si>
    <t>Lô CN.2605, Khu kinh tế Cửa Khẩu Hoa Lư, Xã Lộc Thạnh, Huyện Lộc Ninh, Tỉnh Bình Phước</t>
  </si>
  <si>
    <t>Ấp 1, Khu Liên Hợp xử lý chất thải rắn và nghĩa trang Đa Phước, xã Đa Phước, huyện Bình Chánh, Thành phố Hồ Chí Minh</t>
  </si>
  <si>
    <t>Công ty TNHH Công Nghệ Tiềm Năng</t>
  </si>
  <si>
    <t>Kho : LÔ HT-F1-10 Đường số 19 KCN, Hiệp Phước, Nhà Bè, Hồ Chí Minh 70000, Việt Nam</t>
  </si>
  <si>
    <t>ISO 45001
 ISO 50001
FSC</t>
  </si>
  <si>
    <t xml:space="preserve">ISO 9001:2015
ISO 14001:2015
</t>
  </si>
  <si>
    <t>Số 38, Đại Lộ Độc Lập, Khu công nghiệp Việt Nam – Singapore,Thành phố Thuận An, Tỉnh Bình Dương, Việt Nam</t>
  </si>
  <si>
    <t>CTY CP Thuốc Thú Y Trung Ương Navetco</t>
  </si>
  <si>
    <t>Số 28, Đường Số 6,  KCN VSIP 1, Thành Phố Thuận An, tỉnh Bình Dương, Việt Nam.</t>
  </si>
  <si>
    <t>ISO 9001:2015
ISO 14001:2015
GMP</t>
  </si>
  <si>
    <t>Vũng tàu</t>
  </si>
  <si>
    <t xml:space="preserve"> FSSC 22000
HACCP&amp;GMP
 Halal</t>
  </si>
  <si>
    <t>289 Lũy Bán Bích, P Hiệp Tân, Q Tân Phú, Hồ Chí Minh
địa chỉ kho: số 2 đường số 14, Linh Trung, Thủ Đức, HCM</t>
  </si>
  <si>
    <t>Công Ty TNHH Một Thành Viên Da Va</t>
  </si>
  <si>
    <t>Số 155, Tân Cang, phường Phước Tân, thành Phố Biên Hòa, Đồng Nai</t>
  </si>
  <si>
    <t xml:space="preserve"> ISO 22000:2018
BRC
 HALAL</t>
  </si>
  <si>
    <t xml:space="preserve"> ISO 14001:2015 </t>
  </si>
  <si>
    <t>VP- Kho: 45-47 Đường số 2, KDC Cityland, Phường 10, Quận Gò Vấp, Tp. Hồ Chí Minh</t>
  </si>
  <si>
    <t xml:space="preserve">FSSC 22000
ISO 22000:2018 
HACCP </t>
  </si>
  <si>
    <t>Đắk Song</t>
  </si>
  <si>
    <t>Thôn 11, Xã Nâm N'Jang, Đắk Song, Đắk Nông (nhà máy tinh bột sắn Đắk Song)</t>
  </si>
  <si>
    <t xml:space="preserve"> FSSC 22000 
HACCP
Halal</t>
  </si>
  <si>
    <t>Re-audit 2024</t>
  </si>
  <si>
    <t>Công Ty TNHH Xăng Dầu Tú Thành</t>
  </si>
  <si>
    <t>Đắk lắk</t>
  </si>
  <si>
    <t>Thôn 7, Xã Ea Wer, Huyện Buôn Đôn,Tỉnh Đắk Lắk, Việt Nam</t>
  </si>
  <si>
    <t>Công Ty TNHH MTV Trí Tiên</t>
  </si>
  <si>
    <t>Thôn Làng Tu Củ, Xã Ia Lâu, Huyện Chư Prông, Tỉnh Gia Lai, Việt Nam</t>
  </si>
  <si>
    <t>Bình định</t>
  </si>
  <si>
    <t>CTY TNHH Cơ Khí Thu Sương</t>
  </si>
  <si>
    <t>1212 Võ Nguyên Giáp, Khu vực Trung Ái, P. Nhơn Hòa, TX. An Nhơn, T. Bình Định, VN</t>
  </si>
  <si>
    <t>Số 1216 Quốc Lộ 19, Thôn Ngọc Thạnh, Xã Nhơn Thọ, Thị xã An Nhơn, Tỉnh Bình Định, Việt Nam</t>
  </si>
  <si>
    <t>Re- audit 2023</t>
  </si>
  <si>
    <t>Khánh hòa</t>
  </si>
  <si>
    <t>CTY TNHH TM Dịch Vụ Và SX Diamond</t>
  </si>
  <si>
    <t>Ninh thuận</t>
  </si>
  <si>
    <t>Thôn Hòa Thạnh, Xã An Hải, Huyện Ninh Phước, Tỉnh Ninh Thuận, Việt Nam</t>
  </si>
  <si>
    <t>CTY TNHH Tam Hưng Long</t>
  </si>
  <si>
    <t>Số 52 Tân Hải, phường 13, quận Tân Bình, Tp.Hồ Chí Minh</t>
  </si>
  <si>
    <t>Xưởng: hẻm 178 đường Long Thuận, Phường Long Phước, Quận 9, Thành Phố Hồ Chí Minh.</t>
  </si>
  <si>
    <t>FSSC 22000 
ISO 22000:2018</t>
  </si>
  <si>
    <t>65/22/47 Đường số 5, P.Bình Hưng Hòa, Q.Bình Tân, Tp HCM</t>
  </si>
  <si>
    <t xml:space="preserve"> ISO 22000:2018
  HACCP
Halal</t>
  </si>
  <si>
    <t>CTY TNHH SX XNK Ngọc Gia Phát</t>
  </si>
  <si>
    <t>Lô R28A đường số 8, khu công nghiệp Hải Sơn mở rộng (GĐ 3+4), xã Đức Hòa Hạ, huyện Đức Hòa, tỉnh Long An</t>
  </si>
  <si>
    <t>Công ty Cổ Phần Đại Đồng Tiến</t>
  </si>
  <si>
    <t>Nhà máy SX: 948 Hương Lộ 2, P. Bình Trị Đông A, Q. Bình Tân, TP. Hồ Chí Minh</t>
  </si>
  <si>
    <t>CÔNG TY CỔ PHẦN NGUYÊN LIỆU THỰC PHẨM MONOVA</t>
  </si>
  <si>
    <t>Lô I/6, Đường số 4, Khu công nghiệp Vĩnh Lộc, Phường Bình Hưng Hòa B, Quận Bình Tân, TP Hồ Chí Minh</t>
  </si>
  <si>
    <t xml:space="preserve"> FSSC 22000</t>
  </si>
  <si>
    <t>CHI NHÁNH CÔNG TY TNHH SẢN XUẤT-THƯƠNG MẠI PHÚC HẢO</t>
  </si>
  <si>
    <t>347 Hồ văn Thắng, Ấp Cây Da, X.Tân Phú Trung, H.Củ Chi, TPHCM</t>
  </si>
  <si>
    <t xml:space="preserve">FSC
 HACCP </t>
  </si>
  <si>
    <t xml:space="preserve"> ISO 9001:2015</t>
  </si>
  <si>
    <t>CÔNG TY TNHH PHÁT TRIỂN NÔNG NGHIỆP VIỆT NAM</t>
  </si>
  <si>
    <t>B8-9 Nguyễn Ảnh Thủ, P. Tân Chánh Hiệp, Quận 12, TP. HCM</t>
  </si>
  <si>
    <t>Công ty Cổ Phần Dịch Vụ Nhà Sạch</t>
  </si>
  <si>
    <t>39 Hải Thượng Lãn Ông, Phường 10, Quận 5, TP. Hồ Chí Minh</t>
  </si>
  <si>
    <t>CÔNG TY TNHH THƯƠNG MẠI DỊCH VỤ KỸ THUẬT ĐIỆN TAM PHÁT</t>
  </si>
  <si>
    <t>76/42 Đường Số 59, Phường 14, Quận Gò Vấp, Thành Phố Hồ Chí Minh</t>
  </si>
  <si>
    <t>CÔNG TY TNHH Cơ Khí Thực Phẩm TÂN THỊNH</t>
  </si>
  <si>
    <t>vp: 100 ĐƯỜNG 225B, Phường Tân Phú, Tp. Thủ Đức, Tp.HCM. Xưởng: Bình nhâm 19, Thuận An, Bình Dương</t>
  </si>
  <si>
    <t>CÔNG TY TNHH KỸ THUẬT MKE</t>
  </si>
  <si>
    <t>49 đường ĐHT06, phường Tân Hưng Thuận, Quận 12, Thành phố Hồ Chí Minh</t>
  </si>
  <si>
    <t>CÔNG TY TNHH MỘT THÀNH VIÊN THÚ Y HẢI VÂN</t>
  </si>
  <si>
    <t>Số 9 Khu Phố Hưng Phước, Phường Hưng Định, Thành Phố Thuận An, Tỉnh Bình Dương, Việt Nam</t>
  </si>
  <si>
    <t>CÔNG TY CỔ PHẦN M&amp;E TKP</t>
  </si>
  <si>
    <t>201 Đường III, Khu dân cư Khang Điền, Phường Phước Long B, Thành phố Thủ Đức, Thành phố Hồ Chí Minh.</t>
  </si>
  <si>
    <t>CÔNG TY CỔ PHẦN KỸ THUẬT MÔI TRƯỜNG VIỆT AN</t>
  </si>
  <si>
    <t>4E Đường số 6, Khu phố 4, Phường An Phú, Thành phố Thủ Đức, Thành phố Hồ Chí Minh</t>
  </si>
  <si>
    <t>Công ty TNHH Thương Mại Dịch Vụ Âu Việt Phát</t>
  </si>
  <si>
    <t>B11A/5 ấp 2, Xã Vĩnh Lộc B, Huyện Bình Chánh, Thành phố Hồ Chí Minh, Việt Nam</t>
  </si>
  <si>
    <t>Công ty TNHH TMDV KĐ</t>
  </si>
  <si>
    <t>976/1 Trần hưng Đạo , P.7 , Q.5 , TP.HCM</t>
  </si>
  <si>
    <t>Công Ty Cổ Phần Thú Y Amavac</t>
  </si>
  <si>
    <t xml:space="preserve"> VPGD: Lô CN 06-08, KCN Ninh Hiệp - Xã Ninh Hiệp - Huyện Gia Lâm - TP Hà Nội</t>
  </si>
  <si>
    <t>Công Ty Cổ Phần Vật Tư Khoa Học Biomedic</t>
  </si>
  <si>
    <t>Unit 6E, Khu RBF Cao Tầng, Số 2,  Đường BH5, VSIP Bắc Ninh, Phường Phù Chẩn, Thành phố Từ Sơn, Tỉnh Bắc Ninh</t>
  </si>
  <si>
    <t>ISO 13485:2017
ISO 13485:2016
ISO 9001:2015</t>
  </si>
  <si>
    <t>Công Ty TNHH Air Liquide Việt Nam</t>
  </si>
  <si>
    <t>Hồ Chí Minh</t>
  </si>
  <si>
    <t>Lô số I-2A, Khu công nghệ cao Thành phố Hồ Chí Minh, Phường Tân Phú, Thành phố Thủ Đức, Thành phố Hồ Chí Minh, Việt Nam</t>
  </si>
  <si>
    <t>SO 9001:2015
ISO 14001:2015</t>
  </si>
  <si>
    <t>CTY TNHH Phát Triển TM và Dược Phẩm Hoàn Kiếm</t>
  </si>
  <si>
    <t>Quầy 320, TT thuốc Hapulico, số 85 Vũ Trọng Phụng, Thanh Xuân, Hà Nội</t>
  </si>
  <si>
    <t>Công Ty TNHH Sam Việt Nam</t>
  </si>
  <si>
    <t>Tổ 1, Phường Phúc Lợi, Quận Long Biên, Thành Phố Hà Nội, Việt Nam</t>
  </si>
  <si>
    <t>CTY CP TM VÀ ĐẦU TƯ NÔNG NGHIỆP THỦ ĐÔ</t>
  </si>
  <si>
    <t>ISO9001:2015</t>
  </si>
  <si>
    <t>Cụm Tiểu Thủ Công Nghiệp Kim Bình, X. Kim Bình, TP. Phủ Lý, Hà Nam</t>
  </si>
  <si>
    <t>CTY TNHH Hùng Đồng</t>
  </si>
  <si>
    <t>Thôn Trung Hải, X. Thiên Lộc, H. Can Lộc, T. Hà Tĩnh, VN</t>
  </si>
  <si>
    <t>Công Ty TNHH Phát Triển Đầu Tư Gia Khang</t>
  </si>
  <si>
    <t>Thôn Bắc Hòa, Xã Ngư Thủy Bắc, Huyện Lệ Thủy, Tỉnh Quảng Bình, Việt Nam</t>
  </si>
  <si>
    <t>CTY TNHH Trường Thọ QB</t>
  </si>
  <si>
    <t>Thôn 1 Thanh Tân, X.Thanh Thủy, H. Lệ Thủy, T. Quảng Bình, Việt Nam</t>
  </si>
  <si>
    <t xml:space="preserve"> Quảng Trị</t>
  </si>
  <si>
    <t>Khu Đô Thị Võ Thị Sáu, KP. 4, P. 3, TX. Quảng Trị,T. Quảng Trị</t>
  </si>
  <si>
    <t>69 Lê Duẫn, P. 1, Thị Xã Quảng Trị, Tỉnh Quảng trị</t>
  </si>
  <si>
    <t>CTY TNHH TM Dược Phẩm - Thiết Bị Y Tế Thanh Minh</t>
  </si>
  <si>
    <t>Thừa Thiên Huế</t>
  </si>
  <si>
    <t>27 Thạch Hãn, P. Thuận Hòa, TP. Huế, T. Thừa Thiên Huế, VN</t>
  </si>
  <si>
    <t>Nhà số 4 đường số 6, Cụm Công Nghiệp An Hòa, Phường An Hòa, Thành phố Huế, Tỉnh Thừa Thiên Huế, Việt Nam</t>
  </si>
  <si>
    <t>239 Phan Đăng Lưu, Phường Khuê Trung, Quận Cẩm Lệ, Thành phố Đà Nẵng, Việt Nam</t>
  </si>
  <si>
    <t>CTY TNHH Đầu Tư Phát Triển Quốc Tế Sơn Hà</t>
  </si>
  <si>
    <t>Núi Mâm Xôi - Thanh Sơn - Kim Bảng - Hà Nam</t>
  </si>
  <si>
    <t>CTY CP SX Kinh Doanh Bao Bì Việt Hưng</t>
  </si>
  <si>
    <t>Lô 23, KCN Quảng Phú,  P. Quảng Phú,TP. Quảng Ngãi,T. Quảng Ngãi, VN</t>
  </si>
  <si>
    <t>VP: Số 3 Kiệt 25 Ông Ích Khiêm, P. Thuận Hòa, TP Huế, T. Thừa Thiên Huế
Kho: Lô 01 khu quy hoạch hương an, phường hương an, TP Huế</t>
  </si>
  <si>
    <t>Thôn Xuân Tam Mỹ ,xã Triệu Trung ,huyện  Triệu Phong ,Tỉnh Quảng Trị</t>
  </si>
  <si>
    <t>Thôn Phương Lang-X.Hải Ba-H. Hải Lăng,T.Quãng Trị</t>
  </si>
  <si>
    <t>HTX Nông Sản Công Nghệ Cao Đông Sang</t>
  </si>
  <si>
    <t>Số nhà 24, tiểu khu Bản Mòn, tt Mộc Châu, Mộc Châu, Sơn La
Xưởng: Cụm CN Ngọc Sơn, TDP Tràng An, Thị Trấn Chúc Sơn, Chương Mỹ, Hà Nội</t>
  </si>
  <si>
    <t>CN Công ty TNHH TMTH Xăng dầu Việt Trung tại Quảng Trị</t>
  </si>
  <si>
    <t>Đường Lê Duẫn, Thị trấn Hồ Xá, huyện Vĩnh Linh, tỉnh Quảng Trị</t>
  </si>
  <si>
    <t>Công ty TNHH MTV Lê Điền Group</t>
  </si>
  <si>
    <t>30 Lê Hồng Phong, Phường Phú Nhuận, Quận Thuận Hoá, thành 
phố Huế, Việt Nam</t>
  </si>
  <si>
    <t>Dự án (Hệ thống PCCC)</t>
  </si>
  <si>
    <t>Công ty Trách nhiệm hữu hạn Norita</t>
  </si>
  <si>
    <t xml:space="preserve">Vật tư tổng hợp </t>
  </si>
  <si>
    <t>Thôn Đồng Bào, xã Quảng Vinh, huyện Quảng Điền, Tp.Huế</t>
  </si>
  <si>
    <t>Thương mại có kho (Hàng bảo trì)</t>
  </si>
  <si>
    <t>Công ty TNHH MTV PCCC Phú Xuân</t>
  </si>
  <si>
    <t xml:space="preserve">Dịch vụ </t>
  </si>
  <si>
    <t>Số 1252 Nguyễn Tất Thành, phường Phú Bài, thị xã Hương Thủy, Thành Phố Huế</t>
  </si>
  <si>
    <t>Công ty TNHH Sản xuất và Thương mại MC Việt Nam</t>
  </si>
  <si>
    <t>D39-BT6, ô số 6, khu đô thị mới hai bên đường Lê Trọng Tấn, 
Phường Dương Nội, Quận Hà Đông, TP Hà Nội, Việt Nam</t>
  </si>
  <si>
    <t>Công Ty TNHH Lê Xuân</t>
  </si>
  <si>
    <t>LÔ CN 09-3 CỤM CÔNG NGHIỆP NINH HIỆP, XÃ NINH HUYỆP, 
HUYỆN GIA LÂM, TP HÀ NỘI</t>
  </si>
  <si>
    <t>Thương mại có kho  (Xe nâng)</t>
  </si>
  <si>
    <t>Công ty TNHH Hodan Việt Nam</t>
  </si>
  <si>
    <t>Số 62, Đường Hồ Tùng Mậu, Phường Phú Diễn, Quận Bắc Từ Liêm, 
TP Hà Nội</t>
  </si>
  <si>
    <t>Sản xuất  (Bàn Nâng Xe Tải)</t>
  </si>
  <si>
    <t>CÔNG TY CỔ PHẦN HIỆU CHUẨN ISOCAL</t>
  </si>
  <si>
    <t>Thôn Đoài, Xã Hoàn Sơn, Huyện Tiên Du, Tỉnh Bắc Ninh, Việt Nam</t>
  </si>
  <si>
    <t>Thương mại không kho (Hiệu chuẩn thiết bị)</t>
  </si>
  <si>
    <t>CÔNG TY CỔ PHẦN CƠ NHIỆT VIỆT NAM</t>
  </si>
  <si>
    <t>P2202, tòa nhà Eurowindow, số 27 Trần Duy Hưng, Phường Trung 
Hòa, Quận Cầu Giấy, Hà nội</t>
  </si>
  <si>
    <t>CỔNG TY CỔ PHẦN KỸ THUẬT NĂNG LƯỢNG VIỆT</t>
  </si>
  <si>
    <t>52 Tôn Thất Thuyết, phường Khuê Trung, quận Cẩm Lệ, TP Đà Nẵng</t>
  </si>
  <si>
    <t>Dự án  (Hàng bảo trì)</t>
  </si>
  <si>
    <t>Công ty cổ phần Sky Link</t>
  </si>
  <si>
    <t>Lô C5, khu Đồng Dưa, phường Hà Cầu, quận Hà Đông, thành phố Hà 
Nội, Việt Nam</t>
  </si>
  <si>
    <t>CÔNG TY TNHH THƯƠNG MẠI PHƯỚC TRƯỜNG AN</t>
  </si>
  <si>
    <t>Dịch vụ (Quảng cáo)</t>
  </si>
  <si>
    <t>Tầng 2, tòa Vinaconex 7, số 61 phố Nguyễn Văn Giáp, P Cầu Diễn, Q 
Nam Từ Liêm, TP Hà Nội.</t>
  </si>
  <si>
    <t>CÔNG TY TNHH KỸ THUẬT IKYO VIỆT NAM</t>
  </si>
  <si>
    <t>Dịch vụ ( Gia công máy đo độ cứng, phân loại mẫu,…)</t>
  </si>
  <si>
    <t>Số 118 phố Dương Quảng Hàm, Phường Quan Hoa, Quận Cầu Giấy, Thành phố Hà Nội, Việt Nam</t>
  </si>
  <si>
    <t>Công ty cổ phần nhà khung thép và Thiết bị công nghiệp ( Seico)</t>
  </si>
  <si>
    <t>Địa điểm văn phòng chính: Tầng 4, tòa nhà Vimeco CT4, Nguyễn Chánh, Trung Hòa, Cầu Giấy,Hà Nội</t>
  </si>
  <si>
    <t>Công ty cổ phần kỹ thuật và công nghệ TKD</t>
  </si>
  <si>
    <t>Tầng 5, Tòa B Chung cư Imperia Garden, số 203 Nguyễn Huy Tưởng, Phường Thanh Xuân Trung, Quận Thanh Xuân, Thành phố Hà Nội</t>
  </si>
  <si>
    <t>ETEK Automation Solutions</t>
  </si>
  <si>
    <t>số 189 Phan Trọng Tuệ, Thanh Liệt, Thanh Trì, Hà Nội</t>
  </si>
  <si>
    <t>Công ty TNHHH Fisa Việt Nam</t>
  </si>
  <si>
    <t>C - TT7-1 khu nhà ở Him Lam, Vạn Phúc, Hà Đông</t>
  </si>
  <si>
    <t>1 years</t>
  </si>
  <si>
    <t>Kho xưởng số 6, Cụm 1, Nhóm CN 1, KCN Tân Bình, Phường Sơn kỳ, quận Tân Phú, TP.HCM</t>
  </si>
  <si>
    <t>3.0</t>
  </si>
  <si>
    <t>Công Ty TNHH Itochu Việt Nam</t>
  </si>
  <si>
    <t>Nhà máy sản xuất - Công ty TNHH Bao Bì Nhựa Tân Đạt Việt: Số 121 quốc lộ 1K, Linh Xuân, Thủ Đức, TP. HCM</t>
  </si>
  <si>
    <t>CTY TNHH IMCD VN</t>
  </si>
  <si>
    <t>Kho Transimex quận 9</t>
  </si>
  <si>
    <t>98.4</t>
  </si>
  <si>
    <t>96.1%</t>
  </si>
  <si>
    <t>Kho: Số 106 Đường N1 , KDC Đông An, Phường Tân Đông Hiệp, Thành Phố Dĩ An, Tỉnh Bình Dương, Việt Nam.</t>
  </si>
  <si>
    <t>90.9%</t>
  </si>
  <si>
    <t>CTY TNHH Dầu Thực Vật Vạn Phát Long An</t>
  </si>
  <si>
    <t>Xưởng: Lô I 13A, Đường số 4, KCN Hải Sơn (GĐ 3+4), Bình Tiền 2, Đức Hòa Hạ, Đức Hòa, Long An</t>
  </si>
  <si>
    <t>96.6%</t>
  </si>
  <si>
    <t>CTY TNHH MTV Vôi Càng Long</t>
  </si>
  <si>
    <t>2/27 đường  QL 1A, KP. 3,P. Hiệp Bình Phước, TP. Thủ Đức,TP. HCM, VN</t>
  </si>
  <si>
    <t>95.5 %</t>
  </si>
  <si>
    <t>CTY TNHH TM - SX Phúc Minh Thành</t>
  </si>
  <si>
    <t>Kho: Số 301 Quốc Lộ 1A, Khu Phố 4, Thủ Đức, Hồ Chí Minh, Việt Nam</t>
  </si>
  <si>
    <t>84.8%</t>
  </si>
  <si>
    <t>CN CTY TNHH TM Anh Linh</t>
  </si>
  <si>
    <t>98.2%</t>
  </si>
  <si>
    <t>Kho: 75  Hoàng Ngân, Phường 16,Quận 8,TP. Hồ Chí Minh, Việt Nam</t>
  </si>
  <si>
    <t>82.6%</t>
  </si>
  <si>
    <t>Xưởng: Số 31, đường số 8, KCN Việt Nam -Singapore Thuận An, Bình Dương</t>
  </si>
  <si>
    <t xml:space="preserve">Kho: 4/5B KP.Bình Đức 2, P.Bình Hoà, TP.Thuận An, T.Bình Dương </t>
  </si>
  <si>
    <t>Xưởng_Số 10/366, đường 904, phường Hiệp Phú, Quận 9, TP.HCM</t>
  </si>
  <si>
    <t>Xưởng: A3, Lô I-10-2, đường D2, Khu công nghệ cao, P. Long Thạnh Mỹ, TP. Thủ Đức, TP.HCM</t>
  </si>
  <si>
    <t>Xưởng: Ấp 4, Xã Long Cang, H. Cần Đước,T. Long  An, Việt Nam</t>
  </si>
  <si>
    <t>Xưởng_Số 49, Vsip, Đường Số 8, KCN Việt Nam-Singapore, Tx.Thuận An, Bình Dương</t>
  </si>
  <si>
    <t>CTY TNHH Cơ Điện Lạnh Phúc An Khang</t>
  </si>
  <si>
    <t xml:space="preserve">Thửa đất số 55,tờ bản đồ số 51,đường Nguyễn Văn Trung, Khu phố 1, Phường 
Phú Khương, TP,Bến Tre, tỉnh Bến Tre, Việt Nam 
</t>
  </si>
  <si>
    <t>CTY TNHH TM Và Dịch Vụ C &amp; L</t>
  </si>
  <si>
    <t>KFC(2), 08/04/2025</t>
  </si>
  <si>
    <t>ISO FSSC 22000:2018</t>
  </si>
  <si>
    <t>Re-audit 2023</t>
  </si>
  <si>
    <t xml:space="preserve"> BRC
</t>
  </si>
  <si>
    <t>HALAL</t>
  </si>
  <si>
    <t xml:space="preserve"> ISO 22000:2018
FSSC
HALAL</t>
  </si>
  <si>
    <t>ISO 22000:2018
Halal</t>
  </si>
  <si>
    <t xml:space="preserve">FSC </t>
  </si>
  <si>
    <t>ISO 9001
 ISO 14001</t>
  </si>
  <si>
    <t>FSSC 22000
ISO 14001:2015
Halal</t>
  </si>
  <si>
    <t xml:space="preserve">HACCP </t>
  </si>
  <si>
    <t>CÔNG TY TNHH THƯƠNG MẠI DỊCH VỤ THIẾT BỊ CÔNG NGHIỆP NGỌC PHƯƠNG</t>
  </si>
  <si>
    <t>CÔNG TY TNHH KỸ THUẬT SDC</t>
  </si>
  <si>
    <t>Công ty TNHH TM Hồ Nam</t>
  </si>
  <si>
    <t>CÔNG TY TNHH CÔNG NGHỆ KỸ THUẬT CATEK</t>
  </si>
  <si>
    <t>Công ty Cổ Phần MLS</t>
  </si>
  <si>
    <t>Công Ty Cổ Phần Du Lịch Và Tiếp Thị Giao Thông Vận Tải Việt Nam_x0002_VIETRAVEL</t>
  </si>
  <si>
    <t>Số 122/14, Đường Ống Nước Thô D1800mm, Khu Phố Tân Hòa, Phường Đông Hòa, Thành phố Dĩ An, Tỉnh Bình Dương</t>
  </si>
  <si>
    <t>Tầng 5, Tòa nhà Songdo, 62A Phạm Ngọc Thạch, Phường Võ Thị Sáu, Quận 3, Thành phố Hồ Chí Minh, Việt Nam</t>
  </si>
  <si>
    <t>169 Đường số 11, P. Bình Hưng Hoà, Quận Bình Tân, TPHCM</t>
  </si>
  <si>
    <t>34 Trần Lựu, Phường An Phú, Thành phố Thủ Đức, Thành phố Hồ Chí Minh, Việt Nam</t>
  </si>
  <si>
    <t>72, phố Đặng Thai Mai, phường Liêm Chính, tp. Phủ Lý, tỉnh Hà Nam</t>
  </si>
  <si>
    <t>190 pasteur, Phường Võ Thị Sáu, Quận 03, Tp.HCM</t>
  </si>
  <si>
    <t>Waste</t>
  </si>
  <si>
    <t>Công ty TNHH thực phẩm Bành Trình 1</t>
  </si>
  <si>
    <t>Công ty TNHH thực phẩm Bành Trình 2</t>
  </si>
  <si>
    <t>Công Ty TNHH Quang Quân</t>
  </si>
  <si>
    <t xml:space="preserve">KCN Đồng Văn II, Duy Minh, Duy Tiên, Hà nam </t>
  </si>
  <si>
    <t>Tốt</t>
  </si>
  <si>
    <t>Công Ty Cổ Phần Thương Mại MMS</t>
  </si>
  <si>
    <t>240-242 Phạm Văn Đồng, TP. Thủ Đức, TP. HCM</t>
  </si>
  <si>
    <t xml:space="preserve">Tốt </t>
  </si>
  <si>
    <t>Công Ty CP Hạnh Minh Khôi</t>
  </si>
  <si>
    <t>Lô đất 3G-10 Đường số 14, KCN Long Hậu 3, Ấp 3, Xã Long Hậu, Huyện Cần Giuộc, Tỉnh Long An, Việt Nam.</t>
  </si>
  <si>
    <t>Công Ty CP Hạnh Minh Thi-Long An</t>
  </si>
  <si>
    <t>ISO 9001:2015
FSC COC</t>
  </si>
  <si>
    <t>Công Ty TNHH Hóa Chất Thành Phương</t>
  </si>
  <si>
    <t>Chemical</t>
  </si>
  <si>
    <t>Kho: Lô D8-D9, đường số 8, cụm công nghiệp Hải Sơn Đức Hoà Đông, xã Đức Hoà Đông, huyện Đức Hoà, tỉnh Long An.</t>
  </si>
  <si>
    <t>Công Ty TNHH Công Nghệ Môi Trường Tái Tạo</t>
  </si>
  <si>
    <t>Công Ty Cổ Phần Tép Bạc</t>
  </si>
  <si>
    <t>Trung Tâm Nghiên Cứu và Ứng Dụng Khoa Học Công Nghệ</t>
  </si>
  <si>
    <t>Công Ty CP Cơ Bản Toàn Cầu</t>
  </si>
  <si>
    <t>Công Ty TNHH Kỹ Thuật Space</t>
  </si>
  <si>
    <t>VPGD, KHO: Biệt thự TT2 -5 , Khu Đô Thị Đại Kim, Quận Hoàng Mai, Hà Nội</t>
  </si>
  <si>
    <t>ISO 9001:2015
ISO 14001: 2015
ISO 22000: 2018</t>
  </si>
  <si>
    <t>Công ty TNHH Công Nghiệp Phú Thái</t>
  </si>
  <si>
    <t>KM23, Pho Noi A Industrial Park Trưng Trắc, Văn Lâm, Hưng Yên, Việt Nam</t>
  </si>
  <si>
    <t>Khu CN Phố Nối A, Xã Lạc Đạo, Huyện Văn Lâm,Tỉnh Hưng Yên</t>
  </si>
  <si>
    <t xml:space="preserve">KCN Duyên Thái, Thường Tín, Hà Nội </t>
  </si>
  <si>
    <t>Khu công nghiệp 72ha, TT.Quốc Oai, H.Quốc Oai, TP.Hà Nội</t>
  </si>
  <si>
    <t>ISO 22000:2018
FSSC 22000
HACCP</t>
  </si>
  <si>
    <t xml:space="preserve">Số 8, Đường Tân Thới Nhất 8, Phường Tân Thới Nhất, Quận 12, Thành Phố Hồ Chí Minh, Việt Nam. </t>
  </si>
  <si>
    <t>CÔNG TY TNHH TMDV NGUYỄN QUỐC DŨNG</t>
  </si>
  <si>
    <t>Công Ty TNHH TM-DV ĐIỆN TỰ ĐỘNG PHONG NIÊN</t>
  </si>
  <si>
    <t>CÔNG TY TNHH XUẤT NHẬP KHẨU ĐỨC XUÂN LỘC</t>
  </si>
  <si>
    <t>TRUNG TÂM KIỂM ĐỊNH HIỆU CHUẨN ĐO LƯỜNG MIỀN NAM</t>
  </si>
  <si>
    <t>Công Ty TNHH Sản Xuất Dịch Vụ Thương Mại Môi Trường Xanh.</t>
  </si>
  <si>
    <t>Lô 15, KCN Nam Sách, TP.Hải Dương.</t>
  </si>
  <si>
    <t>Công Ty TNHH Môi Trường- Nông Nghiệp An Phát.</t>
  </si>
  <si>
    <t>Thôn An Hội Nam 2, Xã Nghĩa Kỳ, Huyện Tư Nghĩa, T.Quảng Ngãi.</t>
  </si>
  <si>
    <t>CTY CP Công Nghiêp PSI VN</t>
  </si>
  <si>
    <t>P.901, CT8A, The Spark, P.Dương Nội, Q.Hà Đông, HN</t>
  </si>
  <si>
    <t>CTY TNHH Thiết Bị Và Công Nghệ ENVI</t>
  </si>
  <si>
    <t>Số 89 ngõ 117 phố Thái Hà,P.Trung Liệt,Q. Đống Đa,TP. Hà Nội</t>
  </si>
  <si>
    <t>CTY TNHH Tư Vấn Xây Dựng VNT VN</t>
  </si>
  <si>
    <t>Số 285A Ngô Gia Tự, Phường Đức Giang,Quận Long Biên,TP. Hà Nội, Việt Nam</t>
  </si>
  <si>
    <t>Công ty TNHH Thương Mại - Dịch vụ sản xuất Huy Bảo</t>
  </si>
  <si>
    <t>Hộ Kinh Doanh Nguyễn Thị Nga</t>
  </si>
  <si>
    <t>Công ty Cổ Phần Môi Trường Miền Đông</t>
  </si>
  <si>
    <t>Công ty Cổ Phần Kho Vận Giao Nhận Ngoại Thương Mộc An Châu</t>
  </si>
  <si>
    <t>Công ty TNHH Thương Mại Trang Trại Việt</t>
  </si>
  <si>
    <t>Ấp Sông Xoài 1, Xã Sông Hoài, Thành phố Phú Mỹ, Tỉnh Bà Rịa - Vũng Tàu</t>
  </si>
  <si>
    <t>Bà Rịa - Vũng Tàu</t>
  </si>
  <si>
    <t>Ấp Vườn Ươm - Xã Tân Định - Bắc Tân Uyên - Tỉnh Bình Dương</t>
  </si>
  <si>
    <t>Ấp Cần Lên, xã lộc thịnh, huyện lộc ninh, tỉnh Bình Phước</t>
  </si>
  <si>
    <t>Khu liên hợp xử lý chất thải Đa Phước, Huyện Bình Chánh, TP. HCM</t>
  </si>
  <si>
    <t>Tổ 10, Ấp Gia Hòa, Xã Xuân Trường, Huyện Xuân Lộc, Tỉnh Đồng Nai</t>
  </si>
  <si>
    <t>Kho: Số 18, Đường Số 2, Khu Công Nghiệp Sóng Thần, Dĩ An, Bình Dương</t>
  </si>
  <si>
    <t>Kho: Lô 22, Đường số 7, KCN Tân Tạo, Q. Bình Tân, TP.HCM</t>
  </si>
  <si>
    <t>Bình phước</t>
  </si>
  <si>
    <t>Tổ 2, Ấp Sóc Ruộng II, Xã Tân Quan, Huyện Hớn Quản, Tỉnh Bình Phước, Việt Nam</t>
  </si>
  <si>
    <t>Tây ninh</t>
  </si>
  <si>
    <t>ISO 22000:2018
HACCP 
 HALAL</t>
  </si>
  <si>
    <t>CÔNG TY TNHH MISUMI VIỆT NAM - CHI NHÁNH THÀNH PHỐ HỒ CHÍ MINH</t>
  </si>
  <si>
    <t>Công Ty CP Công Nghệ Môi Trường Phúc Nguyên</t>
  </si>
  <si>
    <t>Kho: Số 9/3C, Đường Dương Công Khi, Xã Xuân Thới Thượng, Huyện Hóc Môn, Thành Phố Hồ Chí Minh, Việt Nam.</t>
  </si>
  <si>
    <t>ISO 9001:2015
FSC</t>
  </si>
  <si>
    <t>Công Ty TNHH MTV Thương Mại và Dịch Vụ Hương Cường Gia Lai</t>
  </si>
  <si>
    <t>Công Ty Cổ Phần Chemizol</t>
  </si>
  <si>
    <t>Công Ty TNHH Kỹ Thuật - Xây Dựng - Cơ Điện Thái Bình Dương</t>
  </si>
  <si>
    <t>CTY CP Xuất Nhập Khẩu Đại Cát Lợi</t>
  </si>
  <si>
    <t xml:space="preserve">Lô D1, Cụm công nghiệp Nhị Xuân, Hóc Môn, TP.HCM
</t>
  </si>
  <si>
    <t>Số 255 Thạnh Lộc 19, P.Thạnh Lộc, Quận 12, TP.HCM.</t>
  </si>
  <si>
    <t>CTY TNHH MTV SX TM Bảo Nguyên</t>
  </si>
  <si>
    <t>Xưởng: Số 84/11A Đường Tân Thới Nhất 5, Phường Tân Thới Nhất , Quận 12,TP. Hồ Chí Minh</t>
  </si>
  <si>
    <t>CTY TNHH Thiết Kế Quảng Cáo Lộc Phát Lộc</t>
  </si>
  <si>
    <t>51/4 Ông Ích Khiêm, Phường 10, Quận 11,Thành Phố Hồ Chí Minh 
710/53/14 Luỹ Bán Bích, P. Tân Thành, Q. Tân Phú, HCM</t>
  </si>
  <si>
    <t>CTY TNHH TM Dịch Vụ Xuất Nhập Khẩu Năng Lượng Nam Phát</t>
  </si>
  <si>
    <t>Công Ty TNHH Hải Nam Tài</t>
  </si>
  <si>
    <t>Kho - Công ty Cổ Phần Chuỗi Cung Ứng Lạnh Unicold:  Lô J4, Đại lộ Thống Nhất, KCN Sóng Thần II, Tp Dĩ An, Bình Dương.</t>
  </si>
  <si>
    <t>Công ty CP Công nghệ môi trường Phúc Nguyên</t>
  </si>
  <si>
    <t>CÔNG TY TNHH MỘT THÀNH VIÊN THƯƠNG MẠI VÀ DICH VỤ HƯƠNG CƯỜNG GIA LAI</t>
  </si>
  <si>
    <t>Công ty Cổ phần Chemizol</t>
  </si>
  <si>
    <t>Công ty TNHH kỹ thuật - xây dựng - cơ điện Thái Bình Dương</t>
  </si>
  <si>
    <t>Công Ty Cổ Phần Cơ Khí Xây Dựng Biển Việt</t>
  </si>
  <si>
    <t>Số nhà 22, ngõ 39, đường Tây Tựu, Phường Thượng Cát, Quận Bắc Từ Liêm, Thành phố Hà Nội</t>
  </si>
  <si>
    <t>Đường Lê Quang Đạo, Q. Nam Từ Liêm, TP. Hà Nội, VN</t>
  </si>
  <si>
    <t>Công Ty TNHH TM và DV In Bình Minh</t>
  </si>
  <si>
    <t>Cụm CN ô tô 1-5 Nguyên Khê, H. Đông Anh, TP. Hà Nội</t>
  </si>
  <si>
    <t>Công Ty Cổ Phần XNK Nông Sản Bắc Hà</t>
  </si>
  <si>
    <t>X. Trưng Trắc, H. Văn Lâm, T. Hưng Yên, VN</t>
  </si>
  <si>
    <t>Công ty TNHH Phát triển Deli Việt Nam</t>
  </si>
  <si>
    <t>Số 147 Hoàng Quốc Việt, Phường Nghĩa Đô, Quận Cầu Giấy, Thành 
phố Hà Nội, Việt Nam</t>
  </si>
  <si>
    <t>Công ty TNHH Camic Việt Nam</t>
  </si>
  <si>
    <t>Văn phòng: Lk8-15 KĐT Văn Phú, Hà Đông, Hà Nội</t>
  </si>
  <si>
    <t>Số 7 Ngách 72/123 ,Phố Quan Nhân, P.Trung Hòa, Q.Cầu Giấy, TP. Hà Nội, Việt Nam
Xưởng: KCN Thanh Oai, H. Thanh Oai, Hà Nội</t>
  </si>
  <si>
    <t>Công Ty TNHH Bao Bì Hoàng Thịnh</t>
  </si>
  <si>
    <t>CTY TNHH Thương Mại Dịch Vụ Tín Mỹ An</t>
  </si>
  <si>
    <t>Kho Vimedimex:: 36/212B Đ. Số 12, Trường Thọ, Thủ Đức, Thành phố Hồ Chí Minh</t>
  </si>
  <si>
    <t>Công Ty TNHH Phương Yến</t>
  </si>
  <si>
    <t>KCN Thái Hòa, Đức Hòa 3, ấp Tân Hòa, Xã Đức Lập Hạ, huyện Đức Hòa, tỉnh Long An</t>
  </si>
  <si>
    <t xml:space="preserve">FSSC 22000 </t>
  </si>
  <si>
    <t xml:space="preserve">ISO 9001:2015
FSC </t>
  </si>
  <si>
    <t>CTY Cổ Phần BMP Group</t>
  </si>
  <si>
    <t>CÔNG TY TNHH MỘT THÀNH VIÊN ĐỒNG TIẾN</t>
  </si>
  <si>
    <t>Chi Nhánh 1-CTY TNHH MTV TRÍ TIÊN</t>
  </si>
  <si>
    <t>CÔNG TY TNHH KENGTA TECHNOLOGIES</t>
  </si>
  <si>
    <t>CÔNG TY TNHH KOEI VIET NAM</t>
  </si>
  <si>
    <t>Công ty TNHH Numeco</t>
  </si>
  <si>
    <t>Số 6, Ngõ 289, Đường Hoàng Mai, Phường Tương Mai, TP. Hà Nội, VN</t>
  </si>
  <si>
    <t>CÔNG TY CỔ PHẦN TƯ VẤN VÀ CHỨNG NHẬN QUỐC TẾ ISOCUS</t>
  </si>
  <si>
    <t>Số 42, ngõ 61/17 Phùng Chí Kiên, phường Nghĩa Đô, thành phố Hà Nội, Việt Nam</t>
  </si>
  <si>
    <t>Dự án (tư vấn, chứng nhận)</t>
  </si>
  <si>
    <t>Công Ty TNHH Minh Cao</t>
  </si>
  <si>
    <t>CTY TNHH TM Và Xuất Nhập Khẩu Hào Tuấn</t>
  </si>
  <si>
    <t>CTY TNHH Bao Bì Công Nghiệp Hưng Thịnh</t>
  </si>
  <si>
    <t>Kho - 458/49 KP.2, Huỳnh Tấn Phát,P. Bình Thuận, Quận 7,TP. HCM</t>
  </si>
  <si>
    <t>Kho: 15/20 đường bình chuẩn 17, khu phố Bình Phú, Phường Bình Chuẩn, Thành phố thuận an , tỉnh Bình Dương</t>
  </si>
  <si>
    <t>CTY CP Thiết Bị Công Nghiệp Thuận Thành</t>
  </si>
  <si>
    <t>Số 98, đường 14, Phường 8, Gò Vấp, TP.HCM
199 Tân Quý, Phường Tân Quý,Quận Tân Phú,TP. Hồ Chí Minh, Việt Nam</t>
  </si>
  <si>
    <t>CTY TNHH TM Hóa Chất Con Đường Mới</t>
  </si>
  <si>
    <t>CTY CP Xây Dựng Và Đầu Tư Phú Sĩ</t>
  </si>
  <si>
    <t>CTY TNHH TM Công Nghệ Nông Nghiệp Profarm</t>
  </si>
  <si>
    <t>Số P39 Đường Belice Khu Park Riverside , Phường Phú Hữu, Thành Phố Thủ Đức, Thành phố Hồ Chí Minh, Việt Nam</t>
  </si>
  <si>
    <t>Lô EB9, Đường 19A, KCN Hiệp Phước, H. Nhà Bè, TP. HCM
Khu công nghiệp vừa và nhỏ Từ Liêm, phường Minh Khai, Nam Từ Liêm, Hà Nội (kho)</t>
  </si>
  <si>
    <t>CTY CP Dược Phẩm Omega Pharma</t>
  </si>
  <si>
    <t>CÔNG TY TNHH SẢN XUẤT THƯƠNG MẠI DỊCH VỤ KỸ THUẬT ĐẠI HỒNG PHÁT</t>
  </si>
  <si>
    <t>Công ty TNHH Công Nghệ Dịch Vụ Kỹ Thuật 5S</t>
  </si>
  <si>
    <t>CÔNG TY TNHH CƠ KHÍ TÂN TÂN NGUYÊN VIỆT NAM</t>
  </si>
  <si>
    <t>Chi nhánh 1 - Công Ty TNHH Một Thành Viên Trí Tiên</t>
  </si>
  <si>
    <t>CÔNG TY TNHH THƯƠNG MẠI DỊCH VỤ KỸ THUẬT BIA</t>
  </si>
  <si>
    <t>CÔNG TY TNHH CÔNG NGHỆ B&amp;V VIỆT NAM</t>
  </si>
  <si>
    <t>CÔNG TY CỔ PHẦN HÓA CHẤT DOANH TÍN</t>
  </si>
  <si>
    <t>CÔNG TY TNHH SẢN XUẤT VÀ DỊCH VỤ THỦY SẢN NAM PHÚ HƯNG</t>
  </si>
  <si>
    <t>Công ty TNHH giải pháp công nghệ Khánh Đan</t>
  </si>
  <si>
    <t>Công ty TNHH XNK Thương Mại Và Dịch Vụ Đại Dương</t>
  </si>
  <si>
    <t>CÔNG TY TNHH EULSUNG AUTO PACK VIỆT NAM</t>
  </si>
  <si>
    <t>Kho: Số 2/169 Phố Đồng Niên, phường Việt Hoà, thành phố Hải Phòng, Việt Nam
VP: Lô 94.7 đường Trường Chinh, phường Tứ Minh, thành phố Hải Phòng, Việt Nam</t>
  </si>
  <si>
    <t>CTY TNHH TM Và Xây Dựng Ngọc Minh</t>
  </si>
  <si>
    <t>ISO 13485:2016</t>
  </si>
  <si>
    <t>CTY TNHH Thiết Bị Công Nghiệp Hà Mạnh Chiến</t>
  </si>
  <si>
    <t>CTY TNHH TM Và Dịch Vụ Gia Nguyễn Khoa</t>
  </si>
  <si>
    <t xml:space="preserve">Xưởng: Khu phố Lộc Thành , Phường Lộc Hưng, Xã An Tịnh , Tinh Tây Ninh </t>
  </si>
  <si>
    <t>Halal</t>
  </si>
  <si>
    <t>HACCP &amp; GMP</t>
  </si>
  <si>
    <t>CTY CP TM Dịch Vụ Hóa Chất 3A</t>
  </si>
  <si>
    <t xml:space="preserve">1246/23 Lê Văn Lương, xã Nhà Bè, TP.HCM </t>
  </si>
  <si>
    <t>Công ty TNHH MTV Đào Huy Hoàng</t>
  </si>
  <si>
    <t>Ấp Bầu Sình, Xã Suối Cao, Xuân Lộc, Đồng Nai.</t>
  </si>
  <si>
    <t>CTY TNHH Khoa Học Công Nghệ Tích Hợp Vạn Nam</t>
  </si>
  <si>
    <t>CTY TNHH MSD Animal Health VN</t>
  </si>
  <si>
    <t>CTY TNHH Cơ Khí Chính Xác Công Anh Phát</t>
  </si>
  <si>
    <t>Nguyễn Khắc Hiếu, Tam Phước, Biên Hòa, Đồng Nai, Việt Nam.</t>
  </si>
  <si>
    <t>Công Ty TNHH Xăng Dầu Vĩnh Phú</t>
  </si>
  <si>
    <t>Số 1Bis Đường 16A, KCN Biên Hòa 2, Phường An Bình, Thành phố Biên Hoà, Tỉnh Đồng Nai, Việt Nam</t>
  </si>
  <si>
    <t>Công Ty Cổ Phần Volga VN</t>
  </si>
  <si>
    <t>E8-1, Đường D7, KCN Lê Minh Xuân 3, Xã Lê Minh Xuân, Huyện Bình Chánh, TP.HCM.</t>
  </si>
  <si>
    <t>Công Ty TNHH Kỹ Thuật Novatech</t>
  </si>
  <si>
    <t>83/119/6/11/1 Liên Khu 4-5, Phường Bình Hưng Hòa B, Quận Bình Tân, TP. Hồ Chí Minh.</t>
  </si>
  <si>
    <t>CÔNG TY CỔ PHẦN GIẢI PHÁP ĐIỀU KHIỂN VIỆT</t>
  </si>
  <si>
    <t>Công ty cổ phần thiết bị công nghệ Nam Phong</t>
  </si>
  <si>
    <t>Công ty TNHH Công Nghệ Môi Trường Nông Lâm</t>
  </si>
  <si>
    <t>CÔNG TY TNHH THƯƠNG MẠI VÀ DỊCH VỤ CÁI MÉP</t>
  </si>
  <si>
    <t>CÔNG TY CP THIẾT BỊ CÔNG NGHIỆP GPS</t>
  </si>
  <si>
    <t>Chi Nhánh Công ty cổ phần Công Nghệ Sinh Học R.E.P</t>
  </si>
  <si>
    <t>Công ty Cổ phần UV</t>
  </si>
  <si>
    <t>Công ty TNHH Môi Trường Ngôi Sao Xanh</t>
  </si>
  <si>
    <t>Thôn Đồng Sài, X. Phù Lăng , T.Bắc Ninh</t>
  </si>
  <si>
    <t>CTY CP Xuất Nhập Khẩu Hóa Chất Và Thiết Bị Kim Ngưu</t>
  </si>
  <si>
    <t>Số 85, phố Đức Giang, phường Việt Hưng, thành phố Hà Nội, Việt Nam
Factory:  Đường 196, Thôn Hoàng Nha, Minh Hải, Văn Lâm, Tỉnh Hưng Yên</t>
  </si>
  <si>
    <t>CTY TNHH Xây Dựng Và Thương Mại Dịch Vụ Kỹ Thuật Chiến Thủy</t>
  </si>
  <si>
    <t>Tổ 1, thôn Tân Bình, xã Xuân Mai, thành phố Hà Nội</t>
  </si>
  <si>
    <t>CTY CP SX - TM Cơ Khí - Nhựa Trường Thành</t>
  </si>
  <si>
    <t>Thôn Tiên Trượng, Xã Xuân Mai, thành phố Hà Nội, Việt Nam</t>
  </si>
  <si>
    <t>CTY TNHH Đầu Tư Dầu Khí Tùng Lâm</t>
  </si>
  <si>
    <t>CTY TNHH Chất Đốt Và Môi Trường Bảo Linh</t>
  </si>
  <si>
    <t>Thôn Tràng Kỹ, xã Mao Điền, TP. Hải Phòng, Việt Nam</t>
  </si>
  <si>
    <t>CTY CP SX Và TM 3TK</t>
  </si>
  <si>
    <t>Số nhà 22 Ngõ 181 Trường Chinh, Phường Phương Liệt, TP Hà Nội</t>
  </si>
  <si>
    <t>CTY CP Thuốc Thú Y Nguyên Anh</t>
  </si>
  <si>
    <t>C61-48 KĐT Geleximco, P. Dương Nội, TP. Hà Nội, Việt Nam</t>
  </si>
  <si>
    <t>CÔNG TY TNHH XÂY DỰNG VÀ CƠ ĐIỆN BÌNH PHÁT</t>
  </si>
  <si>
    <t>TT7 A9 Khu đô thị mới Đại Kim - Phường Định Công, TP HN</t>
  </si>
  <si>
    <t>Dự án (Sơn silo)</t>
  </si>
  <si>
    <t>Công Ty Cổ Phần Sản Xuất &amp; Dịch Vụ Cơ Khí An Phúc Thịnh</t>
  </si>
  <si>
    <t>Thôn Cao Sơn, Phường Chương Mỹ, Thành Phố Hà Nội</t>
  </si>
  <si>
    <t>Công ty Cổ phần thiết kế kiến trúc Hưng Thịnh</t>
  </si>
  <si>
    <t>Số 5LK4A Khu TĐC, KĐT Mỗ Lao, Phường Hà Đông, TP Hà Nội, Việt 
Nam</t>
  </si>
  <si>
    <t>Dự án (Thiết kế)</t>
  </si>
  <si>
    <t>Công ty cổ phần Thiên Thành Kim</t>
  </si>
  <si>
    <t>Số 6/73 Đinh Tiên Hoàng, Phường Hồng Bàng, TP Hải Phòng</t>
  </si>
  <si>
    <t>Công ty Trách nhiệm hữu hạn Kỹ thuật thương mại Trường An</t>
  </si>
  <si>
    <t>Số nhà 73, đường Phạm Hùng, phường Lê Thanh Nghị, Thành Phố Hải Phòng, Việt Nam</t>
  </si>
  <si>
    <t>CÔNG TY CỔ PHẦN CÔNG NGHIỆP SUMITECH</t>
  </si>
  <si>
    <t>Tầng 4, Tòa nhà UDIC Riverside 1, số 122 phố Vĩnh Tuy, phường Vĩnh Hưng, thành phố Hà Nội</t>
  </si>
  <si>
    <t>Dự án (Hệ thống thông gió)</t>
  </si>
  <si>
    <t>CÔNG TY CỔ PHẦN CÔNG NGHỆ MÔI TRƯỜNG NATURAL VIỆT 
NAM</t>
  </si>
  <si>
    <t>Số 20, ngõ 13, đường 800a, phường Nghĩa Đô, TP. Hà Nội</t>
  </si>
  <si>
    <t>Dự án (Hệ thống xử lý nước thải)</t>
  </si>
  <si>
    <t>Công ty Cổ phần Green Việt</t>
  </si>
  <si>
    <t>Tổ 4, Phường Hà nam, Tỉnh Ninh Bình, Việt Nam</t>
  </si>
  <si>
    <t>Dự án (Đánh giá tác động môi trường)</t>
  </si>
  <si>
    <t>Công Ty Cổ Phần Công Nghiệp TCI</t>
  </si>
  <si>
    <t>Km 16+800, Quốc lộ 3, Cụm Công nghiệp ô tô Nguyên Khê, Xã Phúc Thịnh, Thành phố Hà Nội, Việt Nam</t>
  </si>
  <si>
    <t>CÔNG TY CỔ PHẦN DU LỊCH VIETRAVEL - CHI NHÁNH HÀ NỘI</t>
  </si>
  <si>
    <t>Số 03 phố Hai Bà Trưng, phường Cửa Nam, Hà Nội</t>
  </si>
  <si>
    <t>Công Ty TNHH MTV Thương Mại Và Dịch Vụ Tiến Minh</t>
  </si>
  <si>
    <t>Số 37 Ngô Bệ, Phường Tân Hưng, TP Hải Phòng, Việt Nam</t>
  </si>
  <si>
    <t>Thương mại có kho (Xăng dầu)</t>
  </si>
  <si>
    <t>Công ty TNHH DVBV Hồng Dương Thịnh Vượng</t>
  </si>
  <si>
    <t>Số 46, TTXL 4, Tổ 15, Đường Cầu Diễn, P. Xuân Phương, TP Hà Nội</t>
  </si>
  <si>
    <t>Dịch vụ bảo vệ</t>
  </si>
  <si>
    <t>Viện Y học lao động và Công nghệ môi trường</t>
  </si>
  <si>
    <t>Số 13, BT4-3, khu nhà ở Trung Văn, đường Trung Văn, Phường Đại Mỗ, Thành phố Hà Nội, Việt Nam</t>
  </si>
  <si>
    <t>Dự án (Dịch vụ Quan trắc môi trường. Lập báo cáo vận hành thử nghiệm công trình bảo vệ môi trường)</t>
  </si>
  <si>
    <t>Công ty TNHH ARK Việt Nam</t>
  </si>
  <si>
    <t>Lô FJ-11 và một phần lô FJ-12, KCN Song Khê - Nội Hoàng (phía Nam), phường Tiền Phong, tỉnh Bắc Ninh, Việt Nam</t>
  </si>
  <si>
    <t>Công ty Cổ phần cơ nhiệt điện GTEC Hà Nội</t>
  </si>
  <si>
    <t>Thôn Tự Khoát, xã Thanh Trì, Thành phố Hà Nội, Việt Nam</t>
  </si>
  <si>
    <t>Công Ty TNHH Elanco Việt Nam</t>
  </si>
  <si>
    <t>Lô J2 Đường số 8, KCN Sóng Thần, Dĩ An, Bình Dương</t>
  </si>
  <si>
    <t>CTY TNHH Đầu Tư Và TM Lê Huy</t>
  </si>
  <si>
    <t xml:space="preserve">GMP
ISO 9001:2015 </t>
  </si>
  <si>
    <t>CTY TNHH Khoa Học Kỹ Thuật Đức Dương</t>
  </si>
  <si>
    <t>Văn phòng_Kho: Số 1014/67 Đ. Tân Kỳ Tân Quý, Kp. 14, P. Bình hưng hòa, Q. Bình tân, Tp. Hồ Chí Minh</t>
  </si>
  <si>
    <t>CTY TNHH Thiết Bị Tự Động Sài Gòn</t>
  </si>
  <si>
    <t>61/78 đường 59, phường 14 , Gò Vấp, TP.HCM</t>
  </si>
  <si>
    <t>CTY CP Xây Dựng Công Nghệ Sumimoto</t>
  </si>
  <si>
    <t>ISO 9001:2015
 FSC</t>
  </si>
  <si>
    <t>CTY TNHH TM Và Kỹ Thuật Quốc Việt</t>
  </si>
  <si>
    <t xml:space="preserve">74a, Tân Lập 1, Tăng Nhơn Phú, TP.HCM </t>
  </si>
  <si>
    <t>CTY TNHH Công Nghiệp BMA VN</t>
  </si>
  <si>
    <t>59/66 Võ Thị Thừa, Phường An Phú Đông, Quận 12, Thành phố Hồ Chí Minh, Việt Nam</t>
  </si>
  <si>
    <t>Công Ty TNHH Ceva Animal Health Việt Nam</t>
  </si>
  <si>
    <t>CTY TNHH Cung Cấp Nước Hồng Khoa</t>
  </si>
  <si>
    <t>Công Ty TNHH Sáu Ngôi Sao Việt Nam</t>
  </si>
  <si>
    <t>Xác nhận địa chỉ Kho Đồng Nai</t>
  </si>
  <si>
    <t>CTY TNHH TM Dịch Vụ Phú Thịnh Lộc</t>
  </si>
  <si>
    <t>25A7 khu phố 11, Phường Tân Triều, Tỉnh Đồng Nai, Việt Nam</t>
  </si>
  <si>
    <t>CTY CP TM Xuất Nhập Khẩu Doanh Trí</t>
  </si>
  <si>
    <t>Số 158/38/15 Đường Phạm Văn Chiêu, Phường 9, Quận Gò Vấp, Vietnam</t>
  </si>
  <si>
    <t>CTY TNHH Kỹ Thuật Và TM Phước Toàn</t>
  </si>
  <si>
    <t>Kho_ Số 131/4 Mã Lò, Phường Bình Trị Đông, Thành phố Hồ Chí Minh, Việt Nam</t>
  </si>
  <si>
    <t>Công Ty CP Air Filtech</t>
  </si>
  <si>
    <t>340 Trường Chinh, P.Tân Hưng Thuận, Q.12  Vietnam</t>
  </si>
  <si>
    <t>CTY TNHH TM Dịch Vụ Song Nhật</t>
  </si>
  <si>
    <t>Số 350/33/10/42 Quốc Lộ 1, Phường An Phú Đông, Thành phố Hồ Chí Minh, Việt Nam.</t>
  </si>
  <si>
    <t>CTY CP Giải Pháp Công Nghiệp Á Châu</t>
  </si>
  <si>
    <t>Lô A11, KDC Thái An, 1/45 Nguyễn Văn Quá, P.Đông Hưng Thuận, Q.12, Vietnam</t>
  </si>
  <si>
    <t>CTY TNHH Thiết Bị Khoa Học Kỹ Thuật Thái Bình Dương</t>
  </si>
  <si>
    <t>Kho: A4- A15, Lô A, đường N5B, KCN Lê Minh Xuân 3, Xã Lê Minh Xuân, Huyện Bình Chánh, Tp. Hồ Chí Minh</t>
  </si>
  <si>
    <t>CTY TNHH MTV Muối Tân Thành</t>
  </si>
  <si>
    <t>Số A6/12K, Đường C17, Ấp 19, Xã Tân Nhựt , Thành Phố Hồ Chí Minh Việt Nam.</t>
  </si>
  <si>
    <t xml:space="preserve">Halal
</t>
  </si>
  <si>
    <t>CÔNG TY TNHH THUỐC THÚ Y Á CHÂU</t>
  </si>
  <si>
    <t>CÔNG TY TNHH THÀNH ĐẠT NINH THUẬN</t>
  </si>
  <si>
    <t>CÔNG TY CP NỒI HƠI SÀI GÒN</t>
  </si>
  <si>
    <t>CTY TNHH MTV Mayekawa VN</t>
  </si>
  <si>
    <t>Kho: Lô F, Đường số 6, Khu công nghiệp Sóng Thần 2, Phường Dĩ An, TP Hồ Chí Minh, Việt Nam</t>
  </si>
  <si>
    <t>CTY TNHH MTV SX TM Dịch Vụ Quảng Cáo Tân Á</t>
  </si>
  <si>
    <t>Công Ty TNHH Khử Trùng Xanh</t>
  </si>
  <si>
    <t>L18-11-13, tầng 18, tòa nhà Vincom Center Đồng Khởi, 72 Lê Thánh Tôn, Phường Bến Nghé, Quận 1, TP.HCM.</t>
  </si>
  <si>
    <t>Công Ty TNHH Minh Phát Huy</t>
  </si>
  <si>
    <t>Xưởng: 283, Tổ 3, Ấp Tân Lập, Biên Hòa, Đồng Nai</t>
  </si>
  <si>
    <t>Kho - Số 48 ấp 113, Xã Đông Thạnh, Thành Phố Hồ Chí Minh, Việt Nam.</t>
  </si>
  <si>
    <t>3  years</t>
  </si>
  <si>
    <t>CTY TNHH Công Nghệ Thực Phẩm Định Hướng Mới</t>
  </si>
  <si>
    <t>Số 49, đường N2, KDC Bình Nguyên, KP Bình Thắng, P. Bình An, Dĩ An, Bình Dương</t>
  </si>
  <si>
    <t>CTY TNHH R&amp;B Food Supply VN- CN Long An</t>
  </si>
  <si>
    <t>Nhà xưởng B2-4a, Khu nhà xưởng xây sẵn Lô B, KCN Long Hậu, X. Long Hậu, Vietnam</t>
  </si>
  <si>
    <t xml:space="preserve"> BRC 
 HACCP </t>
  </si>
  <si>
    <t>Công Ty TNHH Công Nghệ Nano Hợp Nhất Apa</t>
  </si>
  <si>
    <t>Xưởng - Lô C 2-4, KCN Vĩnh Lộc 2, Đường Voi Lá 3, Ấp Voi Lá, Xã Mỹ Yên, tỉnh Tây Ninh, Long An</t>
  </si>
  <si>
    <t>ISO/IEC 17025:2017
ISO 14001:2015</t>
  </si>
  <si>
    <t>CTY TNHH Kỹ Thuật Dầu Nhờn Long Thành</t>
  </si>
  <si>
    <t>34 Đường S5, Phường Tây Thạnh, Quận Tân Phú, Việt Nam</t>
  </si>
  <si>
    <t>CÔNG TY TNHH HỒNG ĐỨC</t>
  </si>
  <si>
    <t>CÔNG TY TNHH MTV KỸ THUẬT CÔNG NGHỆ TM DV PHẠM THANH</t>
  </si>
  <si>
    <t>CÔNG TY TNHH TƯ VẤN QUẢN LÝ TÀI NGUYÊN VÀ MÔI TRƯỜNG SVN</t>
  </si>
  <si>
    <t>CTY TNHH SX Và TM Quân Việt</t>
  </si>
  <si>
    <t>Lô số 4, cụm công nghiệp Lai Xá, xã Hoài Đức, thành phố Hà Nội</t>
  </si>
  <si>
    <t>Lô Số 28 KCN Quang Minh, Xã. Quang Minh, TP. Hà Nội, VN</t>
  </si>
  <si>
    <t>Trạm Chiết Nạp Oxy Việt An</t>
  </si>
  <si>
    <t xml:space="preserve">Số 326A, AASp Taan Tạo, Thị Trấn Châu Hưng, Vĩnh Lợi, Bạc Liêu 
</t>
  </si>
  <si>
    <t>CTY TNHH King Group</t>
  </si>
  <si>
    <t>Hậu giang</t>
  </si>
  <si>
    <t>CTY TNHH MTV SX Máy Cơ Khí Nông Nghiệp Tây Đô</t>
  </si>
  <si>
    <t>Đồng tháp</t>
  </si>
  <si>
    <t>Quốc Lộ 30, Ấp Bắc Trang 1, Xã Tân Công Chí, Huyện Tân Hồng, Tỉnh Đồng Tháp.</t>
  </si>
  <si>
    <t>CTY CP SX Và TM Dịch Vụ TKD</t>
  </si>
  <si>
    <t>Số 97 Đinh Nhu - Phường An Biên - TP. Hải Phòng</t>
  </si>
  <si>
    <t>Số 78 Phố Cự Lộc, Thượng Đình, Thanh Xuân, Hà Nội
Kho: Thôn Ninh Hạ, xã Hoàng Hoa Thám, tỉnh Hưng Yên</t>
  </si>
  <si>
    <t>xưởng: 'Đường Đinh Công Tráng, Thị trấn Kiện Khê, Thanh Liêm, Hà Nam</t>
  </si>
  <si>
    <t>Lô CN1 KCN vừa và nhỏ Nguyên Khê, X.Phúc Thịnh, TP.Hà Nội, VN</t>
  </si>
  <si>
    <t>Công ty TNHH in Nhật Hàn</t>
  </si>
  <si>
    <t>Lô 38, KCN Quang Minh, Xã Quang Minh, Thành Phố Hà Nội</t>
  </si>
  <si>
    <t>CHI NHÁNH CÔNG TY TNHH UNI-PRESIDENT VIỆT NAM TẠI QUẢNG NAM</t>
  </si>
  <si>
    <t>Lô số 14, KCN Điện Nam - Điện Ngọc, Phường Điện Bàn Đông, TP. Đà Nẵng, Việt Nam</t>
  </si>
  <si>
    <t>Moderate</t>
  </si>
  <si>
    <t>Công ty TNHH đầu tư và xây dựng An Phú Cường</t>
  </si>
  <si>
    <t>TDP Ngô Gia Khảm, phường Châu Sơn, tỉnh Ninh Bình</t>
  </si>
  <si>
    <t>Excellent</t>
  </si>
  <si>
    <t>CÔNG TY TNHH VIỆT BUN</t>
  </si>
  <si>
    <t>Số 666 Đường Nguyễn Công Trứ, Phường Nam Hoa Lư, Tỉnh Ninh Bình, Việt Nam</t>
  </si>
  <si>
    <t>Good</t>
  </si>
  <si>
    <t>CÔNG TY TNHH ĐẬU THẮM</t>
  </si>
  <si>
    <t>Sơn La</t>
  </si>
  <si>
    <t>Số nhà 383, Đường Chu văn Thịnh, tổ 12, Phường Tô Hiệu, Tỉnh Sơn La, Việt Nam</t>
  </si>
  <si>
    <t>Số 37 Ngô Bệ, P. Tân Hưng, TP Hải Phòng, VN</t>
  </si>
  <si>
    <t>DNTN XĂNG DẦU HOÈ THANH</t>
  </si>
  <si>
    <t>Khối Kim Tân, Phường Thái Hoà, Tỉnh Nghệ An, Việt Nam</t>
  </si>
  <si>
    <t>CÔNG TY CỔ PHẦN LILAMA 3</t>
  </si>
  <si>
    <t>Số 86, đường Tân Xuân, Phường Đông Ngạc, Thành phố Hà Nội, Việt Nam</t>
  </si>
  <si>
    <t>Phòng 202, tầng 2, Số 152 đường Lê Duẩn, phường Văn Miếu- Quốc Tử Giám, TP Hà Nội.</t>
  </si>
  <si>
    <t>CTY TNHH Xây Dựng Và TM HC Sông Hồng</t>
  </si>
  <si>
    <t>U3 - L94 Khu đô thị Đô Nghĩa, Yên Nghĩa, Hà Đông, Hà Nội, Việt Nam</t>
  </si>
  <si>
    <t>CTY TNHH Cây Xanh Công Trình</t>
  </si>
  <si>
    <t>Thôn Đông Lã Điền, xã Nam Điền, Huyện Nam Trực, Tỉnh Nam Định, Việt Nam</t>
  </si>
  <si>
    <t>Sản xuất (Cây trồng)</t>
  </si>
  <si>
    <t>CTY TNHH Dịch Vụ Và TM Thịnh Phát</t>
  </si>
  <si>
    <t>Khu 2, TT. Lai Cách, H. Cẩm Giàng,T. Hải Dương, VN</t>
  </si>
  <si>
    <t>Thương mại có kho (Bình khí)</t>
  </si>
  <si>
    <t>Công ty Cổ Phần XNK Nông Sản Bắc Hà</t>
  </si>
  <si>
    <t>Thôn Ngãi Cầu, Xã An Khánh, Huyện Hoài Đức, TP Hà Nội</t>
  </si>
  <si>
    <t>Công ty cổ phần Avet Việt Nam</t>
  </si>
  <si>
    <t>Biệt thự M07-02, Khu A, Khu đô thị mới Dương Nội, Phường La Khê, Quận Hà Đông, Thành phố Hà Nội, Việt Nam</t>
  </si>
  <si>
    <t>40 Xô Viết Nghệ Tĩnh, Phường Hòa Cường Nam, Quận Hải Châu, TP. Đà Nẵng</t>
  </si>
  <si>
    <t>Thương mại có kho (Dây curoa)</t>
  </si>
  <si>
    <t>CTY TNHH Xây Dựng Và TM Dịch Vụ Bình Minh</t>
  </si>
  <si>
    <t>05 Hàm Nghi, tt Kiến Ging, Lệ Thuỷ, Quảng Bình</t>
  </si>
  <si>
    <t>Dự án (dịch vụ sạc hộp mực in)</t>
  </si>
  <si>
    <t>Công ty TNHH AUE Việt Nam</t>
  </si>
  <si>
    <t>Lô A4-13 Nguyễn Sinh Sắc, Phường Hòa Minh, Quận Liên Chiểu, TP Đà Nẵng</t>
  </si>
  <si>
    <t>Thương mại có kho (Bộ lập trình</t>
  </si>
  <si>
    <t>Tổ Dân Phố Trường Thọ Tây A, Phường Trương Quang Trọng, Thành Phố Quảng Ngãi</t>
  </si>
  <si>
    <t>Thương mại không kho (Nước thạch bích)</t>
  </si>
  <si>
    <t>CTY TNHH Giải Pháp Chất Lượng VQB</t>
  </si>
  <si>
    <t>Dịch vụ ( dự án, cho thuê đất/trại/ cửa hàng, lấy mẫu kiểm dịch, bảo vệ...)</t>
  </si>
  <si>
    <t>Thôn 1 Thanh Long, TT. Quy Đạt, H. Minh Hóa, T. Quảng Bình</t>
  </si>
  <si>
    <t>Dự án (dịch vụ đánh giá chứng nhận)</t>
  </si>
  <si>
    <t>CTY CP Cơ Khí Và Kỹ Thuật Điện Việt Long Sơn</t>
  </si>
  <si>
    <t>số 125 đường Tố Hữu phường Hòa Cường Nam quận Hải Châu thành phố Đà Nẵng</t>
  </si>
  <si>
    <t>Dự án (Dịch vụ sửa chữa HT bơm cứu hỏa)</t>
  </si>
  <si>
    <t>CTY TNHH TM Tổng Hợp Tiến Mạnh</t>
  </si>
  <si>
    <t>Thôn 2 Thanh Mỹ, X. Thanh Thủy,H. Lệ Thủy,T. Quảng Bình, VN</t>
  </si>
  <si>
    <t>Thương mại có kho (Nồi áp suất điện)</t>
  </si>
  <si>
    <t>CTY CP Đầu Tư Du Lịch Hùng Cường</t>
  </si>
  <si>
    <t>Thôn Trung Đàn, Xã Tam Đại, huyện Phú Ninh, tỉnh Quảng Nam</t>
  </si>
  <si>
    <t>Sản xuất (Nước uống đóng chai Phú Ninh)</t>
  </si>
  <si>
    <t>Công ty TNHH Quảng Cáo Sơn Minh</t>
  </si>
  <si>
    <t>01 Lê Đình Dương, Phường Tân Thạnh, Thành phố Tam Kỳ, Tỉnh Quảng Nam</t>
  </si>
  <si>
    <t>Thương mại có kho (Khung sắt, banner,…)</t>
  </si>
  <si>
    <t>CTY TNHH Xây Dựng Lê Tuân</t>
  </si>
  <si>
    <t>4/12/16 đoàn hữu trưng, Phường Phước Vĩnh, quận Thuận Hoá, Thành phố Huế</t>
  </si>
  <si>
    <t>Dự án (Thiết kế thẩm duyệt dự án PCCC)</t>
  </si>
  <si>
    <t>2 Cẩm Bắc 6, Hòa Thọ Đông, Cẩm Lệ, TP Đà Nẵng</t>
  </si>
  <si>
    <t>Sản xuất (Bảo dưỡng máy lạnh, decal, ba0nner,…</t>
  </si>
  <si>
    <t>CTY CP Cơ Điện Và Phòng Cháy Chữa Cháy Sao Việt</t>
  </si>
  <si>
    <t>280B Điện Biên Phủ, phường Chính Gián, quận Thanh Khê, TP Đà Nẵng</t>
  </si>
  <si>
    <t>Dự án (Bảo dưỡng bình chữa cháy)</t>
  </si>
  <si>
    <t>CTY TNHH Công Nghệ Đăng Dương VN</t>
  </si>
  <si>
    <t>Xóm 2, thôn La Tinh, Xã Đông La, Huyện Hoài Đức, Thành phố Hà Nội, Việt Nam</t>
  </si>
  <si>
    <t>Thương mại có kho (Tủ lạnh, máy giặt,…)</t>
  </si>
  <si>
    <t>Lô A4-5 Nguyễn Sinh Sắc, Phường Hoà Minh, Quận Liên Chiểu, Thành phố Đà Nẵng, Việt Nam</t>
  </si>
  <si>
    <t>Thương mại không kho (Thiết bị máy móc</t>
  </si>
  <si>
    <t>CN CTY TNHH MTV Thái Thịnh Nam Miền Trung</t>
  </si>
  <si>
    <t>477 Nguyễn Hữu Thọ- TP Đà Nẵng</t>
  </si>
  <si>
    <t>Thương mại không kho (Vỏ xe, bình ắc quy)</t>
  </si>
  <si>
    <t>CTY CP Công Nghiệp Lạnh Nam Phú Thái</t>
  </si>
  <si>
    <t>Tầng 8, số 131 Trần Phú, Hà Đông, Hà Nội</t>
  </si>
  <si>
    <t>Dự án ( Vệ sinh bảo dưỡng kho lạnh)</t>
  </si>
  <si>
    <t>134 Phạm Văn Đồng, Phường Xuân Đỉnh, quận Bắc Từ Liêm, Hà Nội</t>
  </si>
  <si>
    <t>Công Ty Cổ Phần Tư Vấn Và Xây Dựng 81</t>
  </si>
  <si>
    <t>40/13 Kiệt 88 Nguyễn Khoa Chiêm, An Tây, Huế, Thành phố Huế</t>
  </si>
  <si>
    <t>Dự án (dịch vụ bảo dưỡng trạm biến áp)</t>
  </si>
  <si>
    <t>Số 2 Ngõ 1 Phố Hà Kế Tấn, P. Phương Liệt, Q. Thanh Xuân, TP. Hà Nội.</t>
  </si>
  <si>
    <t>Thương mại có kho (Bếp cách thủy)</t>
  </si>
  <si>
    <t>CTY CP SUNTECH VIETNAM</t>
  </si>
  <si>
    <t>Nhà B4-1 ngõ 126 đường Hoàng Quốc Việt, Nghĩa Tân, Cầu Giấy, HN</t>
  </si>
  <si>
    <t>Dự án (Dịch vụ sửa chữa Module led)</t>
  </si>
  <si>
    <t>Công Ty TNHH MTV Tư Vấn Và Kiểm Định An Toàn VN</t>
  </si>
  <si>
    <t>Số 34, TT2, Khu đô thị mới Đại Kim, Phường Đại Kim, Quận Hoàng Mai, Hà Nội</t>
  </si>
  <si>
    <t>Dự án (Kiểm định, hiệu chuẩn)</t>
  </si>
  <si>
    <t>CTY TNHH Quảng Cáo Và Trang Trí Nội Ngoại Thất Mặt Trời</t>
  </si>
  <si>
    <t>95 Trường Chinh, P. Xuân Phú, Quận Thuận Hóa, Thành phố Huế</t>
  </si>
  <si>
    <t>Sản xuất (Decal, khung nhôm,…)</t>
  </si>
  <si>
    <t>CTY CP Dịch Vụ Bảo Vệ Chuyên Nghiệp Hoàng Ngọc</t>
  </si>
  <si>
    <t>Số 74, ngõ 64, đường Thạch Bàn, tổ 3, phường Thạch Bàn, quận Long Biên, thành phố Hà Nội, Việt Nam</t>
  </si>
  <si>
    <t>CTY CP Dịch Vụ Bảo Vệ Fire Wall</t>
  </si>
  <si>
    <t>Số 135, ngõ 337, Phố Định Công, Phường Định Công, Quận Hoàng Mai, TP Hà Nội</t>
  </si>
  <si>
    <t>CÔNG TY TNHH THIẾT BỊ CÔNG NGHỆ VÀ TRUYỀN THÔNG TOÀN CẦU</t>
  </si>
  <si>
    <t>Số nhà 18/2 ngõ 42 đường Thanh Bình, phường Mộ Lao, quận Hà Đông, Thành phố Hà Nội, Việt Nam</t>
  </si>
  <si>
    <t>Dự án (dịch vụ kiểm định, hiệu chuẩn cân bàn điện tử)</t>
  </si>
  <si>
    <t>CTY TNHH Quốc Tế Tân Trường</t>
  </si>
  <si>
    <t>Hàng tiêu hao</t>
  </si>
  <si>
    <t>Tổ dân phố Yên Phúc, Phường Biên Giang, Quận Hà Đông, Thành phố Hà Nội, Việt Nam</t>
  </si>
  <si>
    <t>Thương mại không kho (Túi PE FEED)</t>
  </si>
  <si>
    <t>CTY CP Giải Pháp Công Nghệ Tự Động Hóa Solu Tech</t>
  </si>
  <si>
    <t>Thôn Đản Mỗ Xã Uy Nỗ Huyện Đông Anh TP. Hà Nội</t>
  </si>
  <si>
    <t>Thương mại có kho (Máy lạnh, máy ấp)</t>
  </si>
  <si>
    <t>CTY CP Thiết Bị SISC VN</t>
  </si>
  <si>
    <t>Dự án (Dịch vụ bảo trì máy phân tích)</t>
  </si>
  <si>
    <t>Số 36, Phố Lãng Yên, P.Bạch Đằng,Q.Hai Bà Trưng,TP. Hà Nội, Việt Nam</t>
  </si>
  <si>
    <t>Thương mại có kho (Dầu mỡ động cơ)</t>
  </si>
  <si>
    <t>CTY CP Thiết Bị Đo Lường Đông Đô</t>
  </si>
  <si>
    <t>Số 45, Phố Định Công, Phường Phương Liệt, TP. Hà Nội</t>
  </si>
  <si>
    <t>Thương mại có kho (Cân điện tử, cảm biến lực,…)</t>
  </si>
  <si>
    <t>CTY TNHH Cân Điện Tử Pro VN</t>
  </si>
  <si>
    <t>Lô 8- Khu TT2, số 89 Phố Thịnh Liệt, Phường Hoàng Mai, thành phố Hà Nội, Việt Nam.</t>
  </si>
  <si>
    <t>Thương mại có kho (Cân bàn)</t>
  </si>
  <si>
    <t>CTY CP Công Nghệ Toàn Phương</t>
  </si>
  <si>
    <t>B05-L22 Khu A, KĐT mới Dương Nội, Phường Dương Nội, Thành phố Hà Nội, Việt Nam.</t>
  </si>
  <si>
    <t>Thương mại có kho (Muối biển)</t>
  </si>
  <si>
    <t>CÔNG TY TNHH THƯƠNG MẠI NÚI THÀNH</t>
  </si>
  <si>
    <t>38-40 Nguyễn Xuân Khoát, P.An Hải Bắc, Q.Sơn Trà , Thành phố Đà Nẵng, Việt Nam</t>
  </si>
  <si>
    <t>Thương mại không kho (Xăng RON95 III)</t>
  </si>
  <si>
    <t>Công ty TNHH Thiết Bị Công Nghiệp Nhất Tâm Phát</t>
  </si>
  <si>
    <t>Số 18B ngõ 29 Ngách 16 Phố Trạm, Long Biên, Hà Nội</t>
  </si>
  <si>
    <t>Thương mại có kho (Máy bơm nước)</t>
  </si>
  <si>
    <t>CTY TNHH Xuất Nhập Khẩu Khang Ninh</t>
  </si>
  <si>
    <t>3A/919 Thiên Lôi, Lê Chân, Hải Phòng</t>
  </si>
  <si>
    <t>Số 238 Điện Biên Phủ, phường Thành Đông, thành phố Hải Phòng</t>
  </si>
  <si>
    <t>: Số 17,Ngõ 30/32/3 Phố Phan Đình Giót – P.Phương Liệt –TP Hà Nội</t>
  </si>
  <si>
    <t>Công ty TNHH MTV Nguyễn Minh</t>
  </si>
  <si>
    <t>Đội 2- Xã Lạc Lương- Tỉnh Phú Thọ</t>
  </si>
  <si>
    <t>Thương mại có kho (Xăng, dầu)</t>
  </si>
  <si>
    <t>Công ty Cổ phần Kỹ thuật và Xây dựng Việt Thiên Hà Nội</t>
  </si>
  <si>
    <t>Số 21 ngõ 249 phố Đội Cấn, phường Ngọc Hà, TP. Hà Nội, Việt Nam</t>
  </si>
  <si>
    <t>Thương mại có kho (Máy nén khí)</t>
  </si>
  <si>
    <t>CÔNG TY TNHH EUROVET VIỆT NAM</t>
  </si>
  <si>
    <t>Căn 14, lôC61-LK18, Khu C, KĐT 2 bên đường Lê Trọng Tấn, phường Dương Nội, quận Hà Đông, thành Phố Hà Nội, Việt Nam</t>
  </si>
  <si>
    <t>CÔNG TY CỔ PHẦN MEDIAMART VIỆT NAM</t>
  </si>
  <si>
    <t>Số 29F Hai Bà Trưng, Phường Cửa Nam, Thành phố Hà Nội, Việt Nam</t>
  </si>
  <si>
    <t>CÔNG TY TNHH KHOA HỌC KỸ THUẬT VIETLAB</t>
  </si>
  <si>
    <t>Số 42, Đường Nguyễn Khang, Phường Yên Hòa, Thành phố Hà Nội</t>
  </si>
  <si>
    <t>CTY CP TM Và Vận Tải Xăng Dầu Ngọc Hà</t>
  </si>
  <si>
    <t>Food Coatings International Limited</t>
  </si>
  <si>
    <t>2/9 Moo 3 Bangna-Trad Rd., Bangsaothong Bangsaothong, Samutprakarn 10570</t>
  </si>
  <si>
    <t>G</t>
  </si>
  <si>
    <t>2026</t>
  </si>
  <si>
    <t>2027</t>
  </si>
  <si>
    <t>2028</t>
  </si>
  <si>
    <t>2029</t>
  </si>
  <si>
    <t>2030</t>
  </si>
  <si>
    <t>2031</t>
  </si>
  <si>
    <t>2032</t>
  </si>
  <si>
    <t>2033</t>
  </si>
  <si>
    <t>CTY TNHH Phát Triển Giải Pháp Công Nghệ Nam Tiến</t>
  </si>
  <si>
    <t>Số Nhà 17 Ngõ 50, Đường Kim Giang, Phường Khương Đình,TP.Hà Nội, Việt Nam
J- eco - D42 TT14, Khu đô thị Văn Quán, Hà Đông, Hà Nội, Vietnam (VP)</t>
  </si>
  <si>
    <t>CTY TNHH Phòng Dịch Innovax VN</t>
  </si>
  <si>
    <t>Công Ty TNHH EUROVET Việt Nam</t>
  </si>
  <si>
    <t>Căn 14 lô C61-LK18, Khu C, KĐT hai bên đường Lê Trọng Tấn, P. Dương Nội,TP. Hà Nội, VN</t>
  </si>
  <si>
    <t>Thôn Đình, X. Bố Hạ, T. Bắc Ninh, VN</t>
  </si>
  <si>
    <t>Công Ty TNHH Cơ Điện Hòa Ninh</t>
  </si>
  <si>
    <t>Thôn Lục Xuân, X. Phúc Lộc, TP. Hà Nội, VN</t>
  </si>
  <si>
    <t>CTY TNHH TM Dịch Vụ Và Chế Biến Lâm Sản Thái Bình Dương</t>
  </si>
  <si>
    <t>Thôn Thế Trụ, Xã Kiều Phú, Hà Nội</t>
  </si>
  <si>
    <t>Công Ty Trách Nhiệm Hữu Hạn Đức Anh</t>
  </si>
  <si>
    <t>Số 223 đường Mạc Đăng Doanh, phường Hưng Đạo, Tp. Hải Phòng, Việt Nam</t>
  </si>
  <si>
    <t>ISO 22000: 2018  
BRCGS for Food Safety</t>
  </si>
  <si>
    <t xml:space="preserve">ISO 14001: 2015 
ISO 9001: 2015 </t>
  </si>
  <si>
    <t>CTY CP Đầu Tư Và Xây Lắp Đông Á</t>
  </si>
  <si>
    <t>Tòa nhà FLC Star số 418 Quang Trung, ngã tư Lê Trọng Tấn, Phường Quang Trung, Quận Hà Đông, Hà Nội</t>
  </si>
  <si>
    <t>Service</t>
  </si>
  <si>
    <t>Số 18, ngõ 2 phố Phúc La, Hà Đông, Hà Nội (ĐKKD)
68 Đường Phạm Tu, P.Thanh Liệt, TP. Hà Nội (xưởng sơ chế)</t>
  </si>
  <si>
    <t>CTY CP Xây Lắp Và TM CTS Hà Nội</t>
  </si>
  <si>
    <t>CTY CP Xây Lắp Và SX TM Quyết Tiến ETC</t>
  </si>
  <si>
    <t>VP: Tầng 3, tòa nhà Hoa Mai, số 262 Ngô Quyền, Phường Tân Bình, Thành phố Hải Dương, Tỉnh Hải Dương
Kho: Xóm 9 xã Ứng Hòe, H. Ninh Giang, Hải Dương.</t>
  </si>
  <si>
    <t>Số 5 đường 3 Khu công nghiệp đô thị và Dịch vụ VSIP Bắc Ninh, Phường Từ Sơn,Tỉnh Bắc Ninh, Việt Nam</t>
  </si>
  <si>
    <t>HACCP/TCVN 5603:2023</t>
  </si>
  <si>
    <t>CN CTY TNHH Behn Meyer VN Tại Bắc Ninh</t>
  </si>
  <si>
    <t>ISO 9001: 2015
ISO 14001: 2018
ISO 45001: 2018</t>
  </si>
  <si>
    <t>Hợp Tác Xã Nông Sản Công Nghệ Cao Đông Sang</t>
  </si>
  <si>
    <t>Cụm CN Ngọc Sơn, TDP Tràng An, Thị Trấn Chúc Sơn, Chương Mỹ, Hà Nội (Xưởng sơ chế)</t>
  </si>
  <si>
    <t>CÔNG TY TNHH SẢN XUẤT BỘT MỲ VIMAFLOUR</t>
  </si>
  <si>
    <t>Quảng Ninh</t>
  </si>
  <si>
    <t>Khu công nghiệp Cái Lân, TP. Hạ Long, Quảng Ninh</t>
  </si>
  <si>
    <t>FSSC 22000
HACCP</t>
  </si>
  <si>
    <t>CÔNG TY TNHH PHỐ XANH ĐÀ NẴNG</t>
  </si>
  <si>
    <t>Dịch vụ (cây xanh)</t>
  </si>
  <si>
    <t>Số 1/29/9/25 Hoàng Văn Thái, Phường Hòa Khánh, TP Đà Nẵng, Việt Nam</t>
  </si>
  <si>
    <t>CÔNG TY TNHH MTV NGỌC LONG LINH</t>
  </si>
  <si>
    <t>Số 207 Lê Hồng Phong, Phường Kon Tum, Tỉnh Quảng Ngãi, Việt Nam</t>
  </si>
  <si>
    <t>CÔNG TY TNHH XÂY DỰNG MINH QUANG</t>
  </si>
  <si>
    <t>Nhà Ông Phạm Xuân Hào, Thôn Eo Lê, Xã Tây Đô, Tỉnh Thanh Hóa, Việt Nam</t>
  </si>
  <si>
    <t>CTY TNHH Thí Nghiệm Đo Lường Điện Miền Bắc</t>
  </si>
  <si>
    <t>Số 70 Lương Đình Của, Phường Hạc Thành, Tỉnh Thanh Hóa, Việt Nam</t>
  </si>
  <si>
    <t>CTY TNHH DỊCH VỤ DẦU KHÍ CÔNG MINH</t>
  </si>
  <si>
    <t>Số 5 Trần Minh Thắng, Phường Hưng Đạo, TP Hải Phòng, Việt Nam</t>
  </si>
  <si>
    <t>Công ty cổ phần Sợi chỉ Phúc Nguyên</t>
  </si>
  <si>
    <t>Bao bì (chỉ may)</t>
  </si>
  <si>
    <t>Xóm Tiếu, Phường Chương Mỹ, Thành phố Hà Nội</t>
  </si>
  <si>
    <t>Công Ty Cổ Phần Tập Đoàn DAT - Chi nhánh Hà Nội</t>
  </si>
  <si>
    <t>Lô 05-10A KCN Hoàng Mai, Phường Hoàng Mai, Hà Nội</t>
  </si>
  <si>
    <t>CÔNG TY TNHH THIẾT KẾ VÀ THI CÔNG XÂY DỰNG PANDA HOUSE</t>
  </si>
  <si>
    <t>An Lỗ, Phường Phong Thái, TP Huế, Việt Nam;</t>
  </si>
  <si>
    <t>Tầng 4, Tòa nhà 29T1, Lô đất N05 khu đô thị Đông Nam đường Trần Duy Hưng, Phường Yên Hòa, Thành phố Hà Nội, Việt Nam.</t>
  </si>
  <si>
    <t>Công Ty Cổ Phần Thương Mại Bee Bee</t>
  </si>
  <si>
    <t>CN CTY CP S.I.M VN Tại Bắc Ninh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</si>
</sst>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yyyy\-mm\-dd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2" borderId="0" xfId="0" applyFill="1"/>
    <xf numFmtId="49" fontId="4" fillId="0" borderId="0" xfId="0" applyNumberFormat="1" applyFont="1"/>
    <xf numFmtId="0" fontId="4" fillId="0" borderId="0" xfId="0" applyFont="1"/>
    <xf numFmtId="164" fontId="4" fillId="0" borderId="0" xfId="0" applyNumberFormat="1" applyFont="1"/>
    <xf numFmtId="164" fontId="0" fillId="2" borderId="0" xfId="0" applyNumberFormat="1" applyFill="1"/>
    <xf numFmtId="0" fontId="0" fillId="2" borderId="0" xfId="0" applyFill="1" applyAlignment="1">
      <alignment horizontal="left"/>
    </xf>
  </cellXfs>
  <cellStyles count="3">
    <cellStyle name="Comma 2" xfId="2" xr:uid="{5F865B72-88D0-45AC-8458-4ABB541508EC}"/>
    <cellStyle name="Normal" xfId="0" builtinId="0"/>
    <cellStyle name="Normal 2" xfId="1" xr:uid="{00000000-0005-0000-0000-000001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to.diem/OneDrive%20-%20Cong%20Ty%20Co%20Phan%20Chan%20Nuoi%20C.P.%20Viet%20Nam/Desktop/Audit%20summary%2002%20June%202025%20South%20Update%202025.xlsx" TargetMode="External"/><Relationship Id="rId2" Type="http://schemas.openxmlformats.org/officeDocument/2006/relationships/externalLinkPath" Target="file:///C:\Users\to.diem\OneDrive%20-%20Cong%20Ty%20Co%20Phan%20Chan%20Nuoi%20C.P.%20Viet%20Nam\Desktop\Audit%20summary%2002%20June%202025%20South%20Update%202025.xlsx" TargetMode="External"/><Relationship Id="rId1" Type="http://schemas.openxmlformats.org/officeDocument/2006/relationships/externalLinkPath" Target="/Users/to.diem/OneDrive%20-%20Cong%20Ty%20Co%20Phan%20Chan%20Nuoi%20C.P.%20Viet%20Nam/Desktop/Audit%20summary%2002%20June%202025%20South%20Update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to.diem/OneDrive%20-%20Cong%20Ty%20Co%20Phan%20Chan%20Nuoi%20C.P.%20Viet%20Nam/Desktop/Audit%20summary%2004%20July%202025%20South%20Update%202025.xlsx" TargetMode="External"/><Relationship Id="rId2" Type="http://schemas.openxmlformats.org/officeDocument/2006/relationships/externalLinkPath" Target="file:///C:\Users\to.diem\OneDrive%20-%20Cong%20Ty%20Co%20Phan%20Chan%20Nuoi%20C.P.%20Viet%20Nam\Desktop\Audit%20summary%2004%20July%202025%20South%20Update%202025.xlsx" TargetMode="External"/><Relationship Id="rId1" Type="http://schemas.openxmlformats.org/officeDocument/2006/relationships/externalLinkPath" Target="/Users/to.diem/OneDrive%20-%20Cong%20Ty%20Co%20Phan%20Chan%20Nuoi%20C.P.%20Viet%20Nam/Desktop/Audit%20summary%2004%20July%202025%20South%20Update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nh sách mời CB"/>
      <sheetName val="Top 10"/>
      <sheetName val="South"/>
      <sheetName val="New-supplier (S)"/>
      <sheetName val="Re-audit"/>
      <sheetName val="Theo KFC"/>
      <sheetName val="Self-assessment New (S) "/>
      <sheetName val="Self-assessment Annual (S)"/>
      <sheetName val="CAR"/>
      <sheetName val="CAR closed"/>
      <sheetName val="Standard"/>
      <sheetName val="Sheet3"/>
      <sheetName val="Sheet2"/>
    </sheetNames>
    <sheetDataSet>
      <sheetData sheetId="0" refreshError="1"/>
      <sheetData sheetId="1" refreshError="1"/>
      <sheetData sheetId="2">
        <row r="84">
          <cell r="J84">
            <v>0.96699999999999997</v>
          </cell>
          <cell r="K84">
            <v>3</v>
          </cell>
          <cell r="L84">
            <v>2</v>
          </cell>
          <cell r="M84">
            <v>0.94</v>
          </cell>
          <cell r="N84" t="str">
            <v>3 years</v>
          </cell>
        </row>
        <row r="85">
          <cell r="J85">
            <v>0.97899999999999998</v>
          </cell>
          <cell r="K85">
            <v>3</v>
          </cell>
          <cell r="L85">
            <v>1</v>
          </cell>
          <cell r="M85">
            <v>0.91</v>
          </cell>
          <cell r="N85" t="str">
            <v>3 years</v>
          </cell>
        </row>
        <row r="89">
          <cell r="J89">
            <v>1</v>
          </cell>
        </row>
        <row r="90">
          <cell r="J90">
            <v>0.89100000000000001</v>
          </cell>
        </row>
        <row r="91">
          <cell r="J91">
            <v>1</v>
          </cell>
        </row>
        <row r="92">
          <cell r="J92">
            <v>0.90600000000000003</v>
          </cell>
        </row>
        <row r="93">
          <cell r="J93">
            <v>0.97499999999999998</v>
          </cell>
        </row>
        <row r="94">
          <cell r="J94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nh sách mời CB"/>
      <sheetName val="Top 10"/>
      <sheetName val="South"/>
      <sheetName val="New-supplier (S)"/>
      <sheetName val="Re-audit"/>
      <sheetName val="Theo KFC"/>
      <sheetName val="Self-assessment New (S) "/>
      <sheetName val="Self-assessment Annual (S)"/>
      <sheetName val="Nhóm chất thải"/>
      <sheetName val="CAR"/>
      <sheetName val="CAR closed"/>
      <sheetName val="Standard"/>
      <sheetName val="Sheet3"/>
      <sheetName val="Sheet2"/>
    </sheetNames>
    <sheetDataSet>
      <sheetData sheetId="0"/>
      <sheetData sheetId="1"/>
      <sheetData sheetId="2">
        <row r="101">
          <cell r="J101">
            <v>0.85199999999999998</v>
          </cell>
          <cell r="K101">
            <v>2.8</v>
          </cell>
        </row>
        <row r="102">
          <cell r="J102">
            <v>0.88200000000000001</v>
          </cell>
          <cell r="K102">
            <v>3</v>
          </cell>
        </row>
        <row r="103">
          <cell r="J103">
            <v>1</v>
          </cell>
          <cell r="K103">
            <v>3</v>
          </cell>
        </row>
        <row r="104">
          <cell r="J104">
            <v>0.93100000000000005</v>
          </cell>
          <cell r="K104">
            <v>3</v>
          </cell>
        </row>
        <row r="105">
          <cell r="J105">
            <v>1</v>
          </cell>
        </row>
        <row r="106">
          <cell r="J106">
            <v>0.91200000000000003</v>
          </cell>
          <cell r="K106">
            <v>3</v>
          </cell>
        </row>
        <row r="107">
          <cell r="J107">
            <v>0.93799999999999994</v>
          </cell>
          <cell r="K107">
            <v>3</v>
          </cell>
        </row>
        <row r="108">
          <cell r="J108">
            <v>1</v>
          </cell>
          <cell r="K108">
            <v>3</v>
          </cell>
        </row>
        <row r="109">
          <cell r="J109">
            <v>1</v>
          </cell>
          <cell r="K109">
            <v>3</v>
          </cell>
        </row>
        <row r="110">
          <cell r="J110">
            <v>1</v>
          </cell>
          <cell r="K110">
            <v>3</v>
          </cell>
        </row>
        <row r="111">
          <cell r="J111">
            <v>0.93799999999999994</v>
          </cell>
          <cell r="K111">
            <v>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2682"/>
  <sheetViews>
    <sheetView tabSelected="1" zoomScale="90" zoomScaleNormal="90" workbookViewId="0">
      <pane xSplit="1" ySplit="1" topLeftCell="B856" activePane="bottomRight" state="frozen"/>
      <selection pane="topRight" activeCell="B1" sqref="B1"/>
      <selection pane="bottomLeft" activeCell="A2" sqref="A2"/>
      <selection pane="bottomRight" activeCell="D2688" sqref="D2688"/>
    </sheetView>
  </sheetViews>
  <sheetFormatPr defaultColWidth="6.81640625" defaultRowHeight="14.5" x14ac:dyDescent="0.35"/>
  <cols>
    <col min="2" max="2" width="14.81640625" customWidth="1"/>
    <col min="3" max="3" width="11.453125" style="1" customWidth="1"/>
    <col min="4" max="4" width="62.81640625" customWidth="1"/>
    <col min="5" max="5" width="0" hidden="1" customWidth="1"/>
    <col min="6" max="6" width="17.6328125" hidden="1" customWidth="1"/>
    <col min="7" max="7" width="15.26953125" hidden="1" customWidth="1"/>
    <col min="8" max="8" width="65.26953125" hidden="1" customWidth="1"/>
    <col min="9" max="13" width="0" hidden="1" customWidth="1"/>
    <col min="14" max="14" width="17.90625" bestFit="1" customWidth="1"/>
    <col min="15" max="15" width="14.08984375" style="1" customWidth="1"/>
    <col min="19" max="19" width="34.90625" customWidth="1"/>
    <col min="20" max="21" width="6.81640625" style="5"/>
    <col min="23" max="23" width="19.36328125" customWidth="1"/>
  </cols>
  <sheetData>
    <row r="1" spans="1:24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146</v>
      </c>
      <c r="Q1" t="s">
        <v>15</v>
      </c>
      <c r="R1" t="s">
        <v>16</v>
      </c>
      <c r="S1" t="s">
        <v>914</v>
      </c>
      <c r="T1" s="5" t="s">
        <v>918</v>
      </c>
      <c r="U1" s="5" t="s">
        <v>919</v>
      </c>
      <c r="V1" t="s">
        <v>917</v>
      </c>
      <c r="W1" t="s">
        <v>920</v>
      </c>
      <c r="X1" t="s">
        <v>1614</v>
      </c>
    </row>
    <row r="2" spans="1:24" hidden="1" x14ac:dyDescent="0.35">
      <c r="A2">
        <v>1</v>
      </c>
      <c r="B2">
        <v>2000061048</v>
      </c>
      <c r="C2" s="1">
        <v>45663</v>
      </c>
      <c r="D2" t="s">
        <v>535</v>
      </c>
      <c r="E2" t="s">
        <v>18</v>
      </c>
      <c r="F2" t="s">
        <v>148</v>
      </c>
      <c r="G2" t="s">
        <v>116</v>
      </c>
      <c r="H2" t="s">
        <v>536</v>
      </c>
      <c r="I2" t="s">
        <v>148</v>
      </c>
      <c r="J2">
        <v>0.95</v>
      </c>
      <c r="K2">
        <v>3</v>
      </c>
      <c r="L2">
        <v>1</v>
      </c>
      <c r="M2">
        <v>0.73</v>
      </c>
      <c r="N2" t="s">
        <v>368</v>
      </c>
      <c r="O2" s="1">
        <v>46758</v>
      </c>
      <c r="S2" t="s">
        <v>915</v>
      </c>
      <c r="T2" s="5" t="s">
        <v>953</v>
      </c>
      <c r="U2" s="5" t="s">
        <v>927</v>
      </c>
      <c r="V2" t="s">
        <v>1650</v>
      </c>
      <c r="W2" t="str">
        <f t="shared" ref="W2:W65" si="0">CONCATENATE(B2,"_",V2,T2)</f>
        <v>2000061048_20251</v>
      </c>
      <c r="X2" t="s">
        <v>1615</v>
      </c>
    </row>
    <row r="3" spans="1:24" hidden="1" x14ac:dyDescent="0.35">
      <c r="A3">
        <v>2</v>
      </c>
      <c r="B3">
        <v>2000057341</v>
      </c>
      <c r="C3" s="1">
        <v>45664</v>
      </c>
      <c r="D3" t="s">
        <v>666</v>
      </c>
      <c r="E3" t="s">
        <v>18</v>
      </c>
      <c r="F3" t="s">
        <v>148</v>
      </c>
      <c r="G3" t="s">
        <v>20</v>
      </c>
      <c r="H3" t="s">
        <v>667</v>
      </c>
      <c r="I3" t="s">
        <v>148</v>
      </c>
      <c r="J3">
        <v>0.86799999999999999</v>
      </c>
      <c r="K3">
        <v>2.8</v>
      </c>
      <c r="L3">
        <v>4</v>
      </c>
      <c r="M3">
        <v>0.74</v>
      </c>
      <c r="N3" t="s">
        <v>28</v>
      </c>
      <c r="O3" s="1">
        <v>46394</v>
      </c>
      <c r="S3" t="s">
        <v>915</v>
      </c>
      <c r="T3" s="5" t="s">
        <v>953</v>
      </c>
      <c r="U3" s="5" t="s">
        <v>936</v>
      </c>
      <c r="V3" t="s">
        <v>1650</v>
      </c>
      <c r="W3" t="str">
        <f t="shared" si="0"/>
        <v>2000057341_20251</v>
      </c>
      <c r="X3" t="s">
        <v>1615</v>
      </c>
    </row>
    <row r="4" spans="1:24" hidden="1" x14ac:dyDescent="0.35">
      <c r="A4">
        <v>55</v>
      </c>
      <c r="B4">
        <v>2000000345</v>
      </c>
      <c r="C4" s="1">
        <v>44183</v>
      </c>
      <c r="D4" t="s">
        <v>145</v>
      </c>
      <c r="E4" t="s">
        <v>18</v>
      </c>
      <c r="F4" t="s">
        <v>19</v>
      </c>
      <c r="G4" t="s">
        <v>97</v>
      </c>
      <c r="J4">
        <v>0.76500000000000001</v>
      </c>
      <c r="K4">
        <v>2.6</v>
      </c>
      <c r="L4">
        <v>5</v>
      </c>
      <c r="M4">
        <v>0.62</v>
      </c>
      <c r="N4" t="s">
        <v>28</v>
      </c>
      <c r="O4" s="1">
        <v>44913</v>
      </c>
      <c r="S4" t="s">
        <v>915</v>
      </c>
      <c r="T4" s="6" t="s">
        <v>949</v>
      </c>
      <c r="U4" s="6" t="s">
        <v>930</v>
      </c>
      <c r="V4" s="2" t="s">
        <v>923</v>
      </c>
      <c r="W4" t="str">
        <f t="shared" si="0"/>
        <v>2000000345_202012</v>
      </c>
      <c r="X4" s="2" t="s">
        <v>1615</v>
      </c>
    </row>
    <row r="5" spans="1:24" hidden="1" x14ac:dyDescent="0.35">
      <c r="A5">
        <v>114</v>
      </c>
      <c r="B5">
        <v>2000000345</v>
      </c>
      <c r="C5" s="1">
        <v>44881</v>
      </c>
      <c r="D5" t="s">
        <v>532</v>
      </c>
      <c r="E5" t="s">
        <v>18</v>
      </c>
      <c r="F5" t="s">
        <v>19</v>
      </c>
      <c r="G5" t="s">
        <v>97</v>
      </c>
      <c r="H5" t="s">
        <v>533</v>
      </c>
      <c r="I5" t="s">
        <v>22</v>
      </c>
      <c r="J5">
        <v>0.71599999999999997</v>
      </c>
      <c r="K5">
        <v>2</v>
      </c>
      <c r="L5">
        <v>5</v>
      </c>
      <c r="M5">
        <v>0.72</v>
      </c>
      <c r="N5" t="s">
        <v>23</v>
      </c>
      <c r="O5" s="1">
        <v>45246</v>
      </c>
      <c r="S5" t="s">
        <v>915</v>
      </c>
      <c r="T5" s="6" t="s">
        <v>945</v>
      </c>
      <c r="U5" s="6" t="s">
        <v>928</v>
      </c>
      <c r="V5" s="2" t="s">
        <v>954</v>
      </c>
      <c r="W5" t="str">
        <f t="shared" si="0"/>
        <v>2000000345_202211</v>
      </c>
      <c r="X5" s="2" t="s">
        <v>1615</v>
      </c>
    </row>
    <row r="6" spans="1:24" hidden="1" x14ac:dyDescent="0.35">
      <c r="A6">
        <v>14</v>
      </c>
      <c r="B6">
        <v>2000000345</v>
      </c>
      <c r="C6" s="1">
        <v>43560</v>
      </c>
      <c r="D6" t="s">
        <v>532</v>
      </c>
      <c r="E6" t="s">
        <v>18</v>
      </c>
      <c r="F6" t="s">
        <v>19</v>
      </c>
      <c r="G6" t="s">
        <v>97</v>
      </c>
      <c r="H6" t="s">
        <v>1627</v>
      </c>
      <c r="I6" t="s">
        <v>22</v>
      </c>
      <c r="J6">
        <v>0.57599999999999996</v>
      </c>
      <c r="K6">
        <v>1.8</v>
      </c>
      <c r="L6">
        <v>15</v>
      </c>
      <c r="N6" t="s">
        <v>23</v>
      </c>
      <c r="O6" s="1">
        <v>43926</v>
      </c>
      <c r="S6" t="s">
        <v>915</v>
      </c>
      <c r="T6" s="5" t="s">
        <v>946</v>
      </c>
      <c r="U6" s="5">
        <v>5</v>
      </c>
      <c r="V6" t="s">
        <v>1618</v>
      </c>
      <c r="W6" t="str">
        <f t="shared" si="0"/>
        <v>2000000345_20194</v>
      </c>
      <c r="X6" s="2" t="s">
        <v>1615</v>
      </c>
    </row>
    <row r="7" spans="1:24" hidden="1" x14ac:dyDescent="0.35">
      <c r="B7">
        <v>2000000623</v>
      </c>
      <c r="C7" s="1">
        <v>43642</v>
      </c>
      <c r="D7" t="s">
        <v>1659</v>
      </c>
      <c r="F7" t="s">
        <v>32</v>
      </c>
      <c r="G7" t="s">
        <v>2013</v>
      </c>
      <c r="H7" t="s">
        <v>2324</v>
      </c>
      <c r="I7" t="s">
        <v>22</v>
      </c>
      <c r="J7">
        <v>0.8</v>
      </c>
      <c r="K7">
        <v>2</v>
      </c>
      <c r="L7">
        <v>15</v>
      </c>
      <c r="N7" t="s">
        <v>23</v>
      </c>
      <c r="O7" s="1">
        <v>44008</v>
      </c>
      <c r="S7" t="s">
        <v>915</v>
      </c>
      <c r="T7" s="6" t="s">
        <v>927</v>
      </c>
      <c r="U7" s="6" t="s">
        <v>924</v>
      </c>
      <c r="V7" s="2" t="s">
        <v>1618</v>
      </c>
      <c r="W7" t="str">
        <f t="shared" si="0"/>
        <v>2000000623_20196</v>
      </c>
      <c r="X7" s="2" t="s">
        <v>1616</v>
      </c>
    </row>
    <row r="8" spans="1:24" hidden="1" x14ac:dyDescent="0.35">
      <c r="B8">
        <v>2000000623</v>
      </c>
      <c r="C8" s="1">
        <v>43972</v>
      </c>
      <c r="D8" t="s">
        <v>1659</v>
      </c>
      <c r="F8" t="s">
        <v>32</v>
      </c>
      <c r="G8" t="s">
        <v>2013</v>
      </c>
      <c r="H8" t="s">
        <v>2325</v>
      </c>
      <c r="I8" t="s">
        <v>22</v>
      </c>
      <c r="J8">
        <v>0.94199999999999995</v>
      </c>
      <c r="K8">
        <v>2.4</v>
      </c>
      <c r="L8">
        <v>7</v>
      </c>
      <c r="M8">
        <v>0.72599999999999998</v>
      </c>
      <c r="N8" t="s">
        <v>2310</v>
      </c>
      <c r="O8" s="1">
        <v>44702</v>
      </c>
      <c r="S8" t="s">
        <v>915</v>
      </c>
      <c r="T8" s="6" t="s">
        <v>947</v>
      </c>
      <c r="U8" s="6" t="s">
        <v>944</v>
      </c>
      <c r="V8" s="2" t="s">
        <v>923</v>
      </c>
      <c r="W8" t="str">
        <f t="shared" si="0"/>
        <v>2000000623_20205</v>
      </c>
      <c r="X8" s="2" t="s">
        <v>1616</v>
      </c>
    </row>
    <row r="9" spans="1:24" hidden="1" x14ac:dyDescent="0.35">
      <c r="B9">
        <v>2000000623</v>
      </c>
      <c r="C9" s="1">
        <v>44650</v>
      </c>
      <c r="D9" t="s">
        <v>1659</v>
      </c>
      <c r="F9" t="s">
        <v>32</v>
      </c>
      <c r="G9" t="s">
        <v>2013</v>
      </c>
      <c r="H9" t="s">
        <v>2634</v>
      </c>
      <c r="I9" t="s">
        <v>41</v>
      </c>
      <c r="J9">
        <v>0.91300000000000003</v>
      </c>
      <c r="K9">
        <v>2.6</v>
      </c>
      <c r="L9">
        <v>2</v>
      </c>
      <c r="M9">
        <v>0.88</v>
      </c>
      <c r="N9" t="s">
        <v>2310</v>
      </c>
      <c r="O9" s="1">
        <v>45381</v>
      </c>
      <c r="S9" t="s">
        <v>915</v>
      </c>
      <c r="T9" s="6" t="s">
        <v>941</v>
      </c>
      <c r="U9" s="6" t="s">
        <v>938</v>
      </c>
      <c r="V9" s="2" t="s">
        <v>954</v>
      </c>
      <c r="W9" t="str">
        <f t="shared" si="0"/>
        <v>2000000623_20223</v>
      </c>
      <c r="X9" s="2" t="s">
        <v>1616</v>
      </c>
    </row>
    <row r="10" spans="1:24" hidden="1" x14ac:dyDescent="0.35">
      <c r="A10">
        <v>50</v>
      </c>
      <c r="B10">
        <v>2000000744</v>
      </c>
      <c r="C10" s="1">
        <v>44700</v>
      </c>
      <c r="D10" t="s">
        <v>443</v>
      </c>
      <c r="E10" t="s">
        <v>18</v>
      </c>
      <c r="F10" t="s">
        <v>373</v>
      </c>
      <c r="G10" t="s">
        <v>20</v>
      </c>
      <c r="H10" t="s">
        <v>444</v>
      </c>
      <c r="I10" t="s">
        <v>41</v>
      </c>
      <c r="J10">
        <v>0.80400000000000005</v>
      </c>
      <c r="K10">
        <v>2.2999999999999998</v>
      </c>
      <c r="L10">
        <v>6</v>
      </c>
      <c r="M10">
        <v>0.97</v>
      </c>
      <c r="N10" t="s">
        <v>28</v>
      </c>
      <c r="O10" s="1">
        <v>45431</v>
      </c>
      <c r="S10" t="s">
        <v>915</v>
      </c>
      <c r="T10" s="6" t="s">
        <v>947</v>
      </c>
      <c r="U10" s="6" t="s">
        <v>931</v>
      </c>
      <c r="V10" s="2" t="s">
        <v>954</v>
      </c>
      <c r="W10" t="str">
        <f t="shared" si="0"/>
        <v>2000000744_20225</v>
      </c>
      <c r="X10" s="2" t="s">
        <v>1615</v>
      </c>
    </row>
    <row r="11" spans="1:24" hidden="1" x14ac:dyDescent="0.35">
      <c r="B11">
        <v>2000000903</v>
      </c>
      <c r="C11" s="1">
        <v>43868</v>
      </c>
      <c r="D11" t="s">
        <v>2332</v>
      </c>
      <c r="F11" t="s">
        <v>43</v>
      </c>
      <c r="G11" t="s">
        <v>1720</v>
      </c>
      <c r="H11" t="s">
        <v>2333</v>
      </c>
      <c r="I11" t="s">
        <v>41</v>
      </c>
      <c r="J11">
        <v>0.58650000000000002</v>
      </c>
      <c r="K11">
        <v>2</v>
      </c>
      <c r="L11">
        <v>8</v>
      </c>
      <c r="M11">
        <v>0.56000000000000005</v>
      </c>
      <c r="N11" t="s">
        <v>23</v>
      </c>
      <c r="O11" s="1">
        <v>44234</v>
      </c>
      <c r="S11" t="s">
        <v>915</v>
      </c>
      <c r="T11" s="6" t="s">
        <v>921</v>
      </c>
      <c r="U11" s="6" t="s">
        <v>936</v>
      </c>
      <c r="V11" s="2" t="s">
        <v>923</v>
      </c>
      <c r="W11" t="str">
        <f t="shared" si="0"/>
        <v>2000000903_20202</v>
      </c>
      <c r="X11" s="2" t="s">
        <v>1616</v>
      </c>
    </row>
    <row r="12" spans="1:24" hidden="1" x14ac:dyDescent="0.35">
      <c r="B12">
        <v>2000000903</v>
      </c>
      <c r="C12" s="1">
        <v>44292</v>
      </c>
      <c r="D12" t="s">
        <v>2332</v>
      </c>
      <c r="F12" t="s">
        <v>43</v>
      </c>
      <c r="G12" t="s">
        <v>1606</v>
      </c>
      <c r="H12" t="s">
        <v>2334</v>
      </c>
      <c r="I12" t="s">
        <v>41</v>
      </c>
      <c r="J12">
        <v>0.89400000000000002</v>
      </c>
      <c r="K12">
        <v>2.7</v>
      </c>
      <c r="L12">
        <v>4</v>
      </c>
      <c r="M12">
        <v>0.96</v>
      </c>
      <c r="N12" t="s">
        <v>2310</v>
      </c>
      <c r="O12" s="1">
        <v>45022</v>
      </c>
      <c r="S12" t="s">
        <v>915</v>
      </c>
      <c r="T12" s="6" t="s">
        <v>946</v>
      </c>
      <c r="U12" s="6" t="s">
        <v>927</v>
      </c>
      <c r="V12" s="2" t="s">
        <v>952</v>
      </c>
      <c r="W12" t="str">
        <f t="shared" si="0"/>
        <v>2000000903_20214</v>
      </c>
      <c r="X12" s="2" t="s">
        <v>1616</v>
      </c>
    </row>
    <row r="13" spans="1:24" hidden="1" x14ac:dyDescent="0.35">
      <c r="B13">
        <v>2000000903</v>
      </c>
      <c r="C13" s="1">
        <v>45028</v>
      </c>
      <c r="D13" t="s">
        <v>2332</v>
      </c>
      <c r="F13" t="s">
        <v>43</v>
      </c>
      <c r="G13" t="s">
        <v>1720</v>
      </c>
      <c r="H13" t="s">
        <v>2335</v>
      </c>
      <c r="I13" t="s">
        <v>41</v>
      </c>
      <c r="J13">
        <v>0.89200000000000002</v>
      </c>
      <c r="K13">
        <v>3</v>
      </c>
      <c r="L13">
        <v>1</v>
      </c>
      <c r="M13">
        <v>0.93</v>
      </c>
      <c r="N13" t="s">
        <v>2310</v>
      </c>
      <c r="O13" s="1">
        <v>45759</v>
      </c>
      <c r="S13" t="s">
        <v>915</v>
      </c>
      <c r="T13" s="6" t="s">
        <v>946</v>
      </c>
      <c r="U13" s="6" t="s">
        <v>949</v>
      </c>
      <c r="V13" s="2" t="s">
        <v>955</v>
      </c>
      <c r="W13" t="str">
        <f t="shared" si="0"/>
        <v>2000000903_20234</v>
      </c>
      <c r="X13" s="2" t="s">
        <v>1616</v>
      </c>
    </row>
    <row r="14" spans="1:24" hidden="1" x14ac:dyDescent="0.35">
      <c r="B14">
        <v>2000000917</v>
      </c>
      <c r="C14" s="1">
        <v>44132</v>
      </c>
      <c r="D14" t="s">
        <v>2338</v>
      </c>
      <c r="F14" t="s">
        <v>19</v>
      </c>
      <c r="G14" t="s">
        <v>1606</v>
      </c>
      <c r="H14" t="s">
        <v>2339</v>
      </c>
      <c r="I14" t="s">
        <v>22</v>
      </c>
      <c r="J14">
        <v>0.60199999999999998</v>
      </c>
      <c r="K14">
        <v>2.2000000000000002</v>
      </c>
      <c r="L14">
        <v>8</v>
      </c>
      <c r="M14">
        <v>0.51</v>
      </c>
      <c r="N14" t="s">
        <v>23</v>
      </c>
      <c r="O14" s="1">
        <v>44497</v>
      </c>
      <c r="S14" t="s">
        <v>915</v>
      </c>
      <c r="T14" s="6" t="s">
        <v>948</v>
      </c>
      <c r="U14" s="6" t="s">
        <v>926</v>
      </c>
      <c r="V14" s="2" t="s">
        <v>923</v>
      </c>
      <c r="W14" t="str">
        <f t="shared" si="0"/>
        <v>2000000917_202010</v>
      </c>
      <c r="X14" s="2" t="s">
        <v>1616</v>
      </c>
    </row>
    <row r="15" spans="1:24" hidden="1" x14ac:dyDescent="0.35">
      <c r="B15">
        <v>2000000939</v>
      </c>
      <c r="C15" s="1">
        <v>44041</v>
      </c>
      <c r="D15" t="s">
        <v>2348</v>
      </c>
      <c r="F15" t="s">
        <v>43</v>
      </c>
      <c r="G15" t="s">
        <v>1606</v>
      </c>
      <c r="H15" t="s">
        <v>2349</v>
      </c>
      <c r="I15" t="s">
        <v>22</v>
      </c>
      <c r="J15">
        <v>0.91400000000000003</v>
      </c>
      <c r="K15">
        <v>2.6</v>
      </c>
      <c r="L15">
        <v>1</v>
      </c>
      <c r="M15">
        <v>0.94</v>
      </c>
      <c r="N15" t="s">
        <v>2310</v>
      </c>
      <c r="O15" s="1">
        <v>44771</v>
      </c>
      <c r="S15" t="s">
        <v>915</v>
      </c>
      <c r="T15" s="6" t="s">
        <v>936</v>
      </c>
      <c r="U15" s="6" t="s">
        <v>937</v>
      </c>
      <c r="V15" s="2" t="s">
        <v>923</v>
      </c>
      <c r="W15" t="str">
        <f t="shared" si="0"/>
        <v>2000000939_20207</v>
      </c>
      <c r="X15" s="2" t="s">
        <v>1616</v>
      </c>
    </row>
    <row r="16" spans="1:24" hidden="1" x14ac:dyDescent="0.35">
      <c r="B16">
        <v>2000000971</v>
      </c>
      <c r="C16" s="1">
        <v>44391</v>
      </c>
      <c r="D16" t="s">
        <v>1779</v>
      </c>
      <c r="F16" t="s">
        <v>148</v>
      </c>
      <c r="G16" t="s">
        <v>1606</v>
      </c>
      <c r="H16" t="s">
        <v>2354</v>
      </c>
      <c r="I16" t="s">
        <v>148</v>
      </c>
      <c r="J16">
        <v>0.92</v>
      </c>
      <c r="K16">
        <v>3</v>
      </c>
      <c r="L16">
        <v>1</v>
      </c>
      <c r="M16">
        <v>0.99</v>
      </c>
      <c r="N16" t="s">
        <v>2314</v>
      </c>
      <c r="O16" s="1">
        <v>45487</v>
      </c>
      <c r="S16" t="s">
        <v>915</v>
      </c>
      <c r="T16" s="6" t="s">
        <v>936</v>
      </c>
      <c r="U16" s="6" t="s">
        <v>951</v>
      </c>
      <c r="V16" s="2" t="s">
        <v>952</v>
      </c>
      <c r="W16" t="str">
        <f t="shared" si="0"/>
        <v>2000000971_20217</v>
      </c>
      <c r="X16" s="2" t="s">
        <v>1616</v>
      </c>
    </row>
    <row r="17" spans="1:24" hidden="1" x14ac:dyDescent="0.35">
      <c r="A17">
        <v>54</v>
      </c>
      <c r="B17">
        <v>2000000971</v>
      </c>
      <c r="C17" s="1">
        <v>45448</v>
      </c>
      <c r="D17" t="s">
        <v>1779</v>
      </c>
      <c r="E17" t="s">
        <v>18</v>
      </c>
      <c r="F17" t="s">
        <v>1698</v>
      </c>
      <c r="G17" t="s">
        <v>1606</v>
      </c>
      <c r="H17" t="s">
        <v>1780</v>
      </c>
      <c r="I17" t="s">
        <v>41</v>
      </c>
      <c r="J17">
        <v>0.97699999999999998</v>
      </c>
      <c r="K17">
        <v>3</v>
      </c>
      <c r="L17">
        <v>2</v>
      </c>
      <c r="M17">
        <v>0.96</v>
      </c>
      <c r="N17" t="s">
        <v>368</v>
      </c>
      <c r="O17" s="1">
        <v>46543</v>
      </c>
      <c r="R17" t="s">
        <v>1723</v>
      </c>
      <c r="S17" t="s">
        <v>915</v>
      </c>
      <c r="T17" s="5" t="s">
        <v>927</v>
      </c>
      <c r="U17" s="5" t="s">
        <v>947</v>
      </c>
      <c r="V17" t="s">
        <v>956</v>
      </c>
      <c r="W17" t="str">
        <f t="shared" si="0"/>
        <v>2000000971_20246</v>
      </c>
      <c r="X17" s="2" t="s">
        <v>1616</v>
      </c>
    </row>
    <row r="18" spans="1:24" hidden="1" x14ac:dyDescent="0.35">
      <c r="B18">
        <v>2000001002</v>
      </c>
      <c r="C18" s="1">
        <v>43733</v>
      </c>
      <c r="D18" t="s">
        <v>2355</v>
      </c>
      <c r="F18" t="s">
        <v>19</v>
      </c>
      <c r="G18" t="s">
        <v>1606</v>
      </c>
      <c r="H18" t="s">
        <v>2356</v>
      </c>
      <c r="I18" t="s">
        <v>22</v>
      </c>
      <c r="J18">
        <v>0.746</v>
      </c>
      <c r="K18">
        <v>2.4</v>
      </c>
      <c r="L18">
        <v>3</v>
      </c>
      <c r="N18" t="s">
        <v>23</v>
      </c>
      <c r="O18" s="1">
        <v>44099</v>
      </c>
      <c r="S18" t="s">
        <v>915</v>
      </c>
      <c r="T18" s="6" t="s">
        <v>942</v>
      </c>
      <c r="U18" s="6" t="s">
        <v>922</v>
      </c>
      <c r="V18" s="2" t="s">
        <v>1618</v>
      </c>
      <c r="W18" t="str">
        <f t="shared" si="0"/>
        <v>2000001002_20199</v>
      </c>
      <c r="X18" s="2" t="s">
        <v>1616</v>
      </c>
    </row>
    <row r="19" spans="1:24" hidden="1" x14ac:dyDescent="0.35">
      <c r="B19">
        <v>2000001002</v>
      </c>
      <c r="C19" s="1">
        <v>44099</v>
      </c>
      <c r="D19" t="s">
        <v>2355</v>
      </c>
      <c r="F19" t="s">
        <v>19</v>
      </c>
      <c r="G19" t="s">
        <v>1759</v>
      </c>
      <c r="H19" t="s">
        <v>2357</v>
      </c>
      <c r="I19" t="s">
        <v>22</v>
      </c>
      <c r="J19">
        <v>0.92900000000000005</v>
      </c>
      <c r="K19">
        <v>2.6</v>
      </c>
      <c r="L19">
        <v>1</v>
      </c>
      <c r="M19">
        <v>0.88</v>
      </c>
      <c r="N19" t="s">
        <v>2310</v>
      </c>
      <c r="O19" s="1">
        <v>44829</v>
      </c>
      <c r="S19" t="s">
        <v>915</v>
      </c>
      <c r="T19" s="6" t="s">
        <v>942</v>
      </c>
      <c r="U19" s="6" t="s">
        <v>922</v>
      </c>
      <c r="V19" s="2" t="s">
        <v>923</v>
      </c>
      <c r="W19" t="str">
        <f t="shared" si="0"/>
        <v>2000001002_20209</v>
      </c>
      <c r="X19" s="2" t="s">
        <v>1616</v>
      </c>
    </row>
    <row r="20" spans="1:24" hidden="1" x14ac:dyDescent="0.35">
      <c r="B20">
        <v>2000001002</v>
      </c>
      <c r="C20" s="1">
        <v>44791</v>
      </c>
      <c r="D20" t="s">
        <v>2355</v>
      </c>
      <c r="F20" t="s">
        <v>19</v>
      </c>
      <c r="G20" t="s">
        <v>1759</v>
      </c>
      <c r="H20" t="s">
        <v>2358</v>
      </c>
      <c r="I20" t="s">
        <v>22</v>
      </c>
      <c r="J20">
        <v>1</v>
      </c>
      <c r="K20">
        <v>3</v>
      </c>
      <c r="L20">
        <v>0</v>
      </c>
      <c r="M20">
        <v>0.92</v>
      </c>
      <c r="N20" t="s">
        <v>2314</v>
      </c>
      <c r="O20" s="1">
        <v>45887</v>
      </c>
      <c r="S20" t="s">
        <v>915</v>
      </c>
      <c r="T20" s="6" t="s">
        <v>940</v>
      </c>
      <c r="U20" s="6" t="s">
        <v>930</v>
      </c>
      <c r="V20" s="2" t="s">
        <v>954</v>
      </c>
      <c r="W20" t="str">
        <f t="shared" si="0"/>
        <v>2000001002_20228</v>
      </c>
      <c r="X20" s="2" t="s">
        <v>1616</v>
      </c>
    </row>
    <row r="21" spans="1:24" hidden="1" x14ac:dyDescent="0.35">
      <c r="A21">
        <v>22</v>
      </c>
      <c r="B21">
        <v>2000001128</v>
      </c>
      <c r="C21" s="1">
        <v>44305</v>
      </c>
      <c r="D21" t="s">
        <v>2365</v>
      </c>
      <c r="E21" t="s">
        <v>18</v>
      </c>
      <c r="F21" t="s">
        <v>43</v>
      </c>
      <c r="G21" t="s">
        <v>26</v>
      </c>
      <c r="H21" t="s">
        <v>195</v>
      </c>
      <c r="I21" t="s">
        <v>41</v>
      </c>
      <c r="J21">
        <v>0.97499999999999998</v>
      </c>
      <c r="K21">
        <v>3</v>
      </c>
      <c r="L21">
        <v>1</v>
      </c>
      <c r="M21">
        <v>0.91</v>
      </c>
      <c r="N21" t="s">
        <v>368</v>
      </c>
      <c r="O21" s="1">
        <v>45401</v>
      </c>
      <c r="S21" t="s">
        <v>915</v>
      </c>
      <c r="T21" s="6" t="s">
        <v>946</v>
      </c>
      <c r="U21" s="6" t="s">
        <v>931</v>
      </c>
      <c r="V21" s="2" t="s">
        <v>952</v>
      </c>
      <c r="W21" t="str">
        <f t="shared" si="0"/>
        <v>2000001128_20214</v>
      </c>
      <c r="X21" s="2" t="s">
        <v>1615</v>
      </c>
    </row>
    <row r="22" spans="1:24" hidden="1" x14ac:dyDescent="0.35">
      <c r="B22">
        <v>2000001128</v>
      </c>
      <c r="C22" s="1">
        <v>43700</v>
      </c>
      <c r="D22" t="s">
        <v>2365</v>
      </c>
      <c r="F22" t="s">
        <v>43</v>
      </c>
      <c r="G22" t="s">
        <v>1606</v>
      </c>
      <c r="H22" t="s">
        <v>2366</v>
      </c>
      <c r="I22" t="s">
        <v>41</v>
      </c>
      <c r="J22">
        <v>0.88500000000000001</v>
      </c>
      <c r="K22">
        <v>3</v>
      </c>
      <c r="L22">
        <v>0</v>
      </c>
      <c r="N22" t="s">
        <v>2310</v>
      </c>
      <c r="O22" s="1">
        <v>44431</v>
      </c>
      <c r="S22" t="s">
        <v>915</v>
      </c>
      <c r="T22" s="6" t="s">
        <v>940</v>
      </c>
      <c r="U22" s="6" t="s">
        <v>934</v>
      </c>
      <c r="V22" s="2" t="s">
        <v>1618</v>
      </c>
      <c r="W22" t="str">
        <f t="shared" si="0"/>
        <v>2000001128_20198</v>
      </c>
      <c r="X22" s="2" t="s">
        <v>1616</v>
      </c>
    </row>
    <row r="23" spans="1:24" hidden="1" x14ac:dyDescent="0.35">
      <c r="B23">
        <v>2000001128</v>
      </c>
      <c r="C23" s="1">
        <v>44453</v>
      </c>
      <c r="D23" t="s">
        <v>2365</v>
      </c>
      <c r="F23" t="s">
        <v>43</v>
      </c>
      <c r="G23" t="s">
        <v>1606</v>
      </c>
      <c r="H23" t="s">
        <v>2367</v>
      </c>
      <c r="I23" t="s">
        <v>41</v>
      </c>
      <c r="J23">
        <v>1</v>
      </c>
      <c r="K23">
        <v>3</v>
      </c>
      <c r="L23">
        <v>1</v>
      </c>
      <c r="M23">
        <v>0.97</v>
      </c>
      <c r="N23" t="s">
        <v>2314</v>
      </c>
      <c r="O23" s="1">
        <v>45549</v>
      </c>
      <c r="S23" t="s">
        <v>915</v>
      </c>
      <c r="T23" s="6" t="s">
        <v>942</v>
      </c>
      <c r="U23" s="6" t="s">
        <v>951</v>
      </c>
      <c r="V23" s="2" t="s">
        <v>952</v>
      </c>
      <c r="W23" t="str">
        <f t="shared" si="0"/>
        <v>2000001128_20219</v>
      </c>
      <c r="X23" s="2" t="s">
        <v>1616</v>
      </c>
    </row>
    <row r="24" spans="1:24" hidden="1" x14ac:dyDescent="0.35">
      <c r="A24">
        <v>25</v>
      </c>
      <c r="B24">
        <v>2000001128</v>
      </c>
      <c r="C24" s="1">
        <v>45406</v>
      </c>
      <c r="D24" t="s">
        <v>2365</v>
      </c>
      <c r="E24" t="s">
        <v>18</v>
      </c>
      <c r="F24" t="s">
        <v>43</v>
      </c>
      <c r="G24" t="s">
        <v>26</v>
      </c>
      <c r="H24" t="s">
        <v>698</v>
      </c>
      <c r="I24" t="s">
        <v>41</v>
      </c>
      <c r="J24">
        <v>0.91</v>
      </c>
      <c r="K24">
        <v>3</v>
      </c>
      <c r="L24">
        <v>0</v>
      </c>
      <c r="M24">
        <v>0.84</v>
      </c>
      <c r="N24" t="s">
        <v>368</v>
      </c>
      <c r="O24" s="1">
        <v>46501</v>
      </c>
      <c r="Q24" t="s">
        <v>50</v>
      </c>
      <c r="S24" t="s">
        <v>915</v>
      </c>
      <c r="T24" s="6" t="s">
        <v>946</v>
      </c>
      <c r="U24" s="6" t="s">
        <v>935</v>
      </c>
      <c r="V24" s="2" t="s">
        <v>956</v>
      </c>
      <c r="W24" t="str">
        <f t="shared" si="0"/>
        <v>2000001128_20244</v>
      </c>
      <c r="X24" s="2" t="s">
        <v>1615</v>
      </c>
    </row>
    <row r="25" spans="1:24" hidden="1" x14ac:dyDescent="0.35">
      <c r="B25">
        <v>2000001180</v>
      </c>
      <c r="C25" s="1">
        <v>44505</v>
      </c>
      <c r="D25" t="s">
        <v>2376</v>
      </c>
      <c r="F25" t="s">
        <v>39</v>
      </c>
      <c r="G25" t="s">
        <v>1606</v>
      </c>
      <c r="H25" t="s">
        <v>2377</v>
      </c>
      <c r="I25" t="s">
        <v>41</v>
      </c>
      <c r="J25">
        <v>0.92900000000000005</v>
      </c>
      <c r="K25">
        <v>3</v>
      </c>
      <c r="L25">
        <v>2</v>
      </c>
      <c r="M25">
        <v>0.97</v>
      </c>
      <c r="N25" t="s">
        <v>2314</v>
      </c>
      <c r="O25" s="1">
        <v>45601</v>
      </c>
      <c r="S25" t="s">
        <v>915</v>
      </c>
      <c r="T25" s="6" t="s">
        <v>945</v>
      </c>
      <c r="U25" s="6" t="s">
        <v>947</v>
      </c>
      <c r="V25" s="2" t="s">
        <v>952</v>
      </c>
      <c r="W25" t="str">
        <f t="shared" si="0"/>
        <v>2000001180_202111</v>
      </c>
      <c r="X25" s="2" t="s">
        <v>1616</v>
      </c>
    </row>
    <row r="26" spans="1:24" hidden="1" x14ac:dyDescent="0.35">
      <c r="A26">
        <v>41</v>
      </c>
      <c r="B26">
        <v>2000001325</v>
      </c>
      <c r="C26" s="1">
        <v>45427</v>
      </c>
      <c r="D26" t="s">
        <v>1744</v>
      </c>
      <c r="E26" t="s">
        <v>18</v>
      </c>
      <c r="F26" t="s">
        <v>32</v>
      </c>
      <c r="G26" t="s">
        <v>1740</v>
      </c>
      <c r="H26" t="s">
        <v>1745</v>
      </c>
      <c r="I26" t="s">
        <v>22</v>
      </c>
      <c r="J26">
        <v>0.91700000000000004</v>
      </c>
      <c r="K26">
        <v>3</v>
      </c>
      <c r="L26">
        <v>4</v>
      </c>
      <c r="M26">
        <v>0.93</v>
      </c>
      <c r="N26" t="s">
        <v>368</v>
      </c>
      <c r="O26" s="1">
        <v>46522</v>
      </c>
      <c r="R26" t="s">
        <v>1723</v>
      </c>
      <c r="S26" t="s">
        <v>915</v>
      </c>
      <c r="T26" s="5" t="s">
        <v>947</v>
      </c>
      <c r="U26" s="5" t="s">
        <v>943</v>
      </c>
      <c r="V26" t="s">
        <v>956</v>
      </c>
      <c r="W26" t="str">
        <f t="shared" si="0"/>
        <v>2000001325_20245</v>
      </c>
      <c r="X26" s="2" t="s">
        <v>1616</v>
      </c>
    </row>
    <row r="27" spans="1:24" hidden="1" x14ac:dyDescent="0.35">
      <c r="B27">
        <v>2000001628</v>
      </c>
      <c r="C27" s="1">
        <v>43616</v>
      </c>
      <c r="D27" t="s">
        <v>2393</v>
      </c>
      <c r="F27" t="s">
        <v>32</v>
      </c>
      <c r="G27" t="s">
        <v>1603</v>
      </c>
      <c r="H27" t="s">
        <v>2394</v>
      </c>
      <c r="I27" t="s">
        <v>41</v>
      </c>
      <c r="J27">
        <v>0.69199999999999995</v>
      </c>
      <c r="K27">
        <v>2.2999999999999998</v>
      </c>
      <c r="L27">
        <v>3</v>
      </c>
      <c r="N27" t="s">
        <v>2310</v>
      </c>
      <c r="O27" s="1">
        <v>44347</v>
      </c>
      <c r="S27" t="s">
        <v>915</v>
      </c>
      <c r="T27" s="6" t="s">
        <v>947</v>
      </c>
      <c r="U27" s="6" t="s">
        <v>939</v>
      </c>
      <c r="V27" s="2" t="s">
        <v>1618</v>
      </c>
      <c r="W27" t="str">
        <f t="shared" si="0"/>
        <v>2000001628_20195</v>
      </c>
      <c r="X27" s="2" t="s">
        <v>1616</v>
      </c>
    </row>
    <row r="28" spans="1:24" hidden="1" x14ac:dyDescent="0.35">
      <c r="B28">
        <v>2000001780</v>
      </c>
      <c r="C28" s="1">
        <v>44487</v>
      </c>
      <c r="D28" t="s">
        <v>2397</v>
      </c>
      <c r="F28" t="s">
        <v>52</v>
      </c>
      <c r="G28" t="s">
        <v>1606</v>
      </c>
      <c r="H28" t="s">
        <v>2398</v>
      </c>
      <c r="I28" t="s">
        <v>41</v>
      </c>
      <c r="J28">
        <v>0.92600000000000005</v>
      </c>
      <c r="K28">
        <v>2.7</v>
      </c>
      <c r="L28">
        <v>3</v>
      </c>
      <c r="M28">
        <v>0.86</v>
      </c>
      <c r="N28" t="s">
        <v>2310</v>
      </c>
      <c r="O28" s="1">
        <v>45217</v>
      </c>
      <c r="S28" t="s">
        <v>915</v>
      </c>
      <c r="T28" s="6" t="s">
        <v>948</v>
      </c>
      <c r="U28" s="6" t="s">
        <v>930</v>
      </c>
      <c r="V28" s="2" t="s">
        <v>952</v>
      </c>
      <c r="W28" t="str">
        <f t="shared" si="0"/>
        <v>2000001780_202110</v>
      </c>
      <c r="X28" s="2" t="s">
        <v>1616</v>
      </c>
    </row>
    <row r="29" spans="1:24" hidden="1" x14ac:dyDescent="0.35">
      <c r="B29">
        <v>2000002540</v>
      </c>
      <c r="C29" s="1">
        <v>44517</v>
      </c>
      <c r="D29" t="s">
        <v>2403</v>
      </c>
      <c r="F29" t="s">
        <v>39</v>
      </c>
      <c r="G29" t="s">
        <v>1603</v>
      </c>
      <c r="H29" t="s">
        <v>2404</v>
      </c>
      <c r="I29" t="s">
        <v>22</v>
      </c>
      <c r="J29">
        <v>0.88</v>
      </c>
      <c r="K29">
        <v>3</v>
      </c>
      <c r="L29">
        <v>6</v>
      </c>
      <c r="M29">
        <v>0.82</v>
      </c>
      <c r="N29" t="s">
        <v>2310</v>
      </c>
      <c r="O29" s="1">
        <v>45247</v>
      </c>
      <c r="S29" t="s">
        <v>915</v>
      </c>
      <c r="T29" s="6" t="s">
        <v>945</v>
      </c>
      <c r="U29" s="6" t="s">
        <v>929</v>
      </c>
      <c r="V29" s="2" t="s">
        <v>952</v>
      </c>
      <c r="W29" t="str">
        <f t="shared" si="0"/>
        <v>2000002540_202111</v>
      </c>
      <c r="X29" s="2" t="s">
        <v>1616</v>
      </c>
    </row>
    <row r="30" spans="1:24" hidden="1" x14ac:dyDescent="0.35">
      <c r="B30">
        <v>2000002625</v>
      </c>
      <c r="C30" s="1">
        <v>44519</v>
      </c>
      <c r="D30" t="s">
        <v>2412</v>
      </c>
      <c r="F30" t="s">
        <v>39</v>
      </c>
      <c r="G30" t="s">
        <v>1606</v>
      </c>
      <c r="H30" t="s">
        <v>2413</v>
      </c>
      <c r="I30" t="s">
        <v>22</v>
      </c>
      <c r="J30">
        <v>0.82</v>
      </c>
      <c r="K30">
        <v>3</v>
      </c>
      <c r="L30">
        <v>7</v>
      </c>
      <c r="M30">
        <v>0.86</v>
      </c>
      <c r="N30" t="s">
        <v>2310</v>
      </c>
      <c r="O30" s="1">
        <v>45249</v>
      </c>
      <c r="S30" t="s">
        <v>915</v>
      </c>
      <c r="T30" s="6" t="s">
        <v>945</v>
      </c>
      <c r="U30" s="6" t="s">
        <v>931</v>
      </c>
      <c r="V30" s="2" t="s">
        <v>952</v>
      </c>
      <c r="W30" t="str">
        <f t="shared" si="0"/>
        <v>2000002625_202111</v>
      </c>
      <c r="X30" s="2" t="s">
        <v>1616</v>
      </c>
    </row>
    <row r="31" spans="1:24" hidden="1" x14ac:dyDescent="0.35">
      <c r="B31">
        <v>2000002625</v>
      </c>
      <c r="C31" s="1">
        <v>45117</v>
      </c>
      <c r="D31" t="s">
        <v>2412</v>
      </c>
      <c r="F31" t="s">
        <v>39</v>
      </c>
      <c r="G31" t="s">
        <v>1606</v>
      </c>
      <c r="H31" t="s">
        <v>2414</v>
      </c>
      <c r="I31" t="s">
        <v>41</v>
      </c>
      <c r="J31">
        <v>0.91700000000000004</v>
      </c>
      <c r="K31">
        <v>3</v>
      </c>
      <c r="L31">
        <v>4</v>
      </c>
      <c r="M31">
        <v>0.89</v>
      </c>
      <c r="N31" t="s">
        <v>2314</v>
      </c>
      <c r="O31" s="1">
        <v>46213</v>
      </c>
      <c r="S31" t="s">
        <v>915</v>
      </c>
      <c r="T31" s="6" t="s">
        <v>936</v>
      </c>
      <c r="U31" s="6" t="s">
        <v>948</v>
      </c>
      <c r="V31" s="2" t="s">
        <v>955</v>
      </c>
      <c r="W31" t="str">
        <f t="shared" si="0"/>
        <v>2000002625_20237</v>
      </c>
      <c r="X31" s="2" t="s">
        <v>1616</v>
      </c>
    </row>
    <row r="32" spans="1:24" hidden="1" x14ac:dyDescent="0.35">
      <c r="B32">
        <v>2000003159</v>
      </c>
      <c r="C32" s="1">
        <v>44015</v>
      </c>
      <c r="D32" t="s">
        <v>2440</v>
      </c>
      <c r="F32" t="s">
        <v>19</v>
      </c>
      <c r="G32" t="s">
        <v>1720</v>
      </c>
      <c r="H32" t="s">
        <v>2441</v>
      </c>
      <c r="I32" t="s">
        <v>22</v>
      </c>
      <c r="J32">
        <v>1</v>
      </c>
      <c r="K32">
        <v>3</v>
      </c>
      <c r="L32">
        <v>0</v>
      </c>
      <c r="M32">
        <v>0.98</v>
      </c>
      <c r="N32" t="s">
        <v>2310</v>
      </c>
      <c r="O32" s="1">
        <v>44745</v>
      </c>
      <c r="S32" t="s">
        <v>915</v>
      </c>
      <c r="T32" s="6" t="s">
        <v>936</v>
      </c>
      <c r="U32" s="6" t="s">
        <v>941</v>
      </c>
      <c r="V32" s="2" t="s">
        <v>923</v>
      </c>
      <c r="W32" t="str">
        <f t="shared" si="0"/>
        <v>2000003159_20207</v>
      </c>
      <c r="X32" s="2" t="s">
        <v>1616</v>
      </c>
    </row>
    <row r="33" spans="1:24" hidden="1" x14ac:dyDescent="0.35">
      <c r="B33">
        <v>2000003159</v>
      </c>
      <c r="C33" s="1">
        <v>44705</v>
      </c>
      <c r="D33" t="s">
        <v>2440</v>
      </c>
      <c r="F33" t="s">
        <v>19</v>
      </c>
      <c r="G33" t="s">
        <v>1720</v>
      </c>
      <c r="H33" t="s">
        <v>2442</v>
      </c>
      <c r="I33" t="s">
        <v>22</v>
      </c>
      <c r="J33">
        <v>0.97899999999999998</v>
      </c>
      <c r="K33">
        <v>3</v>
      </c>
      <c r="L33">
        <v>0</v>
      </c>
      <c r="M33">
        <v>0.98</v>
      </c>
      <c r="N33" t="s">
        <v>2314</v>
      </c>
      <c r="O33" s="1">
        <v>45801</v>
      </c>
      <c r="S33" t="s">
        <v>915</v>
      </c>
      <c r="T33" s="6" t="s">
        <v>947</v>
      </c>
      <c r="U33" s="6" t="s">
        <v>935</v>
      </c>
      <c r="V33" s="2" t="s">
        <v>954</v>
      </c>
      <c r="W33" t="str">
        <f t="shared" si="0"/>
        <v>2000003159_20225</v>
      </c>
      <c r="X33" s="2" t="s">
        <v>1616</v>
      </c>
    </row>
    <row r="34" spans="1:24" hidden="1" x14ac:dyDescent="0.35">
      <c r="B34">
        <v>2000003171</v>
      </c>
      <c r="C34" s="1">
        <v>43717</v>
      </c>
      <c r="D34" t="s">
        <v>2446</v>
      </c>
      <c r="F34" t="s">
        <v>43</v>
      </c>
      <c r="G34" t="s">
        <v>1687</v>
      </c>
      <c r="H34" t="s">
        <v>2447</v>
      </c>
      <c r="I34" t="s">
        <v>22</v>
      </c>
      <c r="J34">
        <v>0.96699999999999997</v>
      </c>
      <c r="K34">
        <v>2.6</v>
      </c>
      <c r="L34">
        <v>8</v>
      </c>
      <c r="N34" t="s">
        <v>2310</v>
      </c>
      <c r="O34" s="1">
        <v>44448</v>
      </c>
      <c r="S34" t="s">
        <v>915</v>
      </c>
      <c r="T34" s="6" t="s">
        <v>942</v>
      </c>
      <c r="U34" s="6" t="s">
        <v>942</v>
      </c>
      <c r="V34" s="2" t="s">
        <v>1618</v>
      </c>
      <c r="W34" t="str">
        <f t="shared" si="0"/>
        <v>2000003171_20199</v>
      </c>
      <c r="X34" s="2" t="s">
        <v>1616</v>
      </c>
    </row>
    <row r="35" spans="1:24" hidden="1" x14ac:dyDescent="0.35">
      <c r="B35">
        <v>2000003171</v>
      </c>
      <c r="C35" s="1">
        <v>44410</v>
      </c>
      <c r="D35" t="s">
        <v>2446</v>
      </c>
      <c r="F35" t="s">
        <v>43</v>
      </c>
      <c r="G35" t="s">
        <v>1603</v>
      </c>
      <c r="H35" t="s">
        <v>2448</v>
      </c>
      <c r="I35" t="s">
        <v>22</v>
      </c>
      <c r="J35">
        <v>0.873</v>
      </c>
      <c r="K35">
        <v>2.6</v>
      </c>
      <c r="L35">
        <v>10</v>
      </c>
      <c r="M35">
        <v>0.91</v>
      </c>
      <c r="N35" t="s">
        <v>2310</v>
      </c>
      <c r="O35" s="1">
        <v>45140</v>
      </c>
      <c r="S35" t="s">
        <v>915</v>
      </c>
      <c r="T35" s="6" t="s">
        <v>940</v>
      </c>
      <c r="U35" s="6" t="s">
        <v>921</v>
      </c>
      <c r="V35" s="2" t="s">
        <v>952</v>
      </c>
      <c r="W35" t="str">
        <f t="shared" si="0"/>
        <v>2000003171_20218</v>
      </c>
      <c r="X35" s="2" t="s">
        <v>1616</v>
      </c>
    </row>
    <row r="36" spans="1:24" hidden="1" x14ac:dyDescent="0.35">
      <c r="B36">
        <v>2000003171</v>
      </c>
      <c r="C36" s="1">
        <v>45224</v>
      </c>
      <c r="D36" t="s">
        <v>2446</v>
      </c>
      <c r="F36" t="s">
        <v>1859</v>
      </c>
      <c r="G36" t="s">
        <v>1603</v>
      </c>
      <c r="H36" t="s">
        <v>2449</v>
      </c>
      <c r="I36" t="s">
        <v>22</v>
      </c>
      <c r="J36">
        <v>0.95699999999999996</v>
      </c>
      <c r="K36">
        <v>3</v>
      </c>
      <c r="M36">
        <v>1</v>
      </c>
      <c r="N36" t="s">
        <v>2314</v>
      </c>
      <c r="O36" s="1">
        <v>46320</v>
      </c>
      <c r="S36" t="s">
        <v>915</v>
      </c>
      <c r="T36" s="6" t="s">
        <v>948</v>
      </c>
      <c r="U36" s="6" t="s">
        <v>922</v>
      </c>
      <c r="V36" s="2" t="s">
        <v>955</v>
      </c>
      <c r="W36" t="str">
        <f t="shared" si="0"/>
        <v>2000003171_202310</v>
      </c>
      <c r="X36" s="2" t="s">
        <v>1616</v>
      </c>
    </row>
    <row r="37" spans="1:24" hidden="1" x14ac:dyDescent="0.35">
      <c r="A37">
        <v>66</v>
      </c>
      <c r="B37">
        <v>2000003201</v>
      </c>
      <c r="C37" s="1">
        <v>44456</v>
      </c>
      <c r="D37" t="s">
        <v>277</v>
      </c>
      <c r="E37" t="s">
        <v>18</v>
      </c>
      <c r="F37" t="s">
        <v>43</v>
      </c>
      <c r="G37" t="s">
        <v>92</v>
      </c>
      <c r="H37" t="s">
        <v>278</v>
      </c>
      <c r="I37" t="s">
        <v>22</v>
      </c>
      <c r="J37">
        <v>0.93</v>
      </c>
      <c r="K37">
        <v>3</v>
      </c>
      <c r="L37">
        <v>0</v>
      </c>
      <c r="M37">
        <v>0.96</v>
      </c>
      <c r="N37" t="s">
        <v>368</v>
      </c>
      <c r="O37" s="1">
        <v>45555</v>
      </c>
      <c r="P37" t="s">
        <v>279</v>
      </c>
      <c r="Q37" t="s">
        <v>50</v>
      </c>
      <c r="S37" t="s">
        <v>915</v>
      </c>
      <c r="T37" s="6" t="s">
        <v>942</v>
      </c>
      <c r="U37" s="6" t="s">
        <v>929</v>
      </c>
      <c r="V37" s="2" t="s">
        <v>952</v>
      </c>
      <c r="W37" t="str">
        <f t="shared" si="0"/>
        <v>2000003201_20219</v>
      </c>
      <c r="X37" s="2" t="s">
        <v>1615</v>
      </c>
    </row>
    <row r="38" spans="1:24" hidden="1" x14ac:dyDescent="0.35">
      <c r="B38">
        <v>2000003203</v>
      </c>
      <c r="C38" s="1">
        <v>44126</v>
      </c>
      <c r="D38" t="s">
        <v>2465</v>
      </c>
      <c r="F38" t="s">
        <v>43</v>
      </c>
      <c r="G38" t="s">
        <v>1606</v>
      </c>
      <c r="H38" t="s">
        <v>2466</v>
      </c>
      <c r="I38" t="s">
        <v>41</v>
      </c>
      <c r="J38">
        <v>0.96699999999999997</v>
      </c>
      <c r="K38">
        <v>3</v>
      </c>
      <c r="L38">
        <v>1</v>
      </c>
      <c r="M38">
        <v>0.98</v>
      </c>
      <c r="N38" t="s">
        <v>2310</v>
      </c>
      <c r="O38" s="1">
        <v>44856</v>
      </c>
      <c r="S38" t="s">
        <v>915</v>
      </c>
      <c r="T38" s="6" t="s">
        <v>948</v>
      </c>
      <c r="U38" s="6" t="s">
        <v>933</v>
      </c>
      <c r="V38" s="2" t="s">
        <v>923</v>
      </c>
      <c r="W38" t="str">
        <f t="shared" si="0"/>
        <v>2000003203_202010</v>
      </c>
      <c r="X38" s="2" t="s">
        <v>1616</v>
      </c>
    </row>
    <row r="39" spans="1:24" hidden="1" x14ac:dyDescent="0.35">
      <c r="B39">
        <v>2000003203</v>
      </c>
      <c r="C39" s="1">
        <v>44854</v>
      </c>
      <c r="D39" t="s">
        <v>2465</v>
      </c>
      <c r="F39" t="s">
        <v>43</v>
      </c>
      <c r="G39" t="s">
        <v>1606</v>
      </c>
      <c r="H39" t="s">
        <v>2467</v>
      </c>
      <c r="I39" t="s">
        <v>22</v>
      </c>
      <c r="J39">
        <v>1</v>
      </c>
      <c r="K39">
        <v>3</v>
      </c>
      <c r="L39">
        <v>0</v>
      </c>
      <c r="M39">
        <v>0.93</v>
      </c>
      <c r="N39" t="s">
        <v>2314</v>
      </c>
      <c r="O39" s="1">
        <v>45950</v>
      </c>
      <c r="S39" t="s">
        <v>915</v>
      </c>
      <c r="T39" s="6" t="s">
        <v>948</v>
      </c>
      <c r="U39" s="6" t="s">
        <v>932</v>
      </c>
      <c r="V39" s="2" t="s">
        <v>954</v>
      </c>
      <c r="W39" t="str">
        <f t="shared" si="0"/>
        <v>2000003203_202210</v>
      </c>
      <c r="X39" s="2" t="s">
        <v>1616</v>
      </c>
    </row>
    <row r="40" spans="1:24" hidden="1" x14ac:dyDescent="0.35">
      <c r="A40">
        <v>49</v>
      </c>
      <c r="B40">
        <v>2000003203</v>
      </c>
      <c r="C40" s="1">
        <v>45477</v>
      </c>
      <c r="D40" t="s">
        <v>2465</v>
      </c>
      <c r="E40" t="s">
        <v>18</v>
      </c>
      <c r="F40" t="s">
        <v>43</v>
      </c>
      <c r="G40" t="s">
        <v>20</v>
      </c>
      <c r="H40" t="s">
        <v>718</v>
      </c>
      <c r="I40" t="s">
        <v>22</v>
      </c>
      <c r="J40">
        <v>0.75</v>
      </c>
      <c r="K40">
        <v>2.7</v>
      </c>
      <c r="L40">
        <v>3</v>
      </c>
      <c r="M40">
        <v>0.94</v>
      </c>
      <c r="N40" t="s">
        <v>28</v>
      </c>
      <c r="O40" s="1">
        <v>45842</v>
      </c>
      <c r="S40" t="s">
        <v>915</v>
      </c>
      <c r="T40" s="6" t="s">
        <v>936</v>
      </c>
      <c r="U40" s="6" t="s">
        <v>946</v>
      </c>
      <c r="V40" s="2" t="s">
        <v>956</v>
      </c>
      <c r="W40" t="str">
        <f t="shared" si="0"/>
        <v>2000003203_20247</v>
      </c>
      <c r="X40" s="2" t="s">
        <v>1615</v>
      </c>
    </row>
    <row r="41" spans="1:24" hidden="1" x14ac:dyDescent="0.35">
      <c r="A41">
        <v>62</v>
      </c>
      <c r="B41">
        <v>2000003396</v>
      </c>
      <c r="C41" s="1">
        <v>44453</v>
      </c>
      <c r="D41" t="s">
        <v>269</v>
      </c>
      <c r="E41" t="s">
        <v>18</v>
      </c>
      <c r="F41" t="s">
        <v>39</v>
      </c>
      <c r="G41" t="s">
        <v>245</v>
      </c>
      <c r="H41" t="s">
        <v>268</v>
      </c>
      <c r="I41" t="s">
        <v>22</v>
      </c>
      <c r="J41">
        <v>0.84199999999999997</v>
      </c>
      <c r="K41">
        <v>2.4</v>
      </c>
      <c r="L41">
        <v>3</v>
      </c>
      <c r="M41">
        <v>0.65</v>
      </c>
      <c r="N41" t="s">
        <v>28</v>
      </c>
      <c r="O41" s="1">
        <v>45183</v>
      </c>
      <c r="S41" t="s">
        <v>915</v>
      </c>
      <c r="T41" s="6" t="s">
        <v>942</v>
      </c>
      <c r="U41" s="6" t="s">
        <v>951</v>
      </c>
      <c r="V41" s="2" t="s">
        <v>952</v>
      </c>
      <c r="W41" t="str">
        <f t="shared" si="0"/>
        <v>2000003396_20219</v>
      </c>
      <c r="X41" s="2" t="s">
        <v>1615</v>
      </c>
    </row>
    <row r="42" spans="1:24" hidden="1" x14ac:dyDescent="0.35">
      <c r="A42">
        <v>64</v>
      </c>
      <c r="B42">
        <v>2000003399</v>
      </c>
      <c r="C42" s="1">
        <v>44454</v>
      </c>
      <c r="D42" t="s">
        <v>272</v>
      </c>
      <c r="E42" t="s">
        <v>18</v>
      </c>
      <c r="F42" t="s">
        <v>148</v>
      </c>
      <c r="G42" t="s">
        <v>273</v>
      </c>
      <c r="H42" t="s">
        <v>274</v>
      </c>
      <c r="I42" t="s">
        <v>148</v>
      </c>
      <c r="J42">
        <v>0.82399999999999995</v>
      </c>
      <c r="K42">
        <v>2.4500000000000002</v>
      </c>
      <c r="L42">
        <v>1</v>
      </c>
      <c r="M42">
        <v>0.62</v>
      </c>
      <c r="N42" t="s">
        <v>28</v>
      </c>
      <c r="O42" s="1">
        <v>45184</v>
      </c>
      <c r="S42" t="s">
        <v>915</v>
      </c>
      <c r="T42" s="6" t="s">
        <v>942</v>
      </c>
      <c r="U42" s="6" t="s">
        <v>943</v>
      </c>
      <c r="V42" s="2" t="s">
        <v>952</v>
      </c>
      <c r="W42" t="str">
        <f t="shared" si="0"/>
        <v>2000003399_20219</v>
      </c>
      <c r="X42" s="2" t="s">
        <v>1615</v>
      </c>
    </row>
    <row r="43" spans="1:24" hidden="1" x14ac:dyDescent="0.35">
      <c r="A43">
        <v>68</v>
      </c>
      <c r="B43">
        <v>2000003419</v>
      </c>
      <c r="C43" s="1">
        <v>44461</v>
      </c>
      <c r="D43" t="s">
        <v>282</v>
      </c>
      <c r="E43" t="s">
        <v>18</v>
      </c>
      <c r="F43" t="s">
        <v>148</v>
      </c>
      <c r="G43" t="s">
        <v>245</v>
      </c>
      <c r="H43" t="s">
        <v>283</v>
      </c>
      <c r="I43" t="s">
        <v>148</v>
      </c>
      <c r="J43">
        <v>0.83299999999999996</v>
      </c>
      <c r="K43">
        <v>2.4500000000000002</v>
      </c>
      <c r="L43">
        <v>3</v>
      </c>
      <c r="M43">
        <v>0.56999999999999995</v>
      </c>
      <c r="N43" t="s">
        <v>28</v>
      </c>
      <c r="O43" s="1">
        <v>45191</v>
      </c>
      <c r="S43" t="s">
        <v>915</v>
      </c>
      <c r="T43" s="6" t="s">
        <v>942</v>
      </c>
      <c r="U43" s="6" t="s">
        <v>933</v>
      </c>
      <c r="V43" s="2" t="s">
        <v>952</v>
      </c>
      <c r="W43" t="str">
        <f t="shared" si="0"/>
        <v>2000003419_20219</v>
      </c>
      <c r="X43" s="2" t="s">
        <v>1615</v>
      </c>
    </row>
    <row r="44" spans="1:24" hidden="1" x14ac:dyDescent="0.35">
      <c r="A44">
        <v>61</v>
      </c>
      <c r="B44">
        <v>2000003428</v>
      </c>
      <c r="C44" s="1">
        <v>44452</v>
      </c>
      <c r="D44" t="s">
        <v>267</v>
      </c>
      <c r="E44" t="s">
        <v>18</v>
      </c>
      <c r="F44" t="s">
        <v>39</v>
      </c>
      <c r="G44" t="s">
        <v>245</v>
      </c>
      <c r="H44" t="s">
        <v>268</v>
      </c>
      <c r="I44" t="s">
        <v>22</v>
      </c>
      <c r="J44">
        <v>0.84199999999999997</v>
      </c>
      <c r="K44">
        <v>2.4</v>
      </c>
      <c r="L44">
        <v>2</v>
      </c>
      <c r="M44">
        <v>0.67</v>
      </c>
      <c r="N44" t="s">
        <v>28</v>
      </c>
      <c r="O44" s="1">
        <v>45182</v>
      </c>
      <c r="S44" t="s">
        <v>915</v>
      </c>
      <c r="T44" s="6" t="s">
        <v>942</v>
      </c>
      <c r="U44" s="6" t="s">
        <v>950</v>
      </c>
      <c r="V44" s="2" t="s">
        <v>952</v>
      </c>
      <c r="W44" t="str">
        <f t="shared" si="0"/>
        <v>2000003428_20219</v>
      </c>
      <c r="X44" s="2" t="s">
        <v>1615</v>
      </c>
    </row>
    <row r="45" spans="1:24" hidden="1" x14ac:dyDescent="0.35">
      <c r="A45">
        <v>20</v>
      </c>
      <c r="B45">
        <v>2000003564</v>
      </c>
      <c r="C45" s="1">
        <v>44037</v>
      </c>
      <c r="D45" t="s">
        <v>72</v>
      </c>
      <c r="E45" t="s">
        <v>18</v>
      </c>
      <c r="F45" t="s">
        <v>39</v>
      </c>
      <c r="G45" t="s">
        <v>73</v>
      </c>
      <c r="H45" t="s">
        <v>74</v>
      </c>
      <c r="I45" t="s">
        <v>22</v>
      </c>
      <c r="J45">
        <v>0.70499999999999996</v>
      </c>
      <c r="K45">
        <v>2.6</v>
      </c>
      <c r="L45">
        <v>8</v>
      </c>
      <c r="M45">
        <v>0.83160000000000001</v>
      </c>
      <c r="N45" t="s">
        <v>28</v>
      </c>
      <c r="O45" s="1">
        <v>44767</v>
      </c>
      <c r="Q45" t="s">
        <v>50</v>
      </c>
      <c r="S45" t="s">
        <v>915</v>
      </c>
      <c r="T45" s="6" t="s">
        <v>936</v>
      </c>
      <c r="U45" s="6" t="s">
        <v>922</v>
      </c>
      <c r="V45" s="2" t="s">
        <v>923</v>
      </c>
      <c r="W45" t="str">
        <f t="shared" si="0"/>
        <v>2000003564_20207</v>
      </c>
      <c r="X45" s="2" t="s">
        <v>1615</v>
      </c>
    </row>
    <row r="46" spans="1:24" hidden="1" x14ac:dyDescent="0.35">
      <c r="A46">
        <v>80</v>
      </c>
      <c r="B46">
        <v>2000003564</v>
      </c>
      <c r="C46" s="1">
        <v>44795</v>
      </c>
      <c r="D46" t="s">
        <v>72</v>
      </c>
      <c r="E46" t="s">
        <v>18</v>
      </c>
      <c r="F46" t="s">
        <v>39</v>
      </c>
      <c r="G46" t="s">
        <v>73</v>
      </c>
      <c r="H46" t="s">
        <v>493</v>
      </c>
      <c r="I46" t="s">
        <v>22</v>
      </c>
      <c r="J46">
        <v>0.71399999999999997</v>
      </c>
      <c r="K46">
        <v>2.4</v>
      </c>
      <c r="L46">
        <v>5</v>
      </c>
      <c r="M46">
        <v>0.81</v>
      </c>
      <c r="N46" t="s">
        <v>23</v>
      </c>
      <c r="O46" s="1">
        <v>45160</v>
      </c>
      <c r="Q46" t="s">
        <v>323</v>
      </c>
      <c r="S46" t="s">
        <v>915</v>
      </c>
      <c r="T46" s="6" t="s">
        <v>940</v>
      </c>
      <c r="U46" s="6" t="s">
        <v>933</v>
      </c>
      <c r="V46" s="2" t="s">
        <v>954</v>
      </c>
      <c r="W46" t="str">
        <f t="shared" si="0"/>
        <v>2000003564_20228</v>
      </c>
      <c r="X46" s="2" t="s">
        <v>1615</v>
      </c>
    </row>
    <row r="47" spans="1:24" hidden="1" x14ac:dyDescent="0.35">
      <c r="A47">
        <v>21</v>
      </c>
      <c r="B47">
        <v>2000003916</v>
      </c>
      <c r="C47" s="1">
        <v>44645</v>
      </c>
      <c r="D47" t="s">
        <v>387</v>
      </c>
      <c r="E47" t="s">
        <v>18</v>
      </c>
      <c r="F47" t="s">
        <v>148</v>
      </c>
      <c r="G47" t="s">
        <v>238</v>
      </c>
      <c r="H47" t="s">
        <v>388</v>
      </c>
      <c r="I47" t="s">
        <v>148</v>
      </c>
      <c r="J47">
        <v>0.72</v>
      </c>
      <c r="K47">
        <v>2</v>
      </c>
      <c r="L47">
        <v>10</v>
      </c>
      <c r="M47">
        <v>0.53</v>
      </c>
      <c r="N47" t="s">
        <v>23</v>
      </c>
      <c r="O47" s="1">
        <v>45010</v>
      </c>
      <c r="Q47" t="s">
        <v>323</v>
      </c>
      <c r="S47" t="s">
        <v>915</v>
      </c>
      <c r="T47" s="6" t="s">
        <v>941</v>
      </c>
      <c r="U47" s="6" t="s">
        <v>922</v>
      </c>
      <c r="V47" s="2" t="s">
        <v>954</v>
      </c>
      <c r="W47" t="str">
        <f t="shared" si="0"/>
        <v>2000003916_20223</v>
      </c>
      <c r="X47" s="2" t="s">
        <v>1615</v>
      </c>
    </row>
    <row r="48" spans="1:24" hidden="1" x14ac:dyDescent="0.35">
      <c r="A48">
        <v>25</v>
      </c>
      <c r="B48">
        <v>2000003916</v>
      </c>
      <c r="C48" s="1">
        <v>45016</v>
      </c>
      <c r="D48" t="s">
        <v>387</v>
      </c>
      <c r="E48" t="s">
        <v>18</v>
      </c>
      <c r="F48" t="s">
        <v>148</v>
      </c>
      <c r="G48" t="s">
        <v>238</v>
      </c>
      <c r="H48" t="s">
        <v>563</v>
      </c>
      <c r="I48" t="s">
        <v>148</v>
      </c>
      <c r="J48">
        <v>0.69</v>
      </c>
      <c r="K48">
        <v>2.2999999999999998</v>
      </c>
      <c r="L48">
        <v>6</v>
      </c>
      <c r="M48">
        <v>0.62</v>
      </c>
      <c r="N48" t="s">
        <v>23</v>
      </c>
      <c r="O48" s="1">
        <v>45382</v>
      </c>
      <c r="S48" t="s">
        <v>915</v>
      </c>
      <c r="T48" s="6" t="s">
        <v>941</v>
      </c>
      <c r="U48" s="6" t="s">
        <v>939</v>
      </c>
      <c r="V48" s="2" t="s">
        <v>955</v>
      </c>
      <c r="W48" t="str">
        <f t="shared" si="0"/>
        <v>2000003916_20233</v>
      </c>
      <c r="X48" s="2" t="s">
        <v>1615</v>
      </c>
    </row>
    <row r="49" spans="1:24" hidden="1" x14ac:dyDescent="0.35">
      <c r="A49">
        <v>97</v>
      </c>
      <c r="B49">
        <v>2000005280</v>
      </c>
      <c r="C49" s="1">
        <v>45273</v>
      </c>
      <c r="D49" t="s">
        <v>657</v>
      </c>
      <c r="E49" t="s">
        <v>18</v>
      </c>
      <c r="F49" t="s">
        <v>52</v>
      </c>
      <c r="G49" t="s">
        <v>82</v>
      </c>
      <c r="H49" t="s">
        <v>658</v>
      </c>
      <c r="I49" t="s">
        <v>22</v>
      </c>
      <c r="J49">
        <v>0.98599999999999999</v>
      </c>
      <c r="K49">
        <v>3</v>
      </c>
      <c r="L49">
        <v>1</v>
      </c>
      <c r="M49">
        <v>0.98</v>
      </c>
      <c r="N49" t="s">
        <v>368</v>
      </c>
      <c r="O49" s="1">
        <v>46369</v>
      </c>
      <c r="Q49" t="s">
        <v>323</v>
      </c>
      <c r="S49" t="s">
        <v>915</v>
      </c>
      <c r="T49" s="6" t="s">
        <v>949</v>
      </c>
      <c r="U49" s="6" t="s">
        <v>950</v>
      </c>
      <c r="V49" s="2" t="s">
        <v>955</v>
      </c>
      <c r="W49" t="str">
        <f t="shared" si="0"/>
        <v>2000005280_202312</v>
      </c>
      <c r="X49" s="2" t="s">
        <v>1615</v>
      </c>
    </row>
    <row r="50" spans="1:24" hidden="1" x14ac:dyDescent="0.35">
      <c r="A50">
        <v>38</v>
      </c>
      <c r="B50">
        <v>2000005576</v>
      </c>
      <c r="C50" s="1">
        <v>44399</v>
      </c>
      <c r="D50" t="s">
        <v>222</v>
      </c>
      <c r="E50" t="s">
        <v>18</v>
      </c>
      <c r="F50" t="s">
        <v>39</v>
      </c>
      <c r="G50" t="s">
        <v>20</v>
      </c>
      <c r="H50" t="s">
        <v>223</v>
      </c>
      <c r="I50" t="s">
        <v>41</v>
      </c>
      <c r="J50">
        <v>0.875</v>
      </c>
      <c r="K50">
        <v>2.7</v>
      </c>
      <c r="L50">
        <v>4</v>
      </c>
      <c r="M50">
        <v>0.82</v>
      </c>
      <c r="N50" t="s">
        <v>28</v>
      </c>
      <c r="O50" s="1">
        <v>45129</v>
      </c>
      <c r="S50" t="s">
        <v>915</v>
      </c>
      <c r="T50" s="6" t="s">
        <v>936</v>
      </c>
      <c r="U50" s="6" t="s">
        <v>933</v>
      </c>
      <c r="V50" s="2" t="s">
        <v>952</v>
      </c>
      <c r="W50" t="str">
        <f t="shared" si="0"/>
        <v>2000005576_20217</v>
      </c>
      <c r="X50" s="2" t="s">
        <v>1615</v>
      </c>
    </row>
    <row r="51" spans="1:24" hidden="1" x14ac:dyDescent="0.35">
      <c r="A51">
        <v>72</v>
      </c>
      <c r="B51">
        <v>2000005642</v>
      </c>
      <c r="C51" s="1">
        <v>44467</v>
      </c>
      <c r="D51" t="s">
        <v>289</v>
      </c>
      <c r="E51" t="s">
        <v>18</v>
      </c>
      <c r="F51" t="s">
        <v>39</v>
      </c>
      <c r="G51" t="s">
        <v>238</v>
      </c>
      <c r="H51" t="s">
        <v>290</v>
      </c>
      <c r="I51" t="s">
        <v>41</v>
      </c>
      <c r="J51">
        <v>0.81599999999999995</v>
      </c>
      <c r="K51">
        <v>2.2999999999999998</v>
      </c>
      <c r="L51">
        <v>4</v>
      </c>
      <c r="M51">
        <v>0.84</v>
      </c>
      <c r="N51" t="s">
        <v>28</v>
      </c>
      <c r="O51" s="1">
        <v>45197</v>
      </c>
      <c r="S51" t="s">
        <v>915</v>
      </c>
      <c r="T51" s="6" t="s">
        <v>942</v>
      </c>
      <c r="U51" s="6" t="s">
        <v>926</v>
      </c>
      <c r="V51" s="2" t="s">
        <v>952</v>
      </c>
      <c r="W51" t="str">
        <f t="shared" si="0"/>
        <v>2000005642_20219</v>
      </c>
      <c r="X51" s="2" t="s">
        <v>1615</v>
      </c>
    </row>
    <row r="52" spans="1:24" hidden="1" x14ac:dyDescent="0.35">
      <c r="B52">
        <v>2000006472</v>
      </c>
      <c r="C52" s="1">
        <v>45238</v>
      </c>
      <c r="D52" t="s">
        <v>2534</v>
      </c>
      <c r="F52" t="s">
        <v>148</v>
      </c>
      <c r="G52" t="s">
        <v>1603</v>
      </c>
      <c r="H52" t="s">
        <v>2535</v>
      </c>
      <c r="I52" t="s">
        <v>148</v>
      </c>
      <c r="J52">
        <v>0.82499999999999996</v>
      </c>
      <c r="K52">
        <v>2.6</v>
      </c>
      <c r="M52">
        <v>0.68</v>
      </c>
      <c r="N52" t="s">
        <v>2310</v>
      </c>
      <c r="O52" s="1">
        <v>45969</v>
      </c>
      <c r="S52" t="s">
        <v>915</v>
      </c>
      <c r="T52" s="6" t="s">
        <v>945</v>
      </c>
      <c r="U52" s="6" t="s">
        <v>940</v>
      </c>
      <c r="V52" s="2" t="s">
        <v>955</v>
      </c>
      <c r="W52" t="str">
        <f t="shared" si="0"/>
        <v>2000006472_202311</v>
      </c>
      <c r="X52" s="2" t="s">
        <v>1616</v>
      </c>
    </row>
    <row r="53" spans="1:24" hidden="1" x14ac:dyDescent="0.35">
      <c r="A53">
        <v>119</v>
      </c>
      <c r="B53">
        <v>2000006631</v>
      </c>
      <c r="C53" s="1">
        <v>45555</v>
      </c>
      <c r="D53" t="s">
        <v>1930</v>
      </c>
      <c r="E53" t="s">
        <v>18</v>
      </c>
      <c r="F53" t="s">
        <v>52</v>
      </c>
      <c r="G53" t="s">
        <v>1817</v>
      </c>
      <c r="H53" t="s">
        <v>1931</v>
      </c>
      <c r="I53" t="s">
        <v>41</v>
      </c>
      <c r="J53">
        <v>1</v>
      </c>
      <c r="K53">
        <v>3</v>
      </c>
      <c r="L53">
        <v>0</v>
      </c>
      <c r="M53">
        <v>0.92</v>
      </c>
      <c r="N53" t="s">
        <v>368</v>
      </c>
      <c r="O53" s="1">
        <v>46650</v>
      </c>
      <c r="R53" t="s">
        <v>1692</v>
      </c>
      <c r="S53" t="s">
        <v>915</v>
      </c>
      <c r="T53" s="5" t="s">
        <v>942</v>
      </c>
      <c r="U53" s="5" t="s">
        <v>932</v>
      </c>
      <c r="V53" t="s">
        <v>956</v>
      </c>
      <c r="W53" t="str">
        <f t="shared" si="0"/>
        <v>2000006631_20249</v>
      </c>
      <c r="X53" s="2" t="s">
        <v>1616</v>
      </c>
    </row>
    <row r="54" spans="1:24" hidden="1" x14ac:dyDescent="0.35">
      <c r="B54">
        <v>2000006633</v>
      </c>
      <c r="C54" s="1">
        <v>44144</v>
      </c>
      <c r="D54" t="s">
        <v>2542</v>
      </c>
      <c r="F54" t="s">
        <v>43</v>
      </c>
      <c r="G54" t="s">
        <v>1606</v>
      </c>
      <c r="H54" t="s">
        <v>2543</v>
      </c>
      <c r="I54" t="s">
        <v>41</v>
      </c>
      <c r="J54">
        <v>0.80800000000000005</v>
      </c>
      <c r="K54">
        <v>2.4</v>
      </c>
      <c r="L54">
        <v>1</v>
      </c>
      <c r="M54">
        <v>0.85</v>
      </c>
      <c r="N54" t="s">
        <v>2310</v>
      </c>
      <c r="O54" s="1">
        <v>44874</v>
      </c>
      <c r="S54" t="s">
        <v>915</v>
      </c>
      <c r="T54" s="6" t="s">
        <v>945</v>
      </c>
      <c r="U54" s="6" t="s">
        <v>942</v>
      </c>
      <c r="V54" s="2" t="s">
        <v>923</v>
      </c>
      <c r="W54" t="str">
        <f t="shared" si="0"/>
        <v>2000006633_202011</v>
      </c>
      <c r="X54" s="2" t="s">
        <v>1616</v>
      </c>
    </row>
    <row r="55" spans="1:24" hidden="1" x14ac:dyDescent="0.35">
      <c r="A55">
        <v>63</v>
      </c>
      <c r="B55">
        <v>2000006863</v>
      </c>
      <c r="C55" s="1">
        <v>44453</v>
      </c>
      <c r="D55" t="s">
        <v>270</v>
      </c>
      <c r="E55" t="s">
        <v>18</v>
      </c>
      <c r="F55" t="s">
        <v>39</v>
      </c>
      <c r="G55" t="s">
        <v>238</v>
      </c>
      <c r="H55" t="s">
        <v>271</v>
      </c>
      <c r="I55" t="s">
        <v>22</v>
      </c>
      <c r="J55">
        <v>0.85699999999999998</v>
      </c>
      <c r="K55">
        <v>2.2999999999999998</v>
      </c>
      <c r="L55">
        <v>2</v>
      </c>
      <c r="M55">
        <v>0.84</v>
      </c>
      <c r="N55" t="s">
        <v>28</v>
      </c>
      <c r="O55" s="1">
        <v>45183</v>
      </c>
      <c r="S55" t="s">
        <v>915</v>
      </c>
      <c r="T55" s="6" t="s">
        <v>942</v>
      </c>
      <c r="U55" s="6" t="s">
        <v>951</v>
      </c>
      <c r="V55" s="2" t="s">
        <v>952</v>
      </c>
      <c r="W55" t="str">
        <f t="shared" si="0"/>
        <v>2000006863_20219</v>
      </c>
      <c r="X55" s="2" t="s">
        <v>1615</v>
      </c>
    </row>
    <row r="56" spans="1:24" hidden="1" x14ac:dyDescent="0.35">
      <c r="A56">
        <v>15</v>
      </c>
      <c r="B56">
        <v>2000006874</v>
      </c>
      <c r="C56" s="1">
        <v>44299</v>
      </c>
      <c r="D56" t="s">
        <v>180</v>
      </c>
      <c r="E56" t="s">
        <v>18</v>
      </c>
      <c r="F56" t="s">
        <v>148</v>
      </c>
      <c r="G56" t="s">
        <v>92</v>
      </c>
      <c r="H56" t="s">
        <v>181</v>
      </c>
      <c r="I56" t="s">
        <v>148</v>
      </c>
      <c r="J56">
        <v>0.82</v>
      </c>
      <c r="K56">
        <v>2.25</v>
      </c>
      <c r="L56">
        <v>9</v>
      </c>
      <c r="M56">
        <v>0.8</v>
      </c>
      <c r="N56" t="s">
        <v>28</v>
      </c>
      <c r="O56" s="1">
        <v>45029</v>
      </c>
      <c r="S56" t="s">
        <v>915</v>
      </c>
      <c r="T56" s="6" t="s">
        <v>946</v>
      </c>
      <c r="U56" s="6" t="s">
        <v>950</v>
      </c>
      <c r="V56" s="2" t="s">
        <v>952</v>
      </c>
      <c r="W56" t="str">
        <f t="shared" si="0"/>
        <v>2000006874_20214</v>
      </c>
      <c r="X56" s="2" t="s">
        <v>1615</v>
      </c>
    </row>
    <row r="57" spans="1:24" hidden="1" x14ac:dyDescent="0.35">
      <c r="A57">
        <v>83</v>
      </c>
      <c r="B57">
        <v>2000007155</v>
      </c>
      <c r="C57" s="1">
        <v>44484</v>
      </c>
      <c r="D57" t="s">
        <v>309</v>
      </c>
      <c r="E57" t="s">
        <v>18</v>
      </c>
      <c r="F57" t="s">
        <v>148</v>
      </c>
      <c r="G57" t="s">
        <v>20</v>
      </c>
      <c r="H57" t="s">
        <v>310</v>
      </c>
      <c r="I57" t="s">
        <v>148</v>
      </c>
      <c r="J57">
        <v>0.91100000000000003</v>
      </c>
      <c r="K57">
        <v>3</v>
      </c>
      <c r="L57">
        <v>2</v>
      </c>
      <c r="M57">
        <v>0.86</v>
      </c>
      <c r="N57" t="s">
        <v>368</v>
      </c>
      <c r="O57" s="1">
        <v>45580</v>
      </c>
      <c r="Q57" t="s">
        <v>311</v>
      </c>
      <c r="S57" t="s">
        <v>915</v>
      </c>
      <c r="T57" s="6" t="s">
        <v>948</v>
      </c>
      <c r="U57" s="6" t="s">
        <v>943</v>
      </c>
      <c r="V57" s="2" t="s">
        <v>952</v>
      </c>
      <c r="W57" t="str">
        <f t="shared" si="0"/>
        <v>2000007155_202110</v>
      </c>
      <c r="X57" s="2" t="s">
        <v>1615</v>
      </c>
    </row>
    <row r="58" spans="1:24" hidden="1" x14ac:dyDescent="0.35">
      <c r="A58">
        <v>97</v>
      </c>
      <c r="B58">
        <v>2000007220</v>
      </c>
      <c r="C58" s="1">
        <v>44504</v>
      </c>
      <c r="D58" t="s">
        <v>340</v>
      </c>
      <c r="E58" t="s">
        <v>18</v>
      </c>
      <c r="F58" t="s">
        <v>148</v>
      </c>
      <c r="G58" t="s">
        <v>238</v>
      </c>
      <c r="H58" t="s">
        <v>341</v>
      </c>
      <c r="I58" t="s">
        <v>148</v>
      </c>
      <c r="J58">
        <v>0.82699999999999996</v>
      </c>
      <c r="K58">
        <v>2.8</v>
      </c>
      <c r="L58">
        <v>4</v>
      </c>
      <c r="M58">
        <v>0.59</v>
      </c>
      <c r="N58" t="s">
        <v>28</v>
      </c>
      <c r="O58" s="1">
        <v>45234</v>
      </c>
      <c r="S58" t="s">
        <v>915</v>
      </c>
      <c r="T58" s="6" t="s">
        <v>945</v>
      </c>
      <c r="U58" s="6" t="s">
        <v>946</v>
      </c>
      <c r="V58" s="2" t="s">
        <v>952</v>
      </c>
      <c r="W58" t="str">
        <f t="shared" si="0"/>
        <v>2000007220_202111</v>
      </c>
      <c r="X58" s="2" t="s">
        <v>1615</v>
      </c>
    </row>
    <row r="59" spans="1:24" hidden="1" x14ac:dyDescent="0.35">
      <c r="A59">
        <v>1</v>
      </c>
      <c r="B59">
        <v>2000007731</v>
      </c>
      <c r="C59" s="1">
        <v>44574</v>
      </c>
      <c r="D59" t="s">
        <v>348</v>
      </c>
      <c r="E59" t="s">
        <v>18</v>
      </c>
      <c r="F59" t="s">
        <v>148</v>
      </c>
      <c r="G59" t="s">
        <v>20</v>
      </c>
      <c r="H59" t="s">
        <v>349</v>
      </c>
      <c r="I59" t="s">
        <v>148</v>
      </c>
      <c r="J59">
        <v>0.79600000000000004</v>
      </c>
      <c r="K59">
        <v>2.2999999999999998</v>
      </c>
      <c r="L59">
        <v>7</v>
      </c>
      <c r="M59">
        <v>0.66</v>
      </c>
      <c r="N59" t="s">
        <v>23</v>
      </c>
      <c r="O59" s="1">
        <v>44939</v>
      </c>
      <c r="S59" t="s">
        <v>915</v>
      </c>
      <c r="T59" s="6" t="s">
        <v>953</v>
      </c>
      <c r="U59" s="6" t="s">
        <v>950</v>
      </c>
      <c r="V59" s="2" t="s">
        <v>954</v>
      </c>
      <c r="W59" t="str">
        <f t="shared" si="0"/>
        <v>2000007731_20221</v>
      </c>
      <c r="X59" s="2" t="s">
        <v>1615</v>
      </c>
    </row>
    <row r="60" spans="1:24" hidden="1" x14ac:dyDescent="0.35">
      <c r="A60">
        <v>1</v>
      </c>
      <c r="B60">
        <v>2000007731</v>
      </c>
      <c r="C60" s="1">
        <v>44929</v>
      </c>
      <c r="D60" t="s">
        <v>348</v>
      </c>
      <c r="E60" t="s">
        <v>18</v>
      </c>
      <c r="F60" t="s">
        <v>148</v>
      </c>
      <c r="G60" t="s">
        <v>20</v>
      </c>
      <c r="H60" t="s">
        <v>534</v>
      </c>
      <c r="I60" t="s">
        <v>148</v>
      </c>
      <c r="J60">
        <v>0.83299999999999996</v>
      </c>
      <c r="K60">
        <v>2.8</v>
      </c>
      <c r="L60">
        <v>3</v>
      </c>
      <c r="M60">
        <v>0.61</v>
      </c>
      <c r="N60" t="s">
        <v>28</v>
      </c>
      <c r="O60" s="1">
        <v>45660</v>
      </c>
      <c r="S60" t="s">
        <v>915</v>
      </c>
      <c r="T60" s="6" t="s">
        <v>953</v>
      </c>
      <c r="U60" s="6" t="s">
        <v>941</v>
      </c>
      <c r="V60" s="2" t="s">
        <v>955</v>
      </c>
      <c r="W60" t="str">
        <f t="shared" si="0"/>
        <v>2000007731_20231</v>
      </c>
      <c r="X60" s="2" t="s">
        <v>1615</v>
      </c>
    </row>
    <row r="61" spans="1:24" hidden="1" x14ac:dyDescent="0.35">
      <c r="A61">
        <v>99</v>
      </c>
      <c r="B61">
        <v>2000007825</v>
      </c>
      <c r="C61" s="1">
        <v>45519</v>
      </c>
      <c r="D61" t="s">
        <v>1886</v>
      </c>
      <c r="E61" t="s">
        <v>18</v>
      </c>
      <c r="F61" t="s">
        <v>52</v>
      </c>
      <c r="G61" t="s">
        <v>1606</v>
      </c>
      <c r="H61" t="s">
        <v>1887</v>
      </c>
      <c r="I61" t="s">
        <v>41</v>
      </c>
      <c r="J61">
        <v>1</v>
      </c>
      <c r="K61">
        <v>3</v>
      </c>
      <c r="L61">
        <v>0</v>
      </c>
      <c r="M61">
        <v>0.97</v>
      </c>
      <c r="N61" t="s">
        <v>368</v>
      </c>
      <c r="O61" s="1">
        <v>46614</v>
      </c>
      <c r="R61" t="s">
        <v>1613</v>
      </c>
      <c r="S61" t="s">
        <v>915</v>
      </c>
      <c r="T61" s="5" t="s">
        <v>940</v>
      </c>
      <c r="U61" s="5" t="s">
        <v>943</v>
      </c>
      <c r="V61" t="s">
        <v>956</v>
      </c>
      <c r="W61" t="str">
        <f t="shared" si="0"/>
        <v>2000007825_20248</v>
      </c>
      <c r="X61" s="2" t="s">
        <v>1616</v>
      </c>
    </row>
    <row r="62" spans="1:24" hidden="1" x14ac:dyDescent="0.35">
      <c r="A62">
        <v>95</v>
      </c>
      <c r="B62">
        <v>2000008074</v>
      </c>
      <c r="C62" s="1">
        <v>44502</v>
      </c>
      <c r="D62" t="s">
        <v>336</v>
      </c>
      <c r="E62" t="s">
        <v>18</v>
      </c>
      <c r="F62" t="s">
        <v>32</v>
      </c>
      <c r="G62" t="s">
        <v>20</v>
      </c>
      <c r="H62" t="s">
        <v>337</v>
      </c>
      <c r="I62" t="s">
        <v>41</v>
      </c>
      <c r="J62">
        <v>0.82099999999999995</v>
      </c>
      <c r="K62">
        <v>2.2999999999999998</v>
      </c>
      <c r="L62">
        <v>7</v>
      </c>
      <c r="M62">
        <v>0.85</v>
      </c>
      <c r="N62" t="s">
        <v>28</v>
      </c>
      <c r="O62" s="1">
        <v>45232</v>
      </c>
      <c r="S62" t="s">
        <v>915</v>
      </c>
      <c r="T62" s="6" t="s">
        <v>945</v>
      </c>
      <c r="U62" s="6" t="s">
        <v>921</v>
      </c>
      <c r="V62" s="2" t="s">
        <v>952</v>
      </c>
      <c r="W62" t="str">
        <f t="shared" si="0"/>
        <v>2000008074_202111</v>
      </c>
      <c r="X62" s="2" t="s">
        <v>1615</v>
      </c>
    </row>
    <row r="63" spans="1:24" hidden="1" x14ac:dyDescent="0.35">
      <c r="B63">
        <v>2000008217</v>
      </c>
      <c r="C63" s="1">
        <v>43669</v>
      </c>
      <c r="D63" t="s">
        <v>2580</v>
      </c>
      <c r="F63" t="s">
        <v>19</v>
      </c>
      <c r="G63" t="s">
        <v>2581</v>
      </c>
      <c r="H63" t="s">
        <v>2582</v>
      </c>
      <c r="I63" t="s">
        <v>22</v>
      </c>
      <c r="J63">
        <v>0.72599999999999998</v>
      </c>
      <c r="K63">
        <v>2.8</v>
      </c>
      <c r="L63">
        <v>3</v>
      </c>
      <c r="N63" t="s">
        <v>2310</v>
      </c>
      <c r="O63" s="1">
        <v>44400</v>
      </c>
      <c r="S63" t="s">
        <v>915</v>
      </c>
      <c r="T63" s="6" t="s">
        <v>936</v>
      </c>
      <c r="U63" s="6" t="s">
        <v>934</v>
      </c>
      <c r="V63" s="2" t="s">
        <v>1618</v>
      </c>
      <c r="W63" t="str">
        <f t="shared" si="0"/>
        <v>2000008217_20197</v>
      </c>
      <c r="X63" s="2" t="s">
        <v>1616</v>
      </c>
    </row>
    <row r="64" spans="1:24" hidden="1" x14ac:dyDescent="0.35">
      <c r="B64">
        <v>2000008616</v>
      </c>
      <c r="C64" s="1">
        <v>45182</v>
      </c>
      <c r="D64" t="s">
        <v>2585</v>
      </c>
      <c r="F64" t="s">
        <v>19</v>
      </c>
      <c r="G64" t="s">
        <v>1817</v>
      </c>
      <c r="H64" t="s">
        <v>2586</v>
      </c>
      <c r="I64" t="s">
        <v>22</v>
      </c>
      <c r="J64">
        <v>1</v>
      </c>
      <c r="K64">
        <v>3</v>
      </c>
      <c r="M64">
        <v>1</v>
      </c>
      <c r="N64" t="s">
        <v>2314</v>
      </c>
      <c r="O64" s="1">
        <v>46278</v>
      </c>
      <c r="S64" t="s">
        <v>915</v>
      </c>
      <c r="T64" s="6" t="s">
        <v>942</v>
      </c>
      <c r="U64" s="6" t="s">
        <v>950</v>
      </c>
      <c r="V64" s="2" t="s">
        <v>955</v>
      </c>
      <c r="W64" t="str">
        <f t="shared" si="0"/>
        <v>2000008616_20239</v>
      </c>
      <c r="X64" s="2" t="s">
        <v>1616</v>
      </c>
    </row>
    <row r="65" spans="1:24" hidden="1" x14ac:dyDescent="0.35">
      <c r="A65">
        <v>100</v>
      </c>
      <c r="B65">
        <v>2000008709</v>
      </c>
      <c r="C65" s="1">
        <v>44512</v>
      </c>
      <c r="D65" t="s">
        <v>345</v>
      </c>
      <c r="E65" t="s">
        <v>18</v>
      </c>
      <c r="F65" t="s">
        <v>39</v>
      </c>
      <c r="G65" t="s">
        <v>20</v>
      </c>
      <c r="H65" t="s">
        <v>346</v>
      </c>
      <c r="I65" t="s">
        <v>347</v>
      </c>
      <c r="J65">
        <v>0.82099999999999995</v>
      </c>
      <c r="K65">
        <v>2.2999999999999998</v>
      </c>
      <c r="L65">
        <v>4</v>
      </c>
      <c r="M65">
        <v>0.93</v>
      </c>
      <c r="N65" t="s">
        <v>28</v>
      </c>
      <c r="O65" s="1">
        <v>45242</v>
      </c>
      <c r="S65" t="s">
        <v>915</v>
      </c>
      <c r="T65" s="6" t="s">
        <v>945</v>
      </c>
      <c r="U65" s="6" t="s">
        <v>949</v>
      </c>
      <c r="V65" s="2" t="s">
        <v>952</v>
      </c>
      <c r="W65" t="str">
        <f t="shared" si="0"/>
        <v>2000008709_202111</v>
      </c>
      <c r="X65" s="2" t="s">
        <v>1615</v>
      </c>
    </row>
    <row r="66" spans="1:24" hidden="1" x14ac:dyDescent="0.35">
      <c r="B66">
        <v>2000009051</v>
      </c>
      <c r="C66" s="1">
        <v>44209</v>
      </c>
      <c r="D66" t="s">
        <v>2589</v>
      </c>
      <c r="F66" t="s">
        <v>52</v>
      </c>
      <c r="G66" t="s">
        <v>1603</v>
      </c>
      <c r="H66" t="s">
        <v>2590</v>
      </c>
      <c r="I66" t="s">
        <v>41</v>
      </c>
      <c r="J66">
        <v>0.81</v>
      </c>
      <c r="K66">
        <v>2.7</v>
      </c>
      <c r="L66">
        <v>4</v>
      </c>
      <c r="M66">
        <v>0.86</v>
      </c>
      <c r="N66" t="s">
        <v>2310</v>
      </c>
      <c r="O66" s="1">
        <v>44939</v>
      </c>
      <c r="S66" t="s">
        <v>915</v>
      </c>
      <c r="T66" s="6" t="s">
        <v>953</v>
      </c>
      <c r="U66" s="6" t="s">
        <v>950</v>
      </c>
      <c r="V66" s="2" t="s">
        <v>952</v>
      </c>
      <c r="W66" t="str">
        <f t="shared" ref="W66:W129" si="1">CONCATENATE(B66,"_",V66,T66)</f>
        <v>2000009051_20211</v>
      </c>
      <c r="X66" s="2" t="s">
        <v>1616</v>
      </c>
    </row>
    <row r="67" spans="1:24" hidden="1" x14ac:dyDescent="0.35">
      <c r="B67">
        <v>2000009100</v>
      </c>
      <c r="C67" s="1">
        <v>43728</v>
      </c>
      <c r="D67" t="s">
        <v>2591</v>
      </c>
      <c r="F67" t="s">
        <v>32</v>
      </c>
      <c r="G67" t="s">
        <v>2592</v>
      </c>
      <c r="H67" t="s">
        <v>2593</v>
      </c>
      <c r="I67" t="s">
        <v>41</v>
      </c>
      <c r="J67">
        <v>0.90600000000000003</v>
      </c>
      <c r="K67">
        <v>2.4</v>
      </c>
      <c r="L67">
        <v>6</v>
      </c>
      <c r="N67" t="s">
        <v>2310</v>
      </c>
      <c r="O67" s="1">
        <v>44459</v>
      </c>
      <c r="S67" t="s">
        <v>915</v>
      </c>
      <c r="T67" s="6" t="s">
        <v>942</v>
      </c>
      <c r="U67" s="6" t="s">
        <v>932</v>
      </c>
      <c r="V67" s="2" t="s">
        <v>1618</v>
      </c>
      <c r="W67" t="str">
        <f t="shared" si="1"/>
        <v>2000009100_20199</v>
      </c>
      <c r="X67" s="2" t="s">
        <v>1616</v>
      </c>
    </row>
    <row r="68" spans="1:24" hidden="1" x14ac:dyDescent="0.35">
      <c r="A68">
        <v>67</v>
      </c>
      <c r="B68">
        <v>2000009166</v>
      </c>
      <c r="C68" s="1">
        <v>44460</v>
      </c>
      <c r="D68" t="s">
        <v>280</v>
      </c>
      <c r="E68" t="s">
        <v>18</v>
      </c>
      <c r="F68" t="s">
        <v>39</v>
      </c>
      <c r="G68" t="s">
        <v>245</v>
      </c>
      <c r="H68" t="s">
        <v>281</v>
      </c>
      <c r="I68" t="s">
        <v>41</v>
      </c>
      <c r="J68">
        <v>0.78900000000000003</v>
      </c>
      <c r="K68">
        <v>2.2999999999999998</v>
      </c>
      <c r="L68">
        <v>4</v>
      </c>
      <c r="M68">
        <v>0.68</v>
      </c>
      <c r="N68" t="s">
        <v>23</v>
      </c>
      <c r="O68" s="1">
        <v>44825</v>
      </c>
      <c r="S68" t="s">
        <v>915</v>
      </c>
      <c r="T68" s="6" t="s">
        <v>942</v>
      </c>
      <c r="U68" s="6" t="s">
        <v>944</v>
      </c>
      <c r="V68" s="2" t="s">
        <v>952</v>
      </c>
      <c r="W68" t="str">
        <f t="shared" si="1"/>
        <v>2000009166_20219</v>
      </c>
      <c r="X68" s="2" t="s">
        <v>1615</v>
      </c>
    </row>
    <row r="69" spans="1:24" hidden="1" x14ac:dyDescent="0.35">
      <c r="B69">
        <v>2000009212</v>
      </c>
      <c r="C69" s="1">
        <v>44271</v>
      </c>
      <c r="D69" t="s">
        <v>1686</v>
      </c>
      <c r="F69" t="s">
        <v>148</v>
      </c>
      <c r="G69" t="s">
        <v>1603</v>
      </c>
      <c r="H69" t="s">
        <v>2700</v>
      </c>
      <c r="I69" t="s">
        <v>22</v>
      </c>
      <c r="J69">
        <v>0.93500000000000005</v>
      </c>
      <c r="K69">
        <v>3</v>
      </c>
      <c r="L69">
        <v>1</v>
      </c>
      <c r="M69">
        <v>0.93</v>
      </c>
      <c r="N69" t="s">
        <v>2314</v>
      </c>
      <c r="O69" s="1">
        <v>45367</v>
      </c>
      <c r="S69" t="s">
        <v>915</v>
      </c>
      <c r="T69" s="6" t="s">
        <v>941</v>
      </c>
      <c r="U69" s="6" t="s">
        <v>928</v>
      </c>
      <c r="V69" s="2" t="s">
        <v>952</v>
      </c>
      <c r="W69" t="str">
        <f t="shared" si="1"/>
        <v>2000009212_20213</v>
      </c>
      <c r="X69" s="2" t="s">
        <v>1616</v>
      </c>
    </row>
    <row r="70" spans="1:24" hidden="1" x14ac:dyDescent="0.35">
      <c r="A70">
        <v>20</v>
      </c>
      <c r="B70">
        <v>2000009212</v>
      </c>
      <c r="C70" s="1">
        <v>45391</v>
      </c>
      <c r="D70" t="s">
        <v>1686</v>
      </c>
      <c r="E70" t="s">
        <v>18</v>
      </c>
      <c r="F70" t="s">
        <v>148</v>
      </c>
      <c r="G70" t="s">
        <v>1687</v>
      </c>
      <c r="H70" t="s">
        <v>1688</v>
      </c>
      <c r="I70" t="s">
        <v>22</v>
      </c>
      <c r="J70">
        <v>0.98399999999999999</v>
      </c>
      <c r="K70">
        <v>3</v>
      </c>
      <c r="L70">
        <v>1</v>
      </c>
      <c r="M70">
        <v>1</v>
      </c>
      <c r="N70" t="s">
        <v>368</v>
      </c>
      <c r="O70" s="1">
        <v>46486</v>
      </c>
      <c r="Q70" t="s">
        <v>1689</v>
      </c>
      <c r="S70" t="s">
        <v>915</v>
      </c>
      <c r="T70" s="5" t="s">
        <v>946</v>
      </c>
      <c r="U70" s="5" t="s">
        <v>942</v>
      </c>
      <c r="V70" t="s">
        <v>956</v>
      </c>
      <c r="W70" t="str">
        <f t="shared" si="1"/>
        <v>2000009212_20244</v>
      </c>
      <c r="X70" s="2" t="s">
        <v>1616</v>
      </c>
    </row>
    <row r="71" spans="1:24" hidden="1" x14ac:dyDescent="0.35">
      <c r="A71">
        <v>57</v>
      </c>
      <c r="B71">
        <v>2000009695</v>
      </c>
      <c r="C71" s="1">
        <v>44720</v>
      </c>
      <c r="D71" t="s">
        <v>456</v>
      </c>
      <c r="E71" t="s">
        <v>18</v>
      </c>
      <c r="F71" t="s">
        <v>43</v>
      </c>
      <c r="G71" t="s">
        <v>20</v>
      </c>
      <c r="H71" t="s">
        <v>457</v>
      </c>
      <c r="I71" t="s">
        <v>41</v>
      </c>
      <c r="J71">
        <v>0.89700000000000002</v>
      </c>
      <c r="K71">
        <v>2.2999999999999998</v>
      </c>
      <c r="L71">
        <v>9</v>
      </c>
      <c r="M71">
        <v>0.78</v>
      </c>
      <c r="N71" t="s">
        <v>28</v>
      </c>
      <c r="O71" s="1">
        <v>45451</v>
      </c>
      <c r="S71" t="s">
        <v>915</v>
      </c>
      <c r="T71" s="6" t="s">
        <v>927</v>
      </c>
      <c r="U71" s="6" t="s">
        <v>940</v>
      </c>
      <c r="V71" s="2" t="s">
        <v>954</v>
      </c>
      <c r="W71" t="str">
        <f t="shared" si="1"/>
        <v>2000009695_20226</v>
      </c>
      <c r="X71" s="2" t="s">
        <v>1615</v>
      </c>
    </row>
    <row r="72" spans="1:24" hidden="1" x14ac:dyDescent="0.35">
      <c r="A72">
        <v>11</v>
      </c>
      <c r="B72">
        <v>2000009769</v>
      </c>
      <c r="C72" s="1">
        <v>45000</v>
      </c>
      <c r="D72" t="s">
        <v>370</v>
      </c>
      <c r="E72" t="s">
        <v>18</v>
      </c>
      <c r="F72" t="s">
        <v>148</v>
      </c>
      <c r="G72" t="s">
        <v>149</v>
      </c>
      <c r="H72" t="s">
        <v>371</v>
      </c>
      <c r="I72" t="s">
        <v>148</v>
      </c>
      <c r="J72">
        <v>0.75</v>
      </c>
      <c r="K72">
        <v>2.25</v>
      </c>
      <c r="L72">
        <v>8</v>
      </c>
      <c r="M72">
        <v>0.68</v>
      </c>
      <c r="N72" t="s">
        <v>23</v>
      </c>
      <c r="O72" s="1">
        <v>45366</v>
      </c>
      <c r="S72" t="s">
        <v>915</v>
      </c>
      <c r="T72" s="6" t="s">
        <v>941</v>
      </c>
      <c r="U72" s="6" t="s">
        <v>943</v>
      </c>
      <c r="V72" s="2" t="s">
        <v>955</v>
      </c>
      <c r="W72" t="str">
        <f t="shared" si="1"/>
        <v>2000009769_20233</v>
      </c>
      <c r="X72" s="2" t="s">
        <v>1615</v>
      </c>
    </row>
    <row r="73" spans="1:24" hidden="1" x14ac:dyDescent="0.35">
      <c r="A73">
        <v>13</v>
      </c>
      <c r="B73">
        <v>2000009769</v>
      </c>
      <c r="C73" s="1">
        <v>44636</v>
      </c>
      <c r="D73" t="s">
        <v>370</v>
      </c>
      <c r="E73" t="s">
        <v>18</v>
      </c>
      <c r="F73" t="s">
        <v>148</v>
      </c>
      <c r="G73" t="s">
        <v>149</v>
      </c>
      <c r="H73" t="s">
        <v>371</v>
      </c>
      <c r="I73" t="s">
        <v>148</v>
      </c>
      <c r="J73">
        <v>0.66700000000000004</v>
      </c>
      <c r="K73">
        <v>2.5499999999999998</v>
      </c>
      <c r="L73">
        <v>7</v>
      </c>
      <c r="M73">
        <v>0.57999999999999996</v>
      </c>
      <c r="N73" t="s">
        <v>23</v>
      </c>
      <c r="O73" s="1">
        <v>45001</v>
      </c>
      <c r="S73" t="s">
        <v>915</v>
      </c>
      <c r="T73" s="6" t="s">
        <v>941</v>
      </c>
      <c r="U73" s="6" t="s">
        <v>928</v>
      </c>
      <c r="V73" s="2" t="s">
        <v>954</v>
      </c>
      <c r="W73" t="str">
        <f t="shared" si="1"/>
        <v>2000009769_20223</v>
      </c>
      <c r="X73" s="2" t="s">
        <v>1615</v>
      </c>
    </row>
    <row r="74" spans="1:24" hidden="1" x14ac:dyDescent="0.35">
      <c r="A74">
        <v>74</v>
      </c>
      <c r="B74">
        <v>2000009839</v>
      </c>
      <c r="C74" s="1">
        <v>44468</v>
      </c>
      <c r="D74" t="s">
        <v>292</v>
      </c>
      <c r="E74" t="s">
        <v>18</v>
      </c>
      <c r="F74" t="s">
        <v>293</v>
      </c>
      <c r="G74" t="s">
        <v>149</v>
      </c>
      <c r="H74" t="s">
        <v>294</v>
      </c>
      <c r="I74" t="s">
        <v>148</v>
      </c>
      <c r="J74">
        <v>0.88900000000000001</v>
      </c>
      <c r="K74">
        <v>2.4500000000000002</v>
      </c>
      <c r="L74">
        <v>1</v>
      </c>
      <c r="M74">
        <v>0.51</v>
      </c>
      <c r="N74" t="s">
        <v>28</v>
      </c>
      <c r="O74" s="1">
        <v>45198</v>
      </c>
      <c r="S74" t="s">
        <v>915</v>
      </c>
      <c r="T74" s="6" t="s">
        <v>942</v>
      </c>
      <c r="U74" s="6" t="s">
        <v>937</v>
      </c>
      <c r="V74" s="2" t="s">
        <v>952</v>
      </c>
      <c r="W74" t="str">
        <f t="shared" si="1"/>
        <v>2000009839_20219</v>
      </c>
      <c r="X74" s="2" t="s">
        <v>1615</v>
      </c>
    </row>
    <row r="75" spans="1:24" hidden="1" x14ac:dyDescent="0.35">
      <c r="A75">
        <v>45</v>
      </c>
      <c r="B75">
        <v>2000009872</v>
      </c>
      <c r="C75" s="1">
        <v>44418</v>
      </c>
      <c r="D75" t="s">
        <v>235</v>
      </c>
      <c r="E75" t="s">
        <v>18</v>
      </c>
      <c r="F75" t="s">
        <v>148</v>
      </c>
      <c r="G75" t="s">
        <v>149</v>
      </c>
      <c r="H75" t="s">
        <v>236</v>
      </c>
      <c r="I75" t="s">
        <v>148</v>
      </c>
      <c r="J75">
        <v>1</v>
      </c>
      <c r="K75">
        <v>2.5</v>
      </c>
      <c r="L75">
        <v>0</v>
      </c>
      <c r="M75">
        <v>0.66</v>
      </c>
      <c r="N75" t="s">
        <v>28</v>
      </c>
      <c r="O75" s="1">
        <v>45148</v>
      </c>
      <c r="S75" t="s">
        <v>915</v>
      </c>
      <c r="T75" s="6" t="s">
        <v>940</v>
      </c>
      <c r="U75" s="6" t="s">
        <v>948</v>
      </c>
      <c r="V75" s="2" t="s">
        <v>952</v>
      </c>
      <c r="W75" t="str">
        <f t="shared" si="1"/>
        <v>2000009872_20218</v>
      </c>
      <c r="X75" s="2" t="s">
        <v>1615</v>
      </c>
    </row>
    <row r="76" spans="1:24" hidden="1" x14ac:dyDescent="0.35">
      <c r="B76">
        <v>2000009921</v>
      </c>
      <c r="C76" s="1">
        <v>44026</v>
      </c>
      <c r="D76" t="s">
        <v>2599</v>
      </c>
      <c r="F76" t="s">
        <v>43</v>
      </c>
      <c r="G76" t="s">
        <v>1750</v>
      </c>
      <c r="H76" t="s">
        <v>2600</v>
      </c>
      <c r="I76" t="s">
        <v>41</v>
      </c>
      <c r="J76">
        <v>0.68500000000000005</v>
      </c>
      <c r="K76">
        <v>2.2999999999999998</v>
      </c>
      <c r="L76">
        <v>5</v>
      </c>
      <c r="M76">
        <v>0.53800000000000003</v>
      </c>
      <c r="N76" t="s">
        <v>23</v>
      </c>
      <c r="O76" s="1">
        <v>44391</v>
      </c>
      <c r="S76" t="s">
        <v>915</v>
      </c>
      <c r="T76" s="6" t="s">
        <v>936</v>
      </c>
      <c r="U76" s="6" t="s">
        <v>951</v>
      </c>
      <c r="V76" s="2" t="s">
        <v>923</v>
      </c>
      <c r="W76" t="str">
        <f t="shared" si="1"/>
        <v>2000009921_20207</v>
      </c>
      <c r="X76" s="2" t="s">
        <v>1616</v>
      </c>
    </row>
    <row r="77" spans="1:24" hidden="1" x14ac:dyDescent="0.35">
      <c r="B77">
        <v>2000009921</v>
      </c>
      <c r="C77" s="1">
        <v>44832</v>
      </c>
      <c r="D77" t="s">
        <v>2599</v>
      </c>
      <c r="F77" t="s">
        <v>43</v>
      </c>
      <c r="G77" t="s">
        <v>1750</v>
      </c>
      <c r="H77" t="s">
        <v>2600</v>
      </c>
      <c r="I77" t="s">
        <v>41</v>
      </c>
      <c r="J77">
        <v>0.91700000000000004</v>
      </c>
      <c r="K77">
        <v>3</v>
      </c>
      <c r="L77">
        <v>2</v>
      </c>
      <c r="M77">
        <v>0.71</v>
      </c>
      <c r="N77" t="s">
        <v>2314</v>
      </c>
      <c r="O77" s="1">
        <v>45928</v>
      </c>
      <c r="S77" t="s">
        <v>915</v>
      </c>
      <c r="T77" s="6" t="s">
        <v>942</v>
      </c>
      <c r="U77" s="6" t="s">
        <v>926</v>
      </c>
      <c r="V77" s="2" t="s">
        <v>954</v>
      </c>
      <c r="W77" t="str">
        <f t="shared" si="1"/>
        <v>2000009921_20229</v>
      </c>
      <c r="X77" s="2" t="s">
        <v>1616</v>
      </c>
    </row>
    <row r="78" spans="1:24" hidden="1" x14ac:dyDescent="0.35">
      <c r="A78">
        <v>43</v>
      </c>
      <c r="B78">
        <v>2000010001</v>
      </c>
      <c r="C78" s="1">
        <v>44140</v>
      </c>
      <c r="D78" t="s">
        <v>122</v>
      </c>
      <c r="E78" t="s">
        <v>18</v>
      </c>
      <c r="F78" t="s">
        <v>32</v>
      </c>
      <c r="G78" t="s">
        <v>20</v>
      </c>
      <c r="H78" t="s">
        <v>123</v>
      </c>
      <c r="I78" t="s">
        <v>41</v>
      </c>
      <c r="J78">
        <v>0.91700000000000004</v>
      </c>
      <c r="K78">
        <v>2.7</v>
      </c>
      <c r="L78">
        <v>1</v>
      </c>
      <c r="M78">
        <v>0.86</v>
      </c>
      <c r="N78" t="s">
        <v>28</v>
      </c>
      <c r="O78" s="1">
        <v>44870</v>
      </c>
      <c r="S78" t="s">
        <v>915</v>
      </c>
      <c r="T78" s="6" t="s">
        <v>945</v>
      </c>
      <c r="U78" s="6" t="s">
        <v>947</v>
      </c>
      <c r="V78" s="2" t="s">
        <v>923</v>
      </c>
      <c r="W78" t="str">
        <f t="shared" si="1"/>
        <v>2000010001_202011</v>
      </c>
      <c r="X78" s="2" t="s">
        <v>1615</v>
      </c>
    </row>
    <row r="79" spans="1:24" hidden="1" x14ac:dyDescent="0.35">
      <c r="A79">
        <v>105</v>
      </c>
      <c r="B79">
        <v>2000010001</v>
      </c>
      <c r="C79" s="1">
        <v>44852</v>
      </c>
      <c r="D79" t="s">
        <v>122</v>
      </c>
      <c r="E79" t="s">
        <v>18</v>
      </c>
      <c r="F79" t="s">
        <v>39</v>
      </c>
      <c r="G79" t="s">
        <v>20</v>
      </c>
      <c r="H79" t="s">
        <v>523</v>
      </c>
      <c r="I79" t="s">
        <v>41</v>
      </c>
      <c r="J79">
        <v>0.97699999999999998</v>
      </c>
      <c r="K79">
        <v>2.6</v>
      </c>
      <c r="L79">
        <v>3</v>
      </c>
      <c r="M79">
        <v>0.88</v>
      </c>
      <c r="N79" t="s">
        <v>28</v>
      </c>
      <c r="O79" s="1">
        <v>45583</v>
      </c>
      <c r="S79" t="s">
        <v>915</v>
      </c>
      <c r="T79" s="6" t="s">
        <v>948</v>
      </c>
      <c r="U79" s="6" t="s">
        <v>930</v>
      </c>
      <c r="V79" s="2" t="s">
        <v>954</v>
      </c>
      <c r="W79" t="str">
        <f t="shared" si="1"/>
        <v>2000010001_202210</v>
      </c>
      <c r="X79" s="2" t="s">
        <v>1615</v>
      </c>
    </row>
    <row r="80" spans="1:24" hidden="1" x14ac:dyDescent="0.35">
      <c r="A80">
        <v>75</v>
      </c>
      <c r="B80">
        <v>2000010001</v>
      </c>
      <c r="C80" s="1">
        <v>43748</v>
      </c>
      <c r="D80" t="s">
        <v>122</v>
      </c>
      <c r="E80" t="s">
        <v>18</v>
      </c>
      <c r="F80" t="s">
        <v>32</v>
      </c>
      <c r="G80" t="s">
        <v>92</v>
      </c>
      <c r="H80" t="s">
        <v>1641</v>
      </c>
      <c r="I80" t="s">
        <v>41</v>
      </c>
      <c r="J80">
        <v>0.80500000000000005</v>
      </c>
      <c r="K80">
        <v>2.8</v>
      </c>
      <c r="L80">
        <v>2</v>
      </c>
      <c r="N80" t="s">
        <v>23</v>
      </c>
      <c r="O80" s="1">
        <v>44114</v>
      </c>
      <c r="R80" t="s">
        <v>1637</v>
      </c>
      <c r="S80" t="s">
        <v>915</v>
      </c>
      <c r="T80" s="5" t="s">
        <v>948</v>
      </c>
      <c r="U80" s="5">
        <v>10</v>
      </c>
      <c r="V80" t="s">
        <v>1618</v>
      </c>
      <c r="W80" t="str">
        <f t="shared" si="1"/>
        <v>2000010001_201910</v>
      </c>
      <c r="X80" s="2" t="s">
        <v>1615</v>
      </c>
    </row>
    <row r="81" spans="1:24" hidden="1" x14ac:dyDescent="0.35">
      <c r="A81">
        <v>46</v>
      </c>
      <c r="B81">
        <v>2000010121</v>
      </c>
      <c r="C81" s="1">
        <v>44418</v>
      </c>
      <c r="D81" t="s">
        <v>237</v>
      </c>
      <c r="E81" t="s">
        <v>18</v>
      </c>
      <c r="F81" t="s">
        <v>39</v>
      </c>
      <c r="G81" t="s">
        <v>238</v>
      </c>
      <c r="H81" t="s">
        <v>239</v>
      </c>
      <c r="I81" t="s">
        <v>41</v>
      </c>
      <c r="J81">
        <v>0.88200000000000001</v>
      </c>
      <c r="K81">
        <v>2.2999999999999998</v>
      </c>
      <c r="L81">
        <v>2</v>
      </c>
      <c r="M81">
        <v>0.75</v>
      </c>
      <c r="N81" t="s">
        <v>28</v>
      </c>
      <c r="O81" s="1">
        <v>45148</v>
      </c>
      <c r="S81" t="s">
        <v>915</v>
      </c>
      <c r="T81" s="6" t="s">
        <v>940</v>
      </c>
      <c r="U81" s="6" t="s">
        <v>948</v>
      </c>
      <c r="V81" s="2" t="s">
        <v>952</v>
      </c>
      <c r="W81" t="str">
        <f t="shared" si="1"/>
        <v>2000010121_20218</v>
      </c>
      <c r="X81" s="2" t="s">
        <v>1615</v>
      </c>
    </row>
    <row r="82" spans="1:24" hidden="1" x14ac:dyDescent="0.35">
      <c r="A82">
        <v>84</v>
      </c>
      <c r="B82">
        <v>2000056180</v>
      </c>
      <c r="C82" s="1">
        <v>45245</v>
      </c>
      <c r="D82" t="s">
        <v>630</v>
      </c>
      <c r="E82" t="s">
        <v>18</v>
      </c>
      <c r="F82" t="s">
        <v>39</v>
      </c>
      <c r="G82" t="s">
        <v>20</v>
      </c>
      <c r="H82" t="s">
        <v>631</v>
      </c>
      <c r="I82" t="s">
        <v>41</v>
      </c>
      <c r="J82">
        <v>0.86099999999999999</v>
      </c>
      <c r="K82">
        <v>2.7</v>
      </c>
      <c r="L82">
        <v>4</v>
      </c>
      <c r="M82">
        <v>0.85</v>
      </c>
      <c r="N82" t="s">
        <v>28</v>
      </c>
      <c r="O82" s="1">
        <v>45976</v>
      </c>
      <c r="Q82" t="s">
        <v>632</v>
      </c>
      <c r="S82" t="s">
        <v>915</v>
      </c>
      <c r="T82" s="6" t="s">
        <v>945</v>
      </c>
      <c r="U82" s="6" t="s">
        <v>943</v>
      </c>
      <c r="V82" s="2" t="s">
        <v>955</v>
      </c>
      <c r="W82" t="str">
        <f t="shared" si="1"/>
        <v>2000056180_202311</v>
      </c>
      <c r="X82" s="2" t="s">
        <v>1615</v>
      </c>
    </row>
    <row r="83" spans="1:24" hidden="1" x14ac:dyDescent="0.35">
      <c r="A83">
        <v>47</v>
      </c>
      <c r="B83">
        <v>2000010356</v>
      </c>
      <c r="C83" s="1">
        <v>44419</v>
      </c>
      <c r="D83" t="s">
        <v>240</v>
      </c>
      <c r="E83" t="s">
        <v>18</v>
      </c>
      <c r="F83" t="s">
        <v>39</v>
      </c>
      <c r="G83" t="s">
        <v>238</v>
      </c>
      <c r="H83" t="s">
        <v>241</v>
      </c>
      <c r="I83" t="s">
        <v>148</v>
      </c>
      <c r="J83">
        <v>0.83299999999999996</v>
      </c>
      <c r="K83">
        <v>2.2999999999999998</v>
      </c>
      <c r="L83">
        <v>2</v>
      </c>
      <c r="M83">
        <v>0.74</v>
      </c>
      <c r="N83" t="s">
        <v>28</v>
      </c>
      <c r="O83" s="1">
        <v>45149</v>
      </c>
      <c r="S83" t="s">
        <v>915</v>
      </c>
      <c r="T83" s="6" t="s">
        <v>940</v>
      </c>
      <c r="U83" s="6" t="s">
        <v>945</v>
      </c>
      <c r="V83" s="2" t="s">
        <v>952</v>
      </c>
      <c r="W83" t="str">
        <f t="shared" si="1"/>
        <v>2000010356_20218</v>
      </c>
      <c r="X83" s="2" t="s">
        <v>1615</v>
      </c>
    </row>
    <row r="84" spans="1:24" hidden="1" x14ac:dyDescent="0.35">
      <c r="B84">
        <v>2000010494</v>
      </c>
      <c r="C84" s="1">
        <v>43641</v>
      </c>
      <c r="D84" t="s">
        <v>2603</v>
      </c>
      <c r="F84" t="s">
        <v>19</v>
      </c>
      <c r="G84" t="s">
        <v>2013</v>
      </c>
      <c r="H84" t="s">
        <v>2604</v>
      </c>
      <c r="I84" t="s">
        <v>22</v>
      </c>
      <c r="J84">
        <v>0.625</v>
      </c>
      <c r="K84">
        <v>1.4</v>
      </c>
      <c r="L84">
        <v>18</v>
      </c>
      <c r="N84" t="s">
        <v>2605</v>
      </c>
      <c r="O84" s="1">
        <v>43824</v>
      </c>
      <c r="S84" t="s">
        <v>915</v>
      </c>
      <c r="T84" s="6" t="s">
        <v>927</v>
      </c>
      <c r="U84" s="6" t="s">
        <v>922</v>
      </c>
      <c r="V84" s="2" t="s">
        <v>1618</v>
      </c>
      <c r="W84" t="str">
        <f t="shared" si="1"/>
        <v>2000010494_20196</v>
      </c>
      <c r="X84" s="2" t="s">
        <v>1616</v>
      </c>
    </row>
    <row r="85" spans="1:24" hidden="1" x14ac:dyDescent="0.35">
      <c r="B85">
        <v>2000010494</v>
      </c>
      <c r="C85" s="1">
        <v>43970</v>
      </c>
      <c r="D85" t="s">
        <v>2603</v>
      </c>
      <c r="F85" t="s">
        <v>19</v>
      </c>
      <c r="G85" t="s">
        <v>2013</v>
      </c>
      <c r="H85" t="s">
        <v>2606</v>
      </c>
      <c r="I85" t="s">
        <v>22</v>
      </c>
      <c r="J85">
        <v>0.84</v>
      </c>
      <c r="K85">
        <v>1.8</v>
      </c>
      <c r="L85">
        <v>8</v>
      </c>
      <c r="M85">
        <v>0.627</v>
      </c>
      <c r="N85" t="s">
        <v>23</v>
      </c>
      <c r="O85" s="1">
        <v>44335</v>
      </c>
      <c r="S85" t="s">
        <v>915</v>
      </c>
      <c r="T85" s="6" t="s">
        <v>947</v>
      </c>
      <c r="U85" s="6" t="s">
        <v>931</v>
      </c>
      <c r="V85" s="2" t="s">
        <v>923</v>
      </c>
      <c r="W85" t="str">
        <f t="shared" si="1"/>
        <v>2000010494_20205</v>
      </c>
      <c r="X85" s="2" t="s">
        <v>1616</v>
      </c>
    </row>
    <row r="86" spans="1:24" hidden="1" x14ac:dyDescent="0.35">
      <c r="B86">
        <v>2000010494</v>
      </c>
      <c r="C86" s="1">
        <v>44301</v>
      </c>
      <c r="D86" t="s">
        <v>2603</v>
      </c>
      <c r="F86" t="s">
        <v>19</v>
      </c>
      <c r="G86" t="s">
        <v>2013</v>
      </c>
      <c r="H86" t="s">
        <v>2607</v>
      </c>
      <c r="I86" t="s">
        <v>22</v>
      </c>
      <c r="J86">
        <v>0.85699999999999998</v>
      </c>
      <c r="K86">
        <v>2.6</v>
      </c>
      <c r="L86">
        <v>4</v>
      </c>
      <c r="M86">
        <v>0.97</v>
      </c>
      <c r="N86" t="s">
        <v>2310</v>
      </c>
      <c r="O86" s="1">
        <v>45031</v>
      </c>
      <c r="S86" t="s">
        <v>915</v>
      </c>
      <c r="T86" s="6" t="s">
        <v>946</v>
      </c>
      <c r="U86" s="6" t="s">
        <v>943</v>
      </c>
      <c r="V86" s="2" t="s">
        <v>952</v>
      </c>
      <c r="W86" t="str">
        <f t="shared" si="1"/>
        <v>2000010494_20214</v>
      </c>
      <c r="X86" s="2" t="s">
        <v>1616</v>
      </c>
    </row>
    <row r="87" spans="1:24" hidden="1" x14ac:dyDescent="0.35">
      <c r="B87">
        <v>2000010494</v>
      </c>
      <c r="C87" s="1">
        <v>44988</v>
      </c>
      <c r="D87" t="s">
        <v>2603</v>
      </c>
      <c r="F87" t="s">
        <v>19</v>
      </c>
      <c r="G87" t="s">
        <v>2013</v>
      </c>
      <c r="H87" t="s">
        <v>2608</v>
      </c>
      <c r="I87" t="s">
        <v>22</v>
      </c>
      <c r="J87">
        <v>0.90900000000000003</v>
      </c>
      <c r="K87">
        <v>2.6</v>
      </c>
      <c r="L87">
        <v>3</v>
      </c>
      <c r="M87">
        <v>0.89</v>
      </c>
      <c r="N87" t="s">
        <v>2310</v>
      </c>
      <c r="O87" s="1">
        <v>45719</v>
      </c>
      <c r="S87" t="s">
        <v>915</v>
      </c>
      <c r="T87" s="6" t="s">
        <v>941</v>
      </c>
      <c r="U87" s="6" t="s">
        <v>941</v>
      </c>
      <c r="V87" s="2" t="s">
        <v>955</v>
      </c>
      <c r="W87" t="str">
        <f t="shared" si="1"/>
        <v>2000010494_20233</v>
      </c>
      <c r="X87" s="2" t="s">
        <v>1616</v>
      </c>
    </row>
    <row r="88" spans="1:24" hidden="1" x14ac:dyDescent="0.35">
      <c r="B88">
        <v>2000010519</v>
      </c>
      <c r="C88" s="1">
        <v>45147</v>
      </c>
      <c r="D88" t="s">
        <v>2609</v>
      </c>
      <c r="F88" t="s">
        <v>148</v>
      </c>
      <c r="G88" t="s">
        <v>1606</v>
      </c>
      <c r="H88" t="s">
        <v>2610</v>
      </c>
      <c r="I88" t="s">
        <v>148</v>
      </c>
      <c r="J88">
        <v>0.85</v>
      </c>
      <c r="K88">
        <v>3</v>
      </c>
      <c r="M88">
        <v>0.88</v>
      </c>
      <c r="N88" t="s">
        <v>2310</v>
      </c>
      <c r="O88" s="1">
        <v>45878</v>
      </c>
      <c r="S88" t="s">
        <v>915</v>
      </c>
      <c r="T88" s="6" t="s">
        <v>940</v>
      </c>
      <c r="U88" s="6" t="s">
        <v>942</v>
      </c>
      <c r="V88" s="2" t="s">
        <v>955</v>
      </c>
      <c r="W88" t="str">
        <f t="shared" si="1"/>
        <v>2000010519_20238</v>
      </c>
      <c r="X88" s="2" t="s">
        <v>1616</v>
      </c>
    </row>
    <row r="89" spans="1:24" hidden="1" x14ac:dyDescent="0.35">
      <c r="B89">
        <v>2000010582</v>
      </c>
      <c r="C89" s="1">
        <v>43626</v>
      </c>
      <c r="D89" t="s">
        <v>2611</v>
      </c>
      <c r="F89" t="s">
        <v>52</v>
      </c>
      <c r="G89" t="s">
        <v>2341</v>
      </c>
      <c r="H89" t="s">
        <v>2612</v>
      </c>
      <c r="I89" t="s">
        <v>41</v>
      </c>
      <c r="J89">
        <v>0.86099999999999999</v>
      </c>
      <c r="K89">
        <v>2.6</v>
      </c>
      <c r="L89">
        <v>7</v>
      </c>
      <c r="N89" t="s">
        <v>2310</v>
      </c>
      <c r="O89" s="1">
        <v>44357</v>
      </c>
      <c r="S89" t="s">
        <v>915</v>
      </c>
      <c r="T89" s="6" t="s">
        <v>927</v>
      </c>
      <c r="U89" s="6" t="s">
        <v>948</v>
      </c>
      <c r="V89" s="2" t="s">
        <v>1618</v>
      </c>
      <c r="W89" t="str">
        <f t="shared" si="1"/>
        <v>2000010582_20196</v>
      </c>
      <c r="X89" s="2" t="s">
        <v>1616</v>
      </c>
    </row>
    <row r="90" spans="1:24" hidden="1" x14ac:dyDescent="0.35">
      <c r="B90">
        <v>2000010582</v>
      </c>
      <c r="C90" s="1">
        <v>44498</v>
      </c>
      <c r="D90" t="s">
        <v>2611</v>
      </c>
      <c r="F90" t="s">
        <v>52</v>
      </c>
      <c r="G90" t="s">
        <v>1606</v>
      </c>
      <c r="H90" t="s">
        <v>2613</v>
      </c>
      <c r="I90" t="s">
        <v>41</v>
      </c>
      <c r="J90">
        <v>0.89600000000000002</v>
      </c>
      <c r="K90">
        <v>2.6</v>
      </c>
      <c r="L90">
        <v>4</v>
      </c>
      <c r="M90">
        <v>0.94</v>
      </c>
      <c r="N90" t="s">
        <v>2310</v>
      </c>
      <c r="O90" s="1">
        <v>45228</v>
      </c>
      <c r="S90" t="s">
        <v>915</v>
      </c>
      <c r="T90" s="6" t="s">
        <v>948</v>
      </c>
      <c r="U90" s="6" t="s">
        <v>937</v>
      </c>
      <c r="V90" s="2" t="s">
        <v>952</v>
      </c>
      <c r="W90" t="str">
        <f t="shared" si="1"/>
        <v>2000010582_202110</v>
      </c>
      <c r="X90" s="2" t="s">
        <v>1616</v>
      </c>
    </row>
    <row r="91" spans="1:24" hidden="1" x14ac:dyDescent="0.35">
      <c r="B91">
        <v>2000010582</v>
      </c>
      <c r="C91" s="1">
        <v>45125</v>
      </c>
      <c r="D91" t="s">
        <v>2611</v>
      </c>
      <c r="F91" t="s">
        <v>52</v>
      </c>
      <c r="G91" t="s">
        <v>1606</v>
      </c>
      <c r="H91" t="s">
        <v>2614</v>
      </c>
      <c r="I91" t="s">
        <v>41</v>
      </c>
      <c r="J91">
        <v>0.93200000000000005</v>
      </c>
      <c r="K91">
        <v>3</v>
      </c>
      <c r="L91">
        <v>3</v>
      </c>
      <c r="M91">
        <v>0.88</v>
      </c>
      <c r="N91" t="s">
        <v>2314</v>
      </c>
      <c r="O91" s="1">
        <v>46221</v>
      </c>
      <c r="S91" t="s">
        <v>915</v>
      </c>
      <c r="T91" s="6" t="s">
        <v>936</v>
      </c>
      <c r="U91" s="6" t="s">
        <v>930</v>
      </c>
      <c r="V91" s="2" t="s">
        <v>955</v>
      </c>
      <c r="W91" t="str">
        <f t="shared" si="1"/>
        <v>2000010582_20237</v>
      </c>
      <c r="X91" s="2" t="s">
        <v>1616</v>
      </c>
    </row>
    <row r="92" spans="1:24" hidden="1" x14ac:dyDescent="0.35">
      <c r="A92">
        <v>11</v>
      </c>
      <c r="B92">
        <v>2000010903</v>
      </c>
      <c r="C92" s="1">
        <v>44002</v>
      </c>
      <c r="D92" t="s">
        <v>54</v>
      </c>
      <c r="E92" t="s">
        <v>18</v>
      </c>
      <c r="F92" t="s">
        <v>52</v>
      </c>
      <c r="G92" t="s">
        <v>20</v>
      </c>
      <c r="H92" t="s">
        <v>55</v>
      </c>
      <c r="I92" t="s">
        <v>41</v>
      </c>
      <c r="J92">
        <v>0.68200000000000005</v>
      </c>
      <c r="K92">
        <v>3</v>
      </c>
      <c r="L92">
        <v>3</v>
      </c>
      <c r="M92">
        <v>0.88600000000000001</v>
      </c>
      <c r="N92" t="s">
        <v>23</v>
      </c>
      <c r="O92" s="1">
        <v>44367</v>
      </c>
      <c r="S92" t="s">
        <v>915</v>
      </c>
      <c r="T92" s="6" t="s">
        <v>927</v>
      </c>
      <c r="U92" s="6" t="s">
        <v>932</v>
      </c>
      <c r="V92" s="2" t="s">
        <v>923</v>
      </c>
      <c r="W92" t="str">
        <f t="shared" si="1"/>
        <v>2000010903_20206</v>
      </c>
      <c r="X92" s="2" t="s">
        <v>1615</v>
      </c>
    </row>
    <row r="93" spans="1:24" hidden="1" x14ac:dyDescent="0.35">
      <c r="A93">
        <v>35</v>
      </c>
      <c r="B93">
        <v>2000010903</v>
      </c>
      <c r="C93" s="1">
        <v>44396</v>
      </c>
      <c r="D93" t="s">
        <v>54</v>
      </c>
      <c r="E93" t="s">
        <v>18</v>
      </c>
      <c r="F93" t="s">
        <v>52</v>
      </c>
      <c r="G93" t="s">
        <v>20</v>
      </c>
      <c r="H93" t="s">
        <v>217</v>
      </c>
      <c r="I93" t="s">
        <v>41</v>
      </c>
      <c r="J93">
        <v>0.94199999999999995</v>
      </c>
      <c r="K93">
        <v>3</v>
      </c>
      <c r="L93">
        <v>1</v>
      </c>
      <c r="M93">
        <v>0.94</v>
      </c>
      <c r="N93" t="s">
        <v>368</v>
      </c>
      <c r="O93" s="1">
        <v>45492</v>
      </c>
      <c r="R93" t="s">
        <v>186</v>
      </c>
      <c r="S93" t="s">
        <v>915</v>
      </c>
      <c r="T93" s="6" t="s">
        <v>936</v>
      </c>
      <c r="U93" s="6" t="s">
        <v>931</v>
      </c>
      <c r="V93" s="2" t="s">
        <v>952</v>
      </c>
      <c r="W93" t="str">
        <f t="shared" si="1"/>
        <v>2000010903_20217</v>
      </c>
      <c r="X93" s="2" t="s">
        <v>1615</v>
      </c>
    </row>
    <row r="94" spans="1:24" hidden="1" x14ac:dyDescent="0.35">
      <c r="B94">
        <v>2000010905</v>
      </c>
      <c r="C94" s="1">
        <v>44300</v>
      </c>
      <c r="D94" t="s">
        <v>2619</v>
      </c>
      <c r="F94" t="s">
        <v>148</v>
      </c>
      <c r="G94" t="s">
        <v>2013</v>
      </c>
      <c r="H94" t="s">
        <v>2620</v>
      </c>
      <c r="I94" t="s">
        <v>148</v>
      </c>
      <c r="J94">
        <v>0.88500000000000001</v>
      </c>
      <c r="K94">
        <v>2.8</v>
      </c>
      <c r="L94">
        <v>3</v>
      </c>
      <c r="M94">
        <v>0.63</v>
      </c>
      <c r="N94" t="s">
        <v>2310</v>
      </c>
      <c r="O94" s="1">
        <v>45030</v>
      </c>
      <c r="S94" t="s">
        <v>915</v>
      </c>
      <c r="T94" s="6" t="s">
        <v>946</v>
      </c>
      <c r="U94" s="6" t="s">
        <v>951</v>
      </c>
      <c r="V94" s="2" t="s">
        <v>952</v>
      </c>
      <c r="W94" t="str">
        <f t="shared" si="1"/>
        <v>2000010905_20214</v>
      </c>
      <c r="X94" s="2" t="s">
        <v>1616</v>
      </c>
    </row>
    <row r="95" spans="1:24" hidden="1" x14ac:dyDescent="0.35">
      <c r="B95">
        <v>2000010905</v>
      </c>
      <c r="C95" s="1">
        <v>44986</v>
      </c>
      <c r="D95" t="s">
        <v>2619</v>
      </c>
      <c r="F95" t="s">
        <v>376</v>
      </c>
      <c r="G95" t="s">
        <v>2013</v>
      </c>
      <c r="H95" t="s">
        <v>2621</v>
      </c>
      <c r="I95" t="s">
        <v>41</v>
      </c>
      <c r="J95">
        <v>0.95799999999999996</v>
      </c>
      <c r="K95">
        <v>3</v>
      </c>
      <c r="L95">
        <v>0</v>
      </c>
      <c r="M95">
        <v>0.8</v>
      </c>
      <c r="N95" t="s">
        <v>2314</v>
      </c>
      <c r="O95" s="1">
        <v>46082</v>
      </c>
      <c r="S95" t="s">
        <v>915</v>
      </c>
      <c r="T95" s="6" t="s">
        <v>941</v>
      </c>
      <c r="U95" s="6" t="s">
        <v>953</v>
      </c>
      <c r="V95" s="2" t="s">
        <v>955</v>
      </c>
      <c r="W95" t="str">
        <f t="shared" si="1"/>
        <v>2000010905_20233</v>
      </c>
      <c r="X95" s="2" t="s">
        <v>1616</v>
      </c>
    </row>
    <row r="96" spans="1:24" hidden="1" x14ac:dyDescent="0.35">
      <c r="B96">
        <v>2000011128</v>
      </c>
      <c r="C96" s="1">
        <v>43591</v>
      </c>
      <c r="D96" t="s">
        <v>2622</v>
      </c>
      <c r="F96" t="s">
        <v>39</v>
      </c>
      <c r="G96" t="s">
        <v>2387</v>
      </c>
      <c r="H96" t="s">
        <v>2623</v>
      </c>
      <c r="I96" t="s">
        <v>41</v>
      </c>
      <c r="J96">
        <v>0.74</v>
      </c>
      <c r="K96">
        <v>2.2999999999999998</v>
      </c>
      <c r="L96">
        <v>13</v>
      </c>
      <c r="N96" t="s">
        <v>23</v>
      </c>
      <c r="O96" s="1">
        <v>43957</v>
      </c>
      <c r="S96" t="s">
        <v>915</v>
      </c>
      <c r="T96" s="6" t="s">
        <v>947</v>
      </c>
      <c r="U96" s="6" t="s">
        <v>927</v>
      </c>
      <c r="V96" s="2" t="s">
        <v>1618</v>
      </c>
      <c r="W96" t="str">
        <f t="shared" si="1"/>
        <v>2000011128_20195</v>
      </c>
      <c r="X96" s="2" t="s">
        <v>1616</v>
      </c>
    </row>
    <row r="97" spans="1:24" hidden="1" x14ac:dyDescent="0.35">
      <c r="B97">
        <v>2000011177</v>
      </c>
      <c r="C97" s="1">
        <v>43874</v>
      </c>
      <c r="D97" t="s">
        <v>2624</v>
      </c>
      <c r="F97" t="s">
        <v>39</v>
      </c>
      <c r="G97" t="s">
        <v>1603</v>
      </c>
      <c r="H97" t="s">
        <v>2625</v>
      </c>
      <c r="I97" t="s">
        <v>41</v>
      </c>
      <c r="J97">
        <v>0.48209999999999997</v>
      </c>
      <c r="K97">
        <v>2.7</v>
      </c>
      <c r="L97">
        <v>7</v>
      </c>
      <c r="M97">
        <v>0.88</v>
      </c>
      <c r="N97" t="s">
        <v>23</v>
      </c>
      <c r="O97" s="1">
        <v>44240</v>
      </c>
      <c r="S97" t="s">
        <v>915</v>
      </c>
      <c r="T97" s="6" t="s">
        <v>921</v>
      </c>
      <c r="U97" s="6" t="s">
        <v>950</v>
      </c>
      <c r="V97" s="2" t="s">
        <v>923</v>
      </c>
      <c r="W97" t="str">
        <f t="shared" si="1"/>
        <v>2000011177_20202</v>
      </c>
      <c r="X97" s="2" t="s">
        <v>1616</v>
      </c>
    </row>
    <row r="98" spans="1:24" hidden="1" x14ac:dyDescent="0.35">
      <c r="B98">
        <v>2000011177</v>
      </c>
      <c r="C98" s="1">
        <v>44273</v>
      </c>
      <c r="D98" t="s">
        <v>2624</v>
      </c>
      <c r="F98" t="s">
        <v>39</v>
      </c>
      <c r="G98" t="s">
        <v>1609</v>
      </c>
      <c r="H98" t="s">
        <v>2626</v>
      </c>
      <c r="I98" t="s">
        <v>41</v>
      </c>
      <c r="J98">
        <v>0.85299999999999998</v>
      </c>
      <c r="K98">
        <v>2.4</v>
      </c>
      <c r="L98">
        <v>5</v>
      </c>
      <c r="M98">
        <v>0.83</v>
      </c>
      <c r="N98" t="s">
        <v>2310</v>
      </c>
      <c r="O98" s="1">
        <v>45003</v>
      </c>
      <c r="S98" t="s">
        <v>915</v>
      </c>
      <c r="T98" s="6" t="s">
        <v>941</v>
      </c>
      <c r="U98" s="6" t="s">
        <v>930</v>
      </c>
      <c r="V98" s="2" t="s">
        <v>952</v>
      </c>
      <c r="W98" t="str">
        <f t="shared" si="1"/>
        <v>2000011177_20213</v>
      </c>
      <c r="X98" s="2" t="s">
        <v>1616</v>
      </c>
    </row>
    <row r="99" spans="1:24" hidden="1" x14ac:dyDescent="0.35">
      <c r="B99">
        <v>2000011177</v>
      </c>
      <c r="C99" s="1">
        <v>45005</v>
      </c>
      <c r="D99" t="s">
        <v>2624</v>
      </c>
      <c r="F99" t="s">
        <v>39</v>
      </c>
      <c r="G99" t="s">
        <v>1609</v>
      </c>
      <c r="H99" t="s">
        <v>2627</v>
      </c>
      <c r="I99" t="s">
        <v>22</v>
      </c>
      <c r="J99">
        <v>0.80400000000000005</v>
      </c>
      <c r="K99">
        <v>2.6</v>
      </c>
      <c r="L99">
        <v>6</v>
      </c>
      <c r="M99">
        <v>0.86</v>
      </c>
      <c r="N99" t="s">
        <v>2310</v>
      </c>
      <c r="O99" s="1">
        <v>45736</v>
      </c>
      <c r="S99" t="s">
        <v>915</v>
      </c>
      <c r="T99" s="6" t="s">
        <v>941</v>
      </c>
      <c r="U99" s="6" t="s">
        <v>932</v>
      </c>
      <c r="V99" s="2" t="s">
        <v>955</v>
      </c>
      <c r="W99" t="str">
        <f t="shared" si="1"/>
        <v>2000011177_20233</v>
      </c>
      <c r="X99" s="2" t="s">
        <v>1616</v>
      </c>
    </row>
    <row r="100" spans="1:24" hidden="1" x14ac:dyDescent="0.35">
      <c r="A100">
        <v>22</v>
      </c>
      <c r="B100">
        <v>2000011703</v>
      </c>
      <c r="C100" s="1">
        <v>44040</v>
      </c>
      <c r="D100" t="s">
        <v>77</v>
      </c>
      <c r="E100" t="s">
        <v>18</v>
      </c>
      <c r="F100" t="s">
        <v>52</v>
      </c>
      <c r="G100" t="s">
        <v>20</v>
      </c>
      <c r="H100" t="s">
        <v>78</v>
      </c>
      <c r="I100" t="s">
        <v>41</v>
      </c>
      <c r="J100">
        <v>0.70399999999999996</v>
      </c>
      <c r="K100">
        <v>2.2999999999999998</v>
      </c>
      <c r="L100">
        <v>9</v>
      </c>
      <c r="M100">
        <v>0.65</v>
      </c>
      <c r="N100" t="s">
        <v>28</v>
      </c>
      <c r="O100" s="1">
        <v>44770</v>
      </c>
      <c r="S100" t="s">
        <v>915</v>
      </c>
      <c r="T100" s="6" t="s">
        <v>936</v>
      </c>
      <c r="U100" s="6" t="s">
        <v>926</v>
      </c>
      <c r="V100" s="2" t="s">
        <v>923</v>
      </c>
      <c r="W100" t="str">
        <f t="shared" si="1"/>
        <v>2000011703_20207</v>
      </c>
      <c r="X100" s="2" t="s">
        <v>1615</v>
      </c>
    </row>
    <row r="101" spans="1:24" hidden="1" x14ac:dyDescent="0.35">
      <c r="A101">
        <v>73</v>
      </c>
      <c r="B101">
        <v>2000011703</v>
      </c>
      <c r="C101" s="1">
        <v>44763</v>
      </c>
      <c r="D101" t="s">
        <v>77</v>
      </c>
      <c r="E101" t="s">
        <v>18</v>
      </c>
      <c r="F101" t="s">
        <v>373</v>
      </c>
      <c r="G101" t="s">
        <v>20</v>
      </c>
      <c r="H101" t="s">
        <v>483</v>
      </c>
      <c r="I101" t="s">
        <v>41</v>
      </c>
      <c r="J101">
        <v>0.70399999999999996</v>
      </c>
      <c r="K101">
        <v>2.2999999999999998</v>
      </c>
      <c r="L101">
        <v>5</v>
      </c>
      <c r="M101">
        <v>0.75</v>
      </c>
      <c r="N101" t="s">
        <v>23</v>
      </c>
      <c r="O101" s="1">
        <v>45128</v>
      </c>
      <c r="S101" t="s">
        <v>915</v>
      </c>
      <c r="T101" s="6" t="s">
        <v>936</v>
      </c>
      <c r="U101" s="6" t="s">
        <v>944</v>
      </c>
      <c r="V101" s="2" t="s">
        <v>954</v>
      </c>
      <c r="W101" t="str">
        <f t="shared" si="1"/>
        <v>2000011703_20227</v>
      </c>
      <c r="X101" s="2" t="s">
        <v>1615</v>
      </c>
    </row>
    <row r="102" spans="1:24" hidden="1" x14ac:dyDescent="0.35">
      <c r="A102">
        <v>71</v>
      </c>
      <c r="B102">
        <v>2000011776</v>
      </c>
      <c r="C102" s="1">
        <v>45476</v>
      </c>
      <c r="D102" t="s">
        <v>1816</v>
      </c>
      <c r="E102" t="s">
        <v>18</v>
      </c>
      <c r="F102" t="s">
        <v>1701</v>
      </c>
      <c r="G102" t="s">
        <v>1817</v>
      </c>
      <c r="H102" t="s">
        <v>1818</v>
      </c>
      <c r="I102" t="s">
        <v>41</v>
      </c>
      <c r="J102">
        <v>1</v>
      </c>
      <c r="K102">
        <v>3</v>
      </c>
      <c r="L102">
        <v>0</v>
      </c>
      <c r="M102">
        <v>1</v>
      </c>
      <c r="N102" t="s">
        <v>368</v>
      </c>
      <c r="O102" s="1">
        <v>46571</v>
      </c>
      <c r="S102" t="s">
        <v>915</v>
      </c>
      <c r="T102" s="5" t="s">
        <v>936</v>
      </c>
      <c r="U102" s="5" t="s">
        <v>941</v>
      </c>
      <c r="V102" t="s">
        <v>956</v>
      </c>
      <c r="W102" t="str">
        <f t="shared" si="1"/>
        <v>2000011776_20247</v>
      </c>
      <c r="X102" s="2" t="s">
        <v>1616</v>
      </c>
    </row>
    <row r="103" spans="1:24" hidden="1" x14ac:dyDescent="0.35">
      <c r="A103">
        <v>40</v>
      </c>
      <c r="B103">
        <v>2000011858</v>
      </c>
      <c r="C103" s="1">
        <v>44138</v>
      </c>
      <c r="D103" t="s">
        <v>115</v>
      </c>
      <c r="E103" t="s">
        <v>18</v>
      </c>
      <c r="F103" t="s">
        <v>39</v>
      </c>
      <c r="G103" t="s">
        <v>116</v>
      </c>
      <c r="H103" t="s">
        <v>117</v>
      </c>
      <c r="I103" t="s">
        <v>41</v>
      </c>
      <c r="J103">
        <v>0.81299999999999994</v>
      </c>
      <c r="K103">
        <v>2.7</v>
      </c>
      <c r="L103">
        <v>4</v>
      </c>
      <c r="M103">
        <v>0.84</v>
      </c>
      <c r="N103" t="s">
        <v>28</v>
      </c>
      <c r="O103" s="1">
        <v>44868</v>
      </c>
      <c r="S103" t="s">
        <v>915</v>
      </c>
      <c r="T103" s="6" t="s">
        <v>945</v>
      </c>
      <c r="U103" s="6" t="s">
        <v>941</v>
      </c>
      <c r="V103" s="2" t="s">
        <v>923</v>
      </c>
      <c r="W103" t="str">
        <f t="shared" si="1"/>
        <v>2000011858_202011</v>
      </c>
      <c r="X103" s="2" t="s">
        <v>1615</v>
      </c>
    </row>
    <row r="104" spans="1:24" hidden="1" x14ac:dyDescent="0.35">
      <c r="A104">
        <v>101</v>
      </c>
      <c r="B104">
        <v>2000011858</v>
      </c>
      <c r="C104" s="1">
        <v>44847</v>
      </c>
      <c r="D104" t="s">
        <v>115</v>
      </c>
      <c r="E104" t="s">
        <v>18</v>
      </c>
      <c r="F104" t="s">
        <v>39</v>
      </c>
      <c r="G104" t="s">
        <v>116</v>
      </c>
      <c r="H104" t="s">
        <v>519</v>
      </c>
      <c r="I104" t="s">
        <v>41</v>
      </c>
      <c r="J104">
        <v>0.84199999999999997</v>
      </c>
      <c r="K104">
        <v>2.6</v>
      </c>
      <c r="L104">
        <v>3</v>
      </c>
      <c r="M104">
        <v>0.8</v>
      </c>
      <c r="N104" t="s">
        <v>28</v>
      </c>
      <c r="O104" s="1">
        <v>45578</v>
      </c>
      <c r="S104" t="s">
        <v>915</v>
      </c>
      <c r="T104" s="6" t="s">
        <v>948</v>
      </c>
      <c r="U104" s="6" t="s">
        <v>950</v>
      </c>
      <c r="V104" s="2" t="s">
        <v>954</v>
      </c>
      <c r="W104" t="str">
        <f t="shared" si="1"/>
        <v>2000011858_202210</v>
      </c>
      <c r="X104" s="2" t="s">
        <v>1615</v>
      </c>
    </row>
    <row r="105" spans="1:24" hidden="1" x14ac:dyDescent="0.35">
      <c r="A105">
        <v>80</v>
      </c>
      <c r="B105">
        <v>2000011858</v>
      </c>
      <c r="C105" s="1">
        <v>45593</v>
      </c>
      <c r="D105" t="s">
        <v>115</v>
      </c>
      <c r="E105" t="s">
        <v>18</v>
      </c>
      <c r="F105" t="s">
        <v>39</v>
      </c>
      <c r="G105" t="s">
        <v>116</v>
      </c>
      <c r="H105" t="s">
        <v>2304</v>
      </c>
      <c r="I105" t="s">
        <v>41</v>
      </c>
      <c r="J105">
        <v>0.94399999999999995</v>
      </c>
      <c r="K105">
        <v>3</v>
      </c>
      <c r="L105">
        <v>0</v>
      </c>
      <c r="M105">
        <v>0.78</v>
      </c>
      <c r="N105" t="s">
        <v>368</v>
      </c>
      <c r="O105" s="1">
        <v>46688</v>
      </c>
      <c r="S105" t="s">
        <v>915</v>
      </c>
      <c r="T105" s="6" t="s">
        <v>948</v>
      </c>
      <c r="U105" s="6" t="s">
        <v>926</v>
      </c>
      <c r="V105" s="2" t="s">
        <v>956</v>
      </c>
      <c r="W105" t="str">
        <f t="shared" si="1"/>
        <v>2000011858_202410</v>
      </c>
      <c r="X105" s="2" t="s">
        <v>1615</v>
      </c>
    </row>
    <row r="106" spans="1:24" hidden="1" x14ac:dyDescent="0.35">
      <c r="B106">
        <v>2000011864</v>
      </c>
      <c r="C106" s="1">
        <v>43755</v>
      </c>
      <c r="D106" t="s">
        <v>2629</v>
      </c>
      <c r="F106" t="s">
        <v>39</v>
      </c>
      <c r="G106" t="s">
        <v>1606</v>
      </c>
      <c r="H106" t="s">
        <v>2630</v>
      </c>
      <c r="I106" t="s">
        <v>41</v>
      </c>
      <c r="J106">
        <v>0.90200000000000002</v>
      </c>
      <c r="K106">
        <v>2.6</v>
      </c>
      <c r="L106">
        <v>3</v>
      </c>
      <c r="N106" t="s">
        <v>2310</v>
      </c>
      <c r="O106" s="1">
        <v>44486</v>
      </c>
      <c r="S106" t="s">
        <v>915</v>
      </c>
      <c r="T106" s="6" t="s">
        <v>948</v>
      </c>
      <c r="U106" s="6" t="s">
        <v>929</v>
      </c>
      <c r="V106" s="2" t="s">
        <v>1618</v>
      </c>
      <c r="W106" t="str">
        <f t="shared" si="1"/>
        <v>2000011864_201910</v>
      </c>
      <c r="X106" s="2" t="s">
        <v>1616</v>
      </c>
    </row>
    <row r="107" spans="1:24" hidden="1" x14ac:dyDescent="0.35">
      <c r="B107">
        <v>2000011864</v>
      </c>
      <c r="C107" s="1">
        <v>44417</v>
      </c>
      <c r="D107" t="s">
        <v>2629</v>
      </c>
      <c r="F107" t="s">
        <v>39</v>
      </c>
      <c r="G107" t="s">
        <v>1606</v>
      </c>
      <c r="H107" t="s">
        <v>2631</v>
      </c>
      <c r="I107" t="s">
        <v>41</v>
      </c>
      <c r="J107">
        <v>0.98299999999999998</v>
      </c>
      <c r="K107">
        <v>3</v>
      </c>
      <c r="L107">
        <v>2</v>
      </c>
      <c r="M107">
        <v>0.91</v>
      </c>
      <c r="N107" t="s">
        <v>2314</v>
      </c>
      <c r="O107" s="1">
        <v>45513</v>
      </c>
      <c r="S107" t="s">
        <v>915</v>
      </c>
      <c r="T107" s="6" t="s">
        <v>940</v>
      </c>
      <c r="U107" s="6" t="s">
        <v>942</v>
      </c>
      <c r="V107" s="2" t="s">
        <v>952</v>
      </c>
      <c r="W107" t="str">
        <f t="shared" si="1"/>
        <v>2000011864_20218</v>
      </c>
      <c r="X107" s="2" t="s">
        <v>1616</v>
      </c>
    </row>
    <row r="108" spans="1:24" hidden="1" x14ac:dyDescent="0.35">
      <c r="A108">
        <v>36</v>
      </c>
      <c r="B108">
        <v>2000011959</v>
      </c>
      <c r="C108" s="1">
        <v>44398</v>
      </c>
      <c r="D108" t="s">
        <v>218</v>
      </c>
      <c r="E108" t="s">
        <v>18</v>
      </c>
      <c r="F108" t="s">
        <v>32</v>
      </c>
      <c r="G108" t="s">
        <v>116</v>
      </c>
      <c r="H108" t="s">
        <v>219</v>
      </c>
      <c r="I108" t="s">
        <v>41</v>
      </c>
      <c r="J108">
        <v>0.84499999999999997</v>
      </c>
      <c r="K108">
        <v>2.7</v>
      </c>
      <c r="L108">
        <v>5</v>
      </c>
      <c r="M108">
        <v>0.79</v>
      </c>
      <c r="N108" t="s">
        <v>28</v>
      </c>
      <c r="O108" s="1">
        <v>45128</v>
      </c>
      <c r="S108" t="s">
        <v>915</v>
      </c>
      <c r="T108" s="6" t="s">
        <v>936</v>
      </c>
      <c r="U108" s="6" t="s">
        <v>944</v>
      </c>
      <c r="V108" s="2" t="s">
        <v>952</v>
      </c>
      <c r="W108" t="str">
        <f t="shared" si="1"/>
        <v>2000011959_20217</v>
      </c>
      <c r="X108" s="2" t="s">
        <v>1615</v>
      </c>
    </row>
    <row r="109" spans="1:24" hidden="1" x14ac:dyDescent="0.35">
      <c r="A109">
        <v>42</v>
      </c>
      <c r="B109" t="s">
        <v>582</v>
      </c>
      <c r="C109" s="1">
        <v>45070</v>
      </c>
      <c r="D109" t="s">
        <v>583</v>
      </c>
      <c r="E109" t="s">
        <v>18</v>
      </c>
      <c r="F109" t="s">
        <v>473</v>
      </c>
      <c r="G109" t="s">
        <v>20</v>
      </c>
      <c r="H109" t="s">
        <v>584</v>
      </c>
      <c r="I109" t="s">
        <v>41</v>
      </c>
      <c r="J109">
        <v>0.84499999999999997</v>
      </c>
      <c r="K109">
        <v>2.2999999999999998</v>
      </c>
      <c r="L109">
        <v>7</v>
      </c>
      <c r="M109">
        <v>0.82</v>
      </c>
      <c r="N109" t="s">
        <v>23</v>
      </c>
      <c r="O109" s="1">
        <v>45436</v>
      </c>
      <c r="S109" t="s">
        <v>915</v>
      </c>
      <c r="T109" s="6" t="s">
        <v>947</v>
      </c>
      <c r="U109" s="6" t="s">
        <v>935</v>
      </c>
      <c r="V109" s="2" t="s">
        <v>955</v>
      </c>
      <c r="W109" t="str">
        <f t="shared" si="1"/>
        <v>2000012072_20235</v>
      </c>
      <c r="X109" s="2" t="s">
        <v>1615</v>
      </c>
    </row>
    <row r="110" spans="1:24" hidden="1" x14ac:dyDescent="0.35">
      <c r="B110">
        <v>2000012118</v>
      </c>
      <c r="C110" s="1">
        <v>43957</v>
      </c>
      <c r="D110" t="s">
        <v>2632</v>
      </c>
      <c r="F110" t="s">
        <v>32</v>
      </c>
      <c r="G110" t="s">
        <v>1603</v>
      </c>
      <c r="H110" t="s">
        <v>2633</v>
      </c>
      <c r="I110" t="s">
        <v>41</v>
      </c>
      <c r="J110">
        <v>0.81599999999999995</v>
      </c>
      <c r="K110">
        <v>2.2999999999999998</v>
      </c>
      <c r="L110">
        <v>2</v>
      </c>
      <c r="M110">
        <v>0.66700000000000004</v>
      </c>
      <c r="N110" t="s">
        <v>2310</v>
      </c>
      <c r="O110" s="1">
        <v>44687</v>
      </c>
      <c r="S110" t="s">
        <v>915</v>
      </c>
      <c r="T110" s="6" t="s">
        <v>947</v>
      </c>
      <c r="U110" s="6" t="s">
        <v>927</v>
      </c>
      <c r="V110" s="2" t="s">
        <v>923</v>
      </c>
      <c r="W110" t="str">
        <f t="shared" si="1"/>
        <v>2000012118_20205</v>
      </c>
      <c r="X110" s="2" t="s">
        <v>1616</v>
      </c>
    </row>
    <row r="111" spans="1:24" hidden="1" x14ac:dyDescent="0.35">
      <c r="B111">
        <v>2000012574</v>
      </c>
      <c r="C111" s="1">
        <v>43979</v>
      </c>
      <c r="D111" t="s">
        <v>2644</v>
      </c>
      <c r="F111" t="s">
        <v>32</v>
      </c>
      <c r="G111" t="s">
        <v>2645</v>
      </c>
      <c r="H111" t="s">
        <v>2646</v>
      </c>
      <c r="I111" t="s">
        <v>22</v>
      </c>
      <c r="J111">
        <v>0.75</v>
      </c>
      <c r="K111">
        <v>2.2000000000000002</v>
      </c>
      <c r="L111">
        <v>3</v>
      </c>
      <c r="M111">
        <v>0.77800000000000002</v>
      </c>
      <c r="N111" t="s">
        <v>2310</v>
      </c>
      <c r="O111" s="1">
        <v>44709</v>
      </c>
      <c r="S111" t="s">
        <v>915</v>
      </c>
      <c r="T111" s="6" t="s">
        <v>947</v>
      </c>
      <c r="U111" s="6" t="s">
        <v>926</v>
      </c>
      <c r="V111" s="2" t="s">
        <v>923</v>
      </c>
      <c r="W111" t="str">
        <f t="shared" si="1"/>
        <v>2000012574_20205</v>
      </c>
      <c r="X111" s="2" t="s">
        <v>1616</v>
      </c>
    </row>
    <row r="112" spans="1:24" hidden="1" x14ac:dyDescent="0.35">
      <c r="A112">
        <v>22</v>
      </c>
      <c r="B112">
        <v>2000012578</v>
      </c>
      <c r="C112" s="1">
        <v>44645</v>
      </c>
      <c r="D112" t="s">
        <v>389</v>
      </c>
      <c r="E112" t="s">
        <v>18</v>
      </c>
      <c r="F112" t="s">
        <v>373</v>
      </c>
      <c r="G112" t="s">
        <v>238</v>
      </c>
      <c r="H112" t="s">
        <v>390</v>
      </c>
      <c r="I112" t="s">
        <v>22</v>
      </c>
      <c r="J112">
        <v>0.92500000000000004</v>
      </c>
      <c r="K112">
        <v>2.2000000000000002</v>
      </c>
      <c r="L112">
        <v>2</v>
      </c>
      <c r="M112">
        <v>0.76</v>
      </c>
      <c r="N112" t="s">
        <v>28</v>
      </c>
      <c r="O112" s="1">
        <v>45376</v>
      </c>
      <c r="S112" t="s">
        <v>915</v>
      </c>
      <c r="T112" s="6" t="s">
        <v>941</v>
      </c>
      <c r="U112" s="6" t="s">
        <v>922</v>
      </c>
      <c r="V112" s="2" t="s">
        <v>954</v>
      </c>
      <c r="W112" t="str">
        <f t="shared" si="1"/>
        <v>2000012578_20223</v>
      </c>
      <c r="X112" s="2" t="s">
        <v>1615</v>
      </c>
    </row>
    <row r="113" spans="1:24" hidden="1" x14ac:dyDescent="0.35">
      <c r="A113">
        <v>53</v>
      </c>
      <c r="B113">
        <v>2000012697</v>
      </c>
      <c r="C113" s="1">
        <v>44705</v>
      </c>
      <c r="D113" t="s">
        <v>448</v>
      </c>
      <c r="E113" t="s">
        <v>18</v>
      </c>
      <c r="F113" t="s">
        <v>39</v>
      </c>
      <c r="G113" t="s">
        <v>20</v>
      </c>
      <c r="H113" t="s">
        <v>449</v>
      </c>
      <c r="I113" t="s">
        <v>41</v>
      </c>
      <c r="J113">
        <v>0.81299999999999994</v>
      </c>
      <c r="K113">
        <v>2.2999999999999998</v>
      </c>
      <c r="L113">
        <v>5</v>
      </c>
      <c r="M113">
        <v>0.74</v>
      </c>
      <c r="N113" t="s">
        <v>28</v>
      </c>
      <c r="O113" s="1">
        <v>45436</v>
      </c>
      <c r="S113" t="s">
        <v>915</v>
      </c>
      <c r="T113" s="6" t="s">
        <v>947</v>
      </c>
      <c r="U113" s="6" t="s">
        <v>935</v>
      </c>
      <c r="V113" s="2" t="s">
        <v>954</v>
      </c>
      <c r="W113" t="str">
        <f t="shared" si="1"/>
        <v>2000012697_20225</v>
      </c>
      <c r="X113" s="2" t="s">
        <v>1615</v>
      </c>
    </row>
    <row r="114" spans="1:24" hidden="1" x14ac:dyDescent="0.35">
      <c r="B114">
        <v>2000013052</v>
      </c>
      <c r="C114" s="1">
        <v>43643</v>
      </c>
      <c r="D114" t="s">
        <v>2652</v>
      </c>
      <c r="F114" t="s">
        <v>19</v>
      </c>
      <c r="G114" t="s">
        <v>1669</v>
      </c>
      <c r="H114" t="s">
        <v>2653</v>
      </c>
      <c r="I114" t="s">
        <v>22</v>
      </c>
      <c r="J114">
        <v>0.88700000000000001</v>
      </c>
      <c r="K114">
        <v>3</v>
      </c>
      <c r="L114">
        <v>2</v>
      </c>
      <c r="N114" t="s">
        <v>2310</v>
      </c>
      <c r="O114" s="1">
        <v>44374</v>
      </c>
      <c r="S114" t="s">
        <v>915</v>
      </c>
      <c r="T114" s="6" t="s">
        <v>927</v>
      </c>
      <c r="U114" s="6" t="s">
        <v>925</v>
      </c>
      <c r="V114" s="2" t="s">
        <v>1618</v>
      </c>
      <c r="W114" t="str">
        <f t="shared" si="1"/>
        <v>2000013052_20196</v>
      </c>
      <c r="X114" s="2" t="s">
        <v>1616</v>
      </c>
    </row>
    <row r="115" spans="1:24" hidden="1" x14ac:dyDescent="0.35">
      <c r="B115">
        <v>2000013052</v>
      </c>
      <c r="C115" s="1">
        <v>44302</v>
      </c>
      <c r="D115" t="s">
        <v>2652</v>
      </c>
      <c r="F115" t="s">
        <v>19</v>
      </c>
      <c r="G115" t="s">
        <v>1669</v>
      </c>
      <c r="H115" t="s">
        <v>2654</v>
      </c>
      <c r="I115" t="s">
        <v>22</v>
      </c>
      <c r="J115">
        <v>0.95899999999999996</v>
      </c>
      <c r="K115">
        <v>3</v>
      </c>
      <c r="L115">
        <v>0</v>
      </c>
      <c r="M115">
        <v>0.97</v>
      </c>
      <c r="N115" t="s">
        <v>2314</v>
      </c>
      <c r="O115" s="1">
        <v>45398</v>
      </c>
      <c r="S115" t="s">
        <v>915</v>
      </c>
      <c r="T115" s="6" t="s">
        <v>946</v>
      </c>
      <c r="U115" s="6" t="s">
        <v>928</v>
      </c>
      <c r="V115" s="2" t="s">
        <v>952</v>
      </c>
      <c r="W115" t="str">
        <f t="shared" si="1"/>
        <v>2000013052_20214</v>
      </c>
      <c r="X115" s="2" t="s">
        <v>1616</v>
      </c>
    </row>
    <row r="116" spans="1:24" hidden="1" x14ac:dyDescent="0.35">
      <c r="B116">
        <v>2000013059</v>
      </c>
      <c r="C116" s="1">
        <v>44027</v>
      </c>
      <c r="D116" t="s">
        <v>2655</v>
      </c>
      <c r="F116" t="s">
        <v>19</v>
      </c>
      <c r="G116" t="s">
        <v>1753</v>
      </c>
      <c r="H116" t="s">
        <v>2656</v>
      </c>
      <c r="I116" t="s">
        <v>41</v>
      </c>
      <c r="J116">
        <v>0.875</v>
      </c>
      <c r="K116">
        <v>3</v>
      </c>
      <c r="L116">
        <v>0</v>
      </c>
      <c r="M116">
        <v>0.51</v>
      </c>
      <c r="N116" t="s">
        <v>2310</v>
      </c>
      <c r="O116" s="1">
        <v>44757</v>
      </c>
      <c r="S116" t="s">
        <v>915</v>
      </c>
      <c r="T116" s="6" t="s">
        <v>936</v>
      </c>
      <c r="U116" s="6" t="s">
        <v>943</v>
      </c>
      <c r="V116" s="2" t="s">
        <v>923</v>
      </c>
      <c r="W116" t="str">
        <f t="shared" si="1"/>
        <v>2000013059_20207</v>
      </c>
      <c r="X116" s="2" t="s">
        <v>1616</v>
      </c>
    </row>
    <row r="117" spans="1:24" hidden="1" x14ac:dyDescent="0.35">
      <c r="B117">
        <v>2000013237</v>
      </c>
      <c r="C117" s="1">
        <v>43668</v>
      </c>
      <c r="D117" t="s">
        <v>2657</v>
      </c>
      <c r="F117" t="s">
        <v>32</v>
      </c>
      <c r="G117" t="s">
        <v>2658</v>
      </c>
      <c r="H117" t="s">
        <v>2659</v>
      </c>
      <c r="I117" t="s">
        <v>22</v>
      </c>
      <c r="J117">
        <v>0.95699999999999996</v>
      </c>
      <c r="K117">
        <v>2.2000000000000002</v>
      </c>
      <c r="L117">
        <v>7</v>
      </c>
      <c r="N117" t="s">
        <v>2310</v>
      </c>
      <c r="O117" s="1">
        <v>44399</v>
      </c>
      <c r="S117" t="s">
        <v>915</v>
      </c>
      <c r="T117" s="6" t="s">
        <v>936</v>
      </c>
      <c r="U117" s="6" t="s">
        <v>933</v>
      </c>
      <c r="V117" s="2" t="s">
        <v>1618</v>
      </c>
      <c r="W117" t="str">
        <f t="shared" si="1"/>
        <v>2000013237_20197</v>
      </c>
      <c r="X117" s="2" t="s">
        <v>1616</v>
      </c>
    </row>
    <row r="118" spans="1:24" hidden="1" x14ac:dyDescent="0.35">
      <c r="B118">
        <v>2000013237</v>
      </c>
      <c r="C118" s="1">
        <v>44517</v>
      </c>
      <c r="D118" t="s">
        <v>2657</v>
      </c>
      <c r="F118" t="s">
        <v>32</v>
      </c>
      <c r="G118" t="s">
        <v>1740</v>
      </c>
      <c r="H118" t="s">
        <v>2660</v>
      </c>
      <c r="I118" t="s">
        <v>22</v>
      </c>
      <c r="J118">
        <v>0.9</v>
      </c>
      <c r="K118">
        <v>2.8</v>
      </c>
      <c r="L118">
        <v>5</v>
      </c>
      <c r="M118">
        <v>0.87</v>
      </c>
      <c r="N118" t="s">
        <v>2310</v>
      </c>
      <c r="O118" s="1">
        <v>45247</v>
      </c>
      <c r="S118" t="s">
        <v>915</v>
      </c>
      <c r="T118" s="6" t="s">
        <v>945</v>
      </c>
      <c r="U118" s="6" t="s">
        <v>929</v>
      </c>
      <c r="V118" s="2" t="s">
        <v>952</v>
      </c>
      <c r="W118" t="str">
        <f t="shared" si="1"/>
        <v>2000013237_202111</v>
      </c>
      <c r="X118" s="2" t="s">
        <v>1616</v>
      </c>
    </row>
    <row r="119" spans="1:24" hidden="1" x14ac:dyDescent="0.35">
      <c r="A119">
        <v>33</v>
      </c>
      <c r="B119">
        <v>2000013298</v>
      </c>
      <c r="C119" s="1">
        <v>43637</v>
      </c>
      <c r="D119" t="s">
        <v>1633</v>
      </c>
      <c r="E119" t="s">
        <v>18</v>
      </c>
      <c r="F119" t="s">
        <v>19</v>
      </c>
      <c r="G119" t="s">
        <v>168</v>
      </c>
      <c r="H119" t="s">
        <v>1634</v>
      </c>
      <c r="I119" t="s">
        <v>22</v>
      </c>
      <c r="J119">
        <v>0.83599999999999997</v>
      </c>
      <c r="K119">
        <v>3</v>
      </c>
      <c r="L119">
        <v>1</v>
      </c>
      <c r="N119" t="s">
        <v>28</v>
      </c>
      <c r="O119" s="1">
        <v>44368</v>
      </c>
      <c r="S119" t="s">
        <v>915</v>
      </c>
      <c r="T119" s="5" t="s">
        <v>927</v>
      </c>
      <c r="U119" s="5">
        <v>21</v>
      </c>
      <c r="V119" t="s">
        <v>1618</v>
      </c>
      <c r="W119" t="str">
        <f t="shared" si="1"/>
        <v>2000013298_20196</v>
      </c>
      <c r="X119" s="2" t="s">
        <v>1615</v>
      </c>
    </row>
    <row r="120" spans="1:24" hidden="1" x14ac:dyDescent="0.35">
      <c r="A120">
        <v>82</v>
      </c>
      <c r="B120">
        <v>2000013338</v>
      </c>
      <c r="C120" s="1">
        <v>44483</v>
      </c>
      <c r="D120" t="s">
        <v>307</v>
      </c>
      <c r="E120" t="s">
        <v>18</v>
      </c>
      <c r="F120" t="s">
        <v>148</v>
      </c>
      <c r="G120" t="s">
        <v>149</v>
      </c>
      <c r="H120" t="s">
        <v>308</v>
      </c>
      <c r="I120" t="s">
        <v>148</v>
      </c>
      <c r="J120">
        <v>0.71199999999999997</v>
      </c>
      <c r="K120">
        <v>2.5</v>
      </c>
      <c r="L120">
        <v>5</v>
      </c>
      <c r="M120">
        <v>0.51</v>
      </c>
      <c r="N120" t="s">
        <v>23</v>
      </c>
      <c r="O120" s="1">
        <v>44848</v>
      </c>
      <c r="S120" t="s">
        <v>915</v>
      </c>
      <c r="T120" s="6" t="s">
        <v>948</v>
      </c>
      <c r="U120" s="6" t="s">
        <v>951</v>
      </c>
      <c r="V120" s="2" t="s">
        <v>952</v>
      </c>
      <c r="W120" t="str">
        <f t="shared" si="1"/>
        <v>2000013338_202110</v>
      </c>
      <c r="X120" s="2" t="s">
        <v>1615</v>
      </c>
    </row>
    <row r="121" spans="1:24" hidden="1" x14ac:dyDescent="0.35">
      <c r="B121">
        <v>2000013458</v>
      </c>
      <c r="C121" s="1">
        <v>44489</v>
      </c>
      <c r="D121" t="s">
        <v>1672</v>
      </c>
      <c r="F121" t="s">
        <v>148</v>
      </c>
      <c r="G121" t="s">
        <v>1673</v>
      </c>
      <c r="H121" t="s">
        <v>2668</v>
      </c>
      <c r="I121" t="s">
        <v>148</v>
      </c>
      <c r="J121">
        <v>0.86699999999999999</v>
      </c>
      <c r="K121">
        <v>2.2999999999999998</v>
      </c>
      <c r="L121">
        <v>4</v>
      </c>
      <c r="M121">
        <v>0.64</v>
      </c>
      <c r="N121" t="s">
        <v>2310</v>
      </c>
      <c r="O121" s="1">
        <v>45219</v>
      </c>
      <c r="S121" t="s">
        <v>915</v>
      </c>
      <c r="T121" s="6" t="s">
        <v>948</v>
      </c>
      <c r="U121" s="6" t="s">
        <v>932</v>
      </c>
      <c r="V121" s="2" t="s">
        <v>952</v>
      </c>
      <c r="W121" t="str">
        <f t="shared" si="1"/>
        <v>2000013458_202110</v>
      </c>
      <c r="X121" s="2" t="s">
        <v>1616</v>
      </c>
    </row>
    <row r="122" spans="1:24" hidden="1" x14ac:dyDescent="0.35">
      <c r="A122">
        <v>14</v>
      </c>
      <c r="B122">
        <v>2000013458</v>
      </c>
      <c r="C122" s="1">
        <v>45372</v>
      </c>
      <c r="D122" t="s">
        <v>1672</v>
      </c>
      <c r="E122" t="s">
        <v>18</v>
      </c>
      <c r="F122" t="s">
        <v>148</v>
      </c>
      <c r="G122" t="s">
        <v>1673</v>
      </c>
      <c r="H122" t="s">
        <v>1674</v>
      </c>
      <c r="I122" t="s">
        <v>148</v>
      </c>
      <c r="J122">
        <v>0.83299999999999996</v>
      </c>
      <c r="K122">
        <v>2.7</v>
      </c>
      <c r="L122">
        <v>2</v>
      </c>
      <c r="M122">
        <v>0.69</v>
      </c>
      <c r="N122" t="s">
        <v>28</v>
      </c>
      <c r="O122" s="1">
        <v>46102</v>
      </c>
      <c r="S122" t="s">
        <v>915</v>
      </c>
      <c r="T122" s="5" t="s">
        <v>941</v>
      </c>
      <c r="U122" s="5" t="s">
        <v>944</v>
      </c>
      <c r="V122" t="s">
        <v>956</v>
      </c>
      <c r="W122" t="str">
        <f t="shared" si="1"/>
        <v>2000013458_20243</v>
      </c>
      <c r="X122" s="2" t="s">
        <v>1616</v>
      </c>
    </row>
    <row r="123" spans="1:24" hidden="1" x14ac:dyDescent="0.35">
      <c r="B123">
        <v>2000013467</v>
      </c>
      <c r="C123" s="1">
        <v>43671</v>
      </c>
      <c r="D123" t="s">
        <v>2669</v>
      </c>
      <c r="F123" t="s">
        <v>32</v>
      </c>
      <c r="G123" t="s">
        <v>2032</v>
      </c>
      <c r="H123" t="s">
        <v>2670</v>
      </c>
      <c r="I123" t="s">
        <v>22</v>
      </c>
      <c r="J123">
        <v>0.68100000000000005</v>
      </c>
      <c r="K123">
        <v>2</v>
      </c>
      <c r="L123">
        <v>11</v>
      </c>
      <c r="N123" t="s">
        <v>23</v>
      </c>
      <c r="O123" s="1">
        <v>44037</v>
      </c>
      <c r="S123" t="s">
        <v>915</v>
      </c>
      <c r="T123" s="6" t="s">
        <v>936</v>
      </c>
      <c r="U123" s="6" t="s">
        <v>922</v>
      </c>
      <c r="V123" s="2" t="s">
        <v>1618</v>
      </c>
      <c r="W123" t="str">
        <f t="shared" si="1"/>
        <v>2000013467_20197</v>
      </c>
      <c r="X123" s="2" t="s">
        <v>1616</v>
      </c>
    </row>
    <row r="124" spans="1:24" hidden="1" x14ac:dyDescent="0.35">
      <c r="B124">
        <v>2000013467</v>
      </c>
      <c r="C124" s="1">
        <v>44018</v>
      </c>
      <c r="D124" t="s">
        <v>2671</v>
      </c>
      <c r="F124" t="s">
        <v>32</v>
      </c>
      <c r="G124" t="s">
        <v>2032</v>
      </c>
      <c r="H124" t="s">
        <v>2672</v>
      </c>
      <c r="I124" t="s">
        <v>22</v>
      </c>
      <c r="J124">
        <v>0.85899999999999999</v>
      </c>
      <c r="K124">
        <v>2.6</v>
      </c>
      <c r="L124">
        <v>5</v>
      </c>
      <c r="M124">
        <v>0.77800000000000002</v>
      </c>
      <c r="N124" t="s">
        <v>2310</v>
      </c>
      <c r="O124" s="1">
        <v>44748</v>
      </c>
      <c r="S124" t="s">
        <v>915</v>
      </c>
      <c r="T124" s="6" t="s">
        <v>936</v>
      </c>
      <c r="U124" s="6" t="s">
        <v>927</v>
      </c>
      <c r="V124" s="2" t="s">
        <v>923</v>
      </c>
      <c r="W124" t="str">
        <f t="shared" si="1"/>
        <v>2000013467_20207</v>
      </c>
      <c r="X124" s="2" t="s">
        <v>1616</v>
      </c>
    </row>
    <row r="125" spans="1:24" hidden="1" x14ac:dyDescent="0.35">
      <c r="B125">
        <v>2000013467</v>
      </c>
      <c r="C125" s="1">
        <v>44670</v>
      </c>
      <c r="D125" t="s">
        <v>2671</v>
      </c>
      <c r="F125" t="s">
        <v>32</v>
      </c>
      <c r="G125" t="s">
        <v>2032</v>
      </c>
      <c r="H125" t="s">
        <v>2673</v>
      </c>
      <c r="I125" t="s">
        <v>22</v>
      </c>
      <c r="J125">
        <v>0.92300000000000004</v>
      </c>
      <c r="K125">
        <v>2.8</v>
      </c>
      <c r="L125">
        <v>2</v>
      </c>
      <c r="M125">
        <v>0.84</v>
      </c>
      <c r="N125" t="s">
        <v>2310</v>
      </c>
      <c r="O125" s="1">
        <v>45401</v>
      </c>
      <c r="S125" t="s">
        <v>915</v>
      </c>
      <c r="T125" s="6" t="s">
        <v>946</v>
      </c>
      <c r="U125" s="6" t="s">
        <v>931</v>
      </c>
      <c r="V125" s="2" t="s">
        <v>954</v>
      </c>
      <c r="W125" t="str">
        <f t="shared" si="1"/>
        <v>2000013467_20224</v>
      </c>
      <c r="X125" s="2" t="s">
        <v>1616</v>
      </c>
    </row>
    <row r="126" spans="1:24" hidden="1" x14ac:dyDescent="0.35">
      <c r="A126">
        <v>69</v>
      </c>
      <c r="B126">
        <v>2000013538</v>
      </c>
      <c r="C126" s="1">
        <v>44461</v>
      </c>
      <c r="D126" t="s">
        <v>284</v>
      </c>
      <c r="E126" t="s">
        <v>18</v>
      </c>
      <c r="F126" t="s">
        <v>148</v>
      </c>
      <c r="G126" t="s">
        <v>245</v>
      </c>
      <c r="H126" t="s">
        <v>285</v>
      </c>
      <c r="I126" t="s">
        <v>148</v>
      </c>
      <c r="J126">
        <v>0.88500000000000001</v>
      </c>
      <c r="K126">
        <v>2.4500000000000002</v>
      </c>
      <c r="L126">
        <v>2</v>
      </c>
      <c r="M126">
        <v>0.51</v>
      </c>
      <c r="N126" t="s">
        <v>28</v>
      </c>
      <c r="O126" s="1">
        <v>45191</v>
      </c>
      <c r="S126" t="s">
        <v>915</v>
      </c>
      <c r="T126" s="6" t="s">
        <v>942</v>
      </c>
      <c r="U126" s="6" t="s">
        <v>933</v>
      </c>
      <c r="V126" s="2" t="s">
        <v>952</v>
      </c>
      <c r="W126" t="str">
        <f t="shared" si="1"/>
        <v>2000013538_20219</v>
      </c>
      <c r="X126" s="2" t="s">
        <v>1615</v>
      </c>
    </row>
    <row r="127" spans="1:24" hidden="1" x14ac:dyDescent="0.35">
      <c r="A127">
        <v>4</v>
      </c>
      <c r="B127">
        <v>2000013748</v>
      </c>
      <c r="C127" s="1">
        <v>43889</v>
      </c>
      <c r="D127" t="s">
        <v>35</v>
      </c>
      <c r="E127" t="s">
        <v>18</v>
      </c>
      <c r="F127" t="s">
        <v>19</v>
      </c>
      <c r="G127" t="s">
        <v>26</v>
      </c>
      <c r="H127" t="s">
        <v>36</v>
      </c>
      <c r="I127" t="s">
        <v>22</v>
      </c>
      <c r="J127">
        <v>0.90680000000000005</v>
      </c>
      <c r="K127">
        <v>3</v>
      </c>
      <c r="L127">
        <v>0</v>
      </c>
      <c r="M127">
        <v>0.89</v>
      </c>
      <c r="N127" t="s">
        <v>28</v>
      </c>
      <c r="O127" s="1">
        <v>44620</v>
      </c>
      <c r="P127" t="s">
        <v>37</v>
      </c>
      <c r="Q127" t="s">
        <v>30</v>
      </c>
      <c r="S127" t="s">
        <v>915</v>
      </c>
      <c r="T127" s="6" t="s">
        <v>921</v>
      </c>
      <c r="U127" s="6" t="s">
        <v>926</v>
      </c>
      <c r="V127" s="2" t="s">
        <v>923</v>
      </c>
      <c r="W127" t="str">
        <f t="shared" si="1"/>
        <v>2000013748_20202</v>
      </c>
      <c r="X127" s="2" t="s">
        <v>1615</v>
      </c>
    </row>
    <row r="128" spans="1:24" hidden="1" x14ac:dyDescent="0.35">
      <c r="A128">
        <v>46</v>
      </c>
      <c r="B128">
        <v>2000013786</v>
      </c>
      <c r="C128" s="1">
        <v>44697</v>
      </c>
      <c r="D128" t="s">
        <v>434</v>
      </c>
      <c r="E128" t="s">
        <v>18</v>
      </c>
      <c r="F128" t="s">
        <v>39</v>
      </c>
      <c r="G128" t="s">
        <v>20</v>
      </c>
      <c r="H128" t="s">
        <v>435</v>
      </c>
      <c r="I128" t="s">
        <v>41</v>
      </c>
      <c r="J128">
        <v>0.73199999999999998</v>
      </c>
      <c r="K128">
        <v>2</v>
      </c>
      <c r="L128">
        <v>7</v>
      </c>
      <c r="M128">
        <v>0.95</v>
      </c>
      <c r="N128" t="s">
        <v>23</v>
      </c>
      <c r="O128" s="1">
        <v>45062</v>
      </c>
      <c r="S128" t="s">
        <v>915</v>
      </c>
      <c r="T128" s="6" t="s">
        <v>947</v>
      </c>
      <c r="U128" s="6" t="s">
        <v>928</v>
      </c>
      <c r="V128" s="2" t="s">
        <v>954</v>
      </c>
      <c r="W128" t="str">
        <f t="shared" si="1"/>
        <v>2000013786_20225</v>
      </c>
      <c r="X128" s="2" t="s">
        <v>1615</v>
      </c>
    </row>
    <row r="129" spans="1:24" hidden="1" x14ac:dyDescent="0.35">
      <c r="A129">
        <v>48</v>
      </c>
      <c r="B129">
        <v>2000013786</v>
      </c>
      <c r="C129" s="1">
        <v>45476</v>
      </c>
      <c r="D129" t="s">
        <v>434</v>
      </c>
      <c r="E129" t="s">
        <v>18</v>
      </c>
      <c r="F129" t="s">
        <v>39</v>
      </c>
      <c r="G129" t="s">
        <v>20</v>
      </c>
      <c r="H129" t="s">
        <v>435</v>
      </c>
      <c r="I129" t="s">
        <v>148</v>
      </c>
      <c r="J129">
        <v>0.63200000000000001</v>
      </c>
      <c r="K129">
        <v>2.4</v>
      </c>
      <c r="L129">
        <v>4</v>
      </c>
      <c r="M129">
        <v>0.98</v>
      </c>
      <c r="N129" t="s">
        <v>23</v>
      </c>
      <c r="O129" s="1">
        <v>45841</v>
      </c>
      <c r="S129" t="s">
        <v>915</v>
      </c>
      <c r="T129" s="6" t="s">
        <v>936</v>
      </c>
      <c r="U129" s="6" t="s">
        <v>941</v>
      </c>
      <c r="V129" s="2" t="s">
        <v>956</v>
      </c>
      <c r="W129" t="str">
        <f t="shared" si="1"/>
        <v>2000013786_20247</v>
      </c>
      <c r="X129" s="2" t="s">
        <v>1615</v>
      </c>
    </row>
    <row r="130" spans="1:24" hidden="1" x14ac:dyDescent="0.35">
      <c r="A130">
        <v>23</v>
      </c>
      <c r="B130">
        <v>2000013925</v>
      </c>
      <c r="C130" s="1">
        <v>44041</v>
      </c>
      <c r="D130" t="s">
        <v>79</v>
      </c>
      <c r="E130" t="s">
        <v>18</v>
      </c>
      <c r="F130" t="s">
        <v>52</v>
      </c>
      <c r="G130" t="s">
        <v>20</v>
      </c>
      <c r="H130" t="s">
        <v>80</v>
      </c>
      <c r="I130" t="s">
        <v>41</v>
      </c>
      <c r="J130">
        <v>0.80300000000000005</v>
      </c>
      <c r="K130">
        <v>2.7</v>
      </c>
      <c r="L130">
        <v>6</v>
      </c>
      <c r="M130">
        <v>0.85880000000000001</v>
      </c>
      <c r="N130" t="s">
        <v>28</v>
      </c>
      <c r="O130" s="1">
        <v>44771</v>
      </c>
      <c r="Q130" t="s">
        <v>50</v>
      </c>
      <c r="S130" t="s">
        <v>915</v>
      </c>
      <c r="T130" s="6" t="s">
        <v>936</v>
      </c>
      <c r="U130" s="6" t="s">
        <v>937</v>
      </c>
      <c r="V130" s="2" t="s">
        <v>923</v>
      </c>
      <c r="W130" t="str">
        <f t="shared" ref="W130:W193" si="2">CONCATENATE(B130,"_",V130,T130)</f>
        <v>2000013925_20207</v>
      </c>
      <c r="X130" s="2" t="s">
        <v>1615</v>
      </c>
    </row>
    <row r="131" spans="1:24" hidden="1" x14ac:dyDescent="0.35">
      <c r="B131">
        <v>2000013939</v>
      </c>
      <c r="C131" s="1">
        <v>44665</v>
      </c>
      <c r="D131" t="s">
        <v>2691</v>
      </c>
      <c r="F131" t="s">
        <v>148</v>
      </c>
      <c r="G131" t="s">
        <v>1606</v>
      </c>
      <c r="H131" t="s">
        <v>2692</v>
      </c>
      <c r="I131" t="s">
        <v>148</v>
      </c>
      <c r="J131">
        <v>1</v>
      </c>
      <c r="K131">
        <v>3</v>
      </c>
      <c r="L131">
        <v>1</v>
      </c>
      <c r="M131">
        <v>0.92</v>
      </c>
      <c r="N131" t="s">
        <v>2314</v>
      </c>
      <c r="O131" s="1">
        <v>45761</v>
      </c>
      <c r="S131" t="s">
        <v>915</v>
      </c>
      <c r="T131" s="6" t="s">
        <v>946</v>
      </c>
      <c r="U131" s="6" t="s">
        <v>951</v>
      </c>
      <c r="V131" s="2" t="s">
        <v>954</v>
      </c>
      <c r="W131" t="str">
        <f t="shared" si="2"/>
        <v>2000013939_20224</v>
      </c>
      <c r="X131" s="2" t="s">
        <v>1616</v>
      </c>
    </row>
    <row r="132" spans="1:24" hidden="1" x14ac:dyDescent="0.35">
      <c r="B132">
        <v>2000014163</v>
      </c>
      <c r="C132" s="1">
        <v>43977</v>
      </c>
      <c r="D132" t="s">
        <v>2698</v>
      </c>
      <c r="F132" t="s">
        <v>19</v>
      </c>
      <c r="G132" t="s">
        <v>1673</v>
      </c>
      <c r="H132" t="s">
        <v>2699</v>
      </c>
      <c r="I132" t="s">
        <v>22</v>
      </c>
      <c r="J132">
        <v>0.92700000000000005</v>
      </c>
      <c r="K132">
        <v>2</v>
      </c>
      <c r="L132">
        <v>6</v>
      </c>
      <c r="M132">
        <v>0.747</v>
      </c>
      <c r="N132" t="s">
        <v>23</v>
      </c>
      <c r="O132" s="1">
        <v>44342</v>
      </c>
      <c r="S132" t="s">
        <v>915</v>
      </c>
      <c r="T132" s="6" t="s">
        <v>947</v>
      </c>
      <c r="U132" s="6" t="s">
        <v>924</v>
      </c>
      <c r="V132" s="2" t="s">
        <v>923</v>
      </c>
      <c r="W132" t="str">
        <f t="shared" si="2"/>
        <v>2000014163_20205</v>
      </c>
      <c r="X132" s="2" t="s">
        <v>1616</v>
      </c>
    </row>
    <row r="133" spans="1:24" hidden="1" x14ac:dyDescent="0.35">
      <c r="A133">
        <v>81</v>
      </c>
      <c r="B133">
        <v>2000014229</v>
      </c>
      <c r="C133" s="1">
        <v>44482</v>
      </c>
      <c r="D133" t="s">
        <v>305</v>
      </c>
      <c r="E133" t="s">
        <v>18</v>
      </c>
      <c r="F133" t="s">
        <v>148</v>
      </c>
      <c r="G133" t="s">
        <v>149</v>
      </c>
      <c r="H133" t="s">
        <v>306</v>
      </c>
      <c r="I133" t="s">
        <v>148</v>
      </c>
      <c r="J133">
        <v>0.71399999999999997</v>
      </c>
      <c r="K133">
        <v>2.5</v>
      </c>
      <c r="L133">
        <v>4</v>
      </c>
      <c r="M133">
        <v>0.59</v>
      </c>
      <c r="N133" t="s">
        <v>23</v>
      </c>
      <c r="O133" s="1">
        <v>44847</v>
      </c>
      <c r="S133" t="s">
        <v>915</v>
      </c>
      <c r="T133" s="6" t="s">
        <v>948</v>
      </c>
      <c r="U133" s="6" t="s">
        <v>950</v>
      </c>
      <c r="V133" s="2" t="s">
        <v>952</v>
      </c>
      <c r="W133" t="str">
        <f t="shared" si="2"/>
        <v>2000014229_202110</v>
      </c>
      <c r="X133" s="2" t="s">
        <v>1615</v>
      </c>
    </row>
    <row r="134" spans="1:24" hidden="1" x14ac:dyDescent="0.35">
      <c r="B134">
        <v>2000014401</v>
      </c>
      <c r="C134" s="1">
        <v>43973</v>
      </c>
      <c r="D134" t="s">
        <v>2704</v>
      </c>
      <c r="F134" t="s">
        <v>19</v>
      </c>
      <c r="G134" t="s">
        <v>1669</v>
      </c>
      <c r="H134" t="s">
        <v>2705</v>
      </c>
      <c r="I134" t="s">
        <v>22</v>
      </c>
      <c r="J134">
        <v>0.95799999999999996</v>
      </c>
      <c r="K134">
        <v>3</v>
      </c>
      <c r="L134">
        <v>1</v>
      </c>
      <c r="M134">
        <v>0.98</v>
      </c>
      <c r="N134" t="s">
        <v>2310</v>
      </c>
      <c r="O134" s="1">
        <v>44703</v>
      </c>
      <c r="S134" t="s">
        <v>915</v>
      </c>
      <c r="T134" s="6" t="s">
        <v>947</v>
      </c>
      <c r="U134" s="6" t="s">
        <v>933</v>
      </c>
      <c r="V134" s="2" t="s">
        <v>923</v>
      </c>
      <c r="W134" t="str">
        <f t="shared" si="2"/>
        <v>2000014401_20205</v>
      </c>
      <c r="X134" s="2" t="s">
        <v>1616</v>
      </c>
    </row>
    <row r="135" spans="1:24" hidden="1" x14ac:dyDescent="0.35">
      <c r="B135">
        <v>2000014401</v>
      </c>
      <c r="C135" s="1">
        <v>44652</v>
      </c>
      <c r="D135" t="s">
        <v>2704</v>
      </c>
      <c r="F135" t="s">
        <v>19</v>
      </c>
      <c r="G135" t="s">
        <v>1669</v>
      </c>
      <c r="H135" t="s">
        <v>2706</v>
      </c>
      <c r="I135" t="s">
        <v>22</v>
      </c>
      <c r="J135">
        <v>0.99199999999999999</v>
      </c>
      <c r="K135">
        <v>3</v>
      </c>
      <c r="L135">
        <v>0</v>
      </c>
      <c r="M135">
        <v>0.95</v>
      </c>
      <c r="N135" t="s">
        <v>2314</v>
      </c>
      <c r="O135" s="1">
        <v>45748</v>
      </c>
      <c r="S135" t="s">
        <v>915</v>
      </c>
      <c r="T135" s="6" t="s">
        <v>946</v>
      </c>
      <c r="U135" s="6" t="s">
        <v>953</v>
      </c>
      <c r="V135" s="2" t="s">
        <v>954</v>
      </c>
      <c r="W135" t="str">
        <f t="shared" si="2"/>
        <v>2000014401_20224</v>
      </c>
      <c r="X135" s="2" t="s">
        <v>1616</v>
      </c>
    </row>
    <row r="136" spans="1:24" hidden="1" x14ac:dyDescent="0.35">
      <c r="B136">
        <v>2000014526</v>
      </c>
      <c r="C136" s="1">
        <v>44481</v>
      </c>
      <c r="D136" t="s">
        <v>2714</v>
      </c>
      <c r="F136" t="s">
        <v>39</v>
      </c>
      <c r="G136" t="s">
        <v>1673</v>
      </c>
      <c r="H136" t="s">
        <v>2715</v>
      </c>
      <c r="I136" t="s">
        <v>41</v>
      </c>
      <c r="J136">
        <v>0.92</v>
      </c>
      <c r="K136">
        <v>3</v>
      </c>
      <c r="L136">
        <v>2</v>
      </c>
      <c r="M136">
        <v>0.8</v>
      </c>
      <c r="N136" t="s">
        <v>2314</v>
      </c>
      <c r="O136" s="1">
        <v>45577</v>
      </c>
      <c r="S136" t="s">
        <v>915</v>
      </c>
      <c r="T136" s="6" t="s">
        <v>948</v>
      </c>
      <c r="U136" s="6" t="s">
        <v>949</v>
      </c>
      <c r="V136" s="2" t="s">
        <v>952</v>
      </c>
      <c r="W136" t="str">
        <f t="shared" si="2"/>
        <v>2000014526_202110</v>
      </c>
      <c r="X136" s="2" t="s">
        <v>1616</v>
      </c>
    </row>
    <row r="137" spans="1:24" hidden="1" x14ac:dyDescent="0.35">
      <c r="B137">
        <v>2000014576</v>
      </c>
      <c r="C137" s="1">
        <v>45219</v>
      </c>
      <c r="D137" t="s">
        <v>2716</v>
      </c>
      <c r="F137" t="s">
        <v>1859</v>
      </c>
      <c r="G137" t="s">
        <v>1606</v>
      </c>
      <c r="H137" t="s">
        <v>2717</v>
      </c>
      <c r="I137" t="s">
        <v>41</v>
      </c>
      <c r="J137">
        <v>0.92</v>
      </c>
      <c r="K137">
        <v>3</v>
      </c>
      <c r="M137">
        <v>0.88</v>
      </c>
      <c r="N137" t="s">
        <v>2314</v>
      </c>
      <c r="O137" s="1">
        <v>46315</v>
      </c>
      <c r="S137" t="s">
        <v>915</v>
      </c>
      <c r="T137" s="6" t="s">
        <v>948</v>
      </c>
      <c r="U137" s="6" t="s">
        <v>932</v>
      </c>
      <c r="V137" s="2" t="s">
        <v>955</v>
      </c>
      <c r="W137" t="str">
        <f t="shared" si="2"/>
        <v>2000014576_202310</v>
      </c>
      <c r="X137" s="2" t="s">
        <v>1616</v>
      </c>
    </row>
    <row r="138" spans="1:24" hidden="1" x14ac:dyDescent="0.35">
      <c r="B138">
        <v>2000014601</v>
      </c>
      <c r="C138" s="1">
        <v>44280</v>
      </c>
      <c r="D138" t="s">
        <v>2721</v>
      </c>
      <c r="F138" t="s">
        <v>39</v>
      </c>
      <c r="G138" t="s">
        <v>1603</v>
      </c>
      <c r="H138" t="s">
        <v>2722</v>
      </c>
      <c r="I138" t="s">
        <v>41</v>
      </c>
      <c r="J138">
        <v>0.81499999999999995</v>
      </c>
      <c r="K138">
        <v>2.7</v>
      </c>
      <c r="L138">
        <v>3</v>
      </c>
      <c r="M138">
        <v>0.82</v>
      </c>
      <c r="N138" t="s">
        <v>2310</v>
      </c>
      <c r="O138" s="1">
        <v>45010</v>
      </c>
      <c r="S138" t="s">
        <v>915</v>
      </c>
      <c r="T138" s="6" t="s">
        <v>941</v>
      </c>
      <c r="U138" s="6" t="s">
        <v>922</v>
      </c>
      <c r="V138" s="2" t="s">
        <v>952</v>
      </c>
      <c r="W138" t="str">
        <f t="shared" si="2"/>
        <v>2000014601_20213</v>
      </c>
      <c r="X138" s="2" t="s">
        <v>1616</v>
      </c>
    </row>
    <row r="139" spans="1:24" hidden="1" x14ac:dyDescent="0.35">
      <c r="A139">
        <v>32</v>
      </c>
      <c r="B139">
        <v>2000014603</v>
      </c>
      <c r="C139" s="1">
        <v>43636</v>
      </c>
      <c r="D139" t="s">
        <v>1631</v>
      </c>
      <c r="E139" t="s">
        <v>18</v>
      </c>
      <c r="F139" t="s">
        <v>39</v>
      </c>
      <c r="G139" t="s">
        <v>149</v>
      </c>
      <c r="H139" t="s">
        <v>1632</v>
      </c>
      <c r="I139" t="s">
        <v>41</v>
      </c>
      <c r="J139">
        <v>0.70299999999999996</v>
      </c>
      <c r="K139">
        <v>1.7</v>
      </c>
      <c r="L139">
        <v>17</v>
      </c>
      <c r="N139" t="s">
        <v>23</v>
      </c>
      <c r="O139" s="1">
        <v>44002</v>
      </c>
      <c r="S139" t="s">
        <v>915</v>
      </c>
      <c r="T139" s="5" t="s">
        <v>927</v>
      </c>
      <c r="U139" s="5">
        <v>20</v>
      </c>
      <c r="V139" t="s">
        <v>1618</v>
      </c>
      <c r="W139" t="str">
        <f t="shared" si="2"/>
        <v>2000014603_20196</v>
      </c>
      <c r="X139" s="2" t="s">
        <v>1615</v>
      </c>
    </row>
    <row r="140" spans="1:24" hidden="1" x14ac:dyDescent="0.35">
      <c r="B140">
        <v>2000014721</v>
      </c>
      <c r="C140" s="1">
        <v>43614</v>
      </c>
      <c r="D140" t="s">
        <v>2728</v>
      </c>
      <c r="F140" t="s">
        <v>32</v>
      </c>
      <c r="G140" t="s">
        <v>1603</v>
      </c>
      <c r="H140" t="s">
        <v>2729</v>
      </c>
      <c r="I140" t="s">
        <v>41</v>
      </c>
      <c r="J140">
        <v>0.57399999999999995</v>
      </c>
      <c r="K140">
        <v>1.4</v>
      </c>
      <c r="L140">
        <v>20</v>
      </c>
      <c r="N140" t="s">
        <v>2605</v>
      </c>
      <c r="O140" s="1">
        <v>43798</v>
      </c>
      <c r="S140" t="s">
        <v>915</v>
      </c>
      <c r="T140" s="6" t="s">
        <v>947</v>
      </c>
      <c r="U140" s="6" t="s">
        <v>937</v>
      </c>
      <c r="V140" s="2" t="s">
        <v>1618</v>
      </c>
      <c r="W140" t="str">
        <f t="shared" si="2"/>
        <v>2000014721_20195</v>
      </c>
      <c r="X140" s="2" t="s">
        <v>1616</v>
      </c>
    </row>
    <row r="141" spans="1:24" hidden="1" x14ac:dyDescent="0.35">
      <c r="B141">
        <v>2000014853</v>
      </c>
      <c r="C141" s="1">
        <v>44011</v>
      </c>
      <c r="D141" t="s">
        <v>2733</v>
      </c>
      <c r="F141" t="s">
        <v>43</v>
      </c>
      <c r="G141" t="s">
        <v>1609</v>
      </c>
      <c r="H141" t="s">
        <v>2734</v>
      </c>
      <c r="I141" t="s">
        <v>41</v>
      </c>
      <c r="J141">
        <v>0.72699999999999998</v>
      </c>
      <c r="K141">
        <v>2.2999999999999998</v>
      </c>
      <c r="L141">
        <v>4</v>
      </c>
      <c r="M141">
        <v>0.43</v>
      </c>
      <c r="N141" t="s">
        <v>2310</v>
      </c>
      <c r="O141" s="1">
        <v>44741</v>
      </c>
      <c r="S141" t="s">
        <v>915</v>
      </c>
      <c r="T141" s="6" t="s">
        <v>927</v>
      </c>
      <c r="U141" s="6" t="s">
        <v>937</v>
      </c>
      <c r="V141" s="2" t="s">
        <v>923</v>
      </c>
      <c r="W141" t="str">
        <f t="shared" si="2"/>
        <v>2000014853_20206</v>
      </c>
      <c r="X141" s="2" t="s">
        <v>1616</v>
      </c>
    </row>
    <row r="142" spans="1:24" hidden="1" x14ac:dyDescent="0.35">
      <c r="A142">
        <v>70</v>
      </c>
      <c r="B142">
        <v>2000014926</v>
      </c>
      <c r="C142" s="1">
        <v>44743</v>
      </c>
      <c r="D142" t="s">
        <v>477</v>
      </c>
      <c r="E142" t="s">
        <v>18</v>
      </c>
      <c r="F142" t="s">
        <v>39</v>
      </c>
      <c r="G142" t="s">
        <v>92</v>
      </c>
      <c r="H142" t="s">
        <v>478</v>
      </c>
      <c r="I142" t="s">
        <v>41</v>
      </c>
      <c r="J142">
        <v>0.91100000000000003</v>
      </c>
      <c r="K142">
        <v>2.6</v>
      </c>
      <c r="L142">
        <v>3</v>
      </c>
      <c r="M142">
        <v>0.97</v>
      </c>
      <c r="N142" t="s">
        <v>28</v>
      </c>
      <c r="O142" s="1">
        <v>45474</v>
      </c>
      <c r="S142" t="s">
        <v>915</v>
      </c>
      <c r="T142" s="6" t="s">
        <v>936</v>
      </c>
      <c r="U142" s="6" t="s">
        <v>953</v>
      </c>
      <c r="V142" s="2" t="s">
        <v>954</v>
      </c>
      <c r="W142" t="str">
        <f t="shared" si="2"/>
        <v>2000014926_20227</v>
      </c>
      <c r="X142" s="2" t="s">
        <v>1615</v>
      </c>
    </row>
    <row r="143" spans="1:24" hidden="1" x14ac:dyDescent="0.35">
      <c r="A143">
        <v>76</v>
      </c>
      <c r="B143">
        <v>2000014960</v>
      </c>
      <c r="C143" s="1">
        <v>44474</v>
      </c>
      <c r="D143" t="s">
        <v>297</v>
      </c>
      <c r="E143" t="s">
        <v>18</v>
      </c>
      <c r="F143" t="s">
        <v>39</v>
      </c>
      <c r="G143" t="s">
        <v>116</v>
      </c>
      <c r="H143" t="s">
        <v>298</v>
      </c>
      <c r="I143" t="s">
        <v>41</v>
      </c>
      <c r="J143">
        <v>0.71699999999999997</v>
      </c>
      <c r="K143">
        <v>2.2000000000000002</v>
      </c>
      <c r="L143">
        <v>6</v>
      </c>
      <c r="M143">
        <v>0.72</v>
      </c>
      <c r="N143" t="s">
        <v>23</v>
      </c>
      <c r="O143" s="1">
        <v>44839</v>
      </c>
      <c r="S143" t="s">
        <v>915</v>
      </c>
      <c r="T143" s="6" t="s">
        <v>948</v>
      </c>
      <c r="U143" s="6" t="s">
        <v>947</v>
      </c>
      <c r="V143" s="2" t="s">
        <v>952</v>
      </c>
      <c r="W143" t="str">
        <f t="shared" si="2"/>
        <v>2000014960_202110</v>
      </c>
      <c r="X143" s="2" t="s">
        <v>1615</v>
      </c>
    </row>
    <row r="144" spans="1:24" hidden="1" x14ac:dyDescent="0.35">
      <c r="B144">
        <v>2000014969</v>
      </c>
      <c r="C144" s="1">
        <v>43874</v>
      </c>
      <c r="D144" t="s">
        <v>2741</v>
      </c>
      <c r="F144" t="s">
        <v>39</v>
      </c>
      <c r="G144" t="s">
        <v>1603</v>
      </c>
      <c r="H144" t="s">
        <v>2742</v>
      </c>
      <c r="I144" t="s">
        <v>41</v>
      </c>
      <c r="J144">
        <v>0.80430000000000001</v>
      </c>
      <c r="K144">
        <v>3</v>
      </c>
      <c r="L144">
        <v>2</v>
      </c>
      <c r="M144">
        <v>0.84</v>
      </c>
      <c r="N144" t="s">
        <v>2310</v>
      </c>
      <c r="O144" s="1">
        <v>44605</v>
      </c>
      <c r="S144" t="s">
        <v>915</v>
      </c>
      <c r="T144" s="6" t="s">
        <v>921</v>
      </c>
      <c r="U144" s="6" t="s">
        <v>950</v>
      </c>
      <c r="V144" s="2" t="s">
        <v>923</v>
      </c>
      <c r="W144" t="str">
        <f t="shared" si="2"/>
        <v>2000014969_20202</v>
      </c>
      <c r="X144" s="2" t="s">
        <v>1616</v>
      </c>
    </row>
    <row r="145" spans="1:24" hidden="1" x14ac:dyDescent="0.35">
      <c r="B145">
        <v>2000015234</v>
      </c>
      <c r="C145" s="1">
        <v>43537</v>
      </c>
      <c r="D145" t="s">
        <v>2745</v>
      </c>
      <c r="F145" t="s">
        <v>19</v>
      </c>
      <c r="G145" t="s">
        <v>1609</v>
      </c>
      <c r="H145" t="s">
        <v>2746</v>
      </c>
      <c r="I145" t="s">
        <v>22</v>
      </c>
      <c r="J145">
        <v>0.875</v>
      </c>
      <c r="K145">
        <v>3</v>
      </c>
      <c r="L145">
        <v>0</v>
      </c>
      <c r="N145" t="s">
        <v>2310</v>
      </c>
      <c r="O145" s="1">
        <v>44268</v>
      </c>
      <c r="S145" t="s">
        <v>915</v>
      </c>
      <c r="T145" s="6" t="s">
        <v>941</v>
      </c>
      <c r="U145" s="6" t="s">
        <v>950</v>
      </c>
      <c r="V145" s="2" t="s">
        <v>1618</v>
      </c>
      <c r="W145" t="str">
        <f t="shared" si="2"/>
        <v>2000015234_20193</v>
      </c>
      <c r="X145" s="2" t="s">
        <v>1616</v>
      </c>
    </row>
    <row r="146" spans="1:24" hidden="1" x14ac:dyDescent="0.35">
      <c r="B146">
        <v>2000015234</v>
      </c>
      <c r="C146" s="1">
        <v>44403</v>
      </c>
      <c r="D146" t="s">
        <v>2745</v>
      </c>
      <c r="F146" t="s">
        <v>19</v>
      </c>
      <c r="G146" t="s">
        <v>1609</v>
      </c>
      <c r="H146" t="s">
        <v>2747</v>
      </c>
      <c r="I146" t="s">
        <v>22</v>
      </c>
      <c r="J146">
        <v>0.93300000000000005</v>
      </c>
      <c r="K146">
        <v>3</v>
      </c>
      <c r="L146">
        <v>4</v>
      </c>
      <c r="M146">
        <v>0.96</v>
      </c>
      <c r="N146" t="s">
        <v>2314</v>
      </c>
      <c r="O146" s="1">
        <v>45499</v>
      </c>
      <c r="S146" t="s">
        <v>915</v>
      </c>
      <c r="T146" s="6" t="s">
        <v>936</v>
      </c>
      <c r="U146" s="6" t="s">
        <v>924</v>
      </c>
      <c r="V146" s="2" t="s">
        <v>952</v>
      </c>
      <c r="W146" t="str">
        <f t="shared" si="2"/>
        <v>2000015234_20217</v>
      </c>
      <c r="X146" s="2" t="s">
        <v>1616</v>
      </c>
    </row>
    <row r="147" spans="1:24" hidden="1" x14ac:dyDescent="0.35">
      <c r="A147">
        <v>80</v>
      </c>
      <c r="B147">
        <v>2000015234</v>
      </c>
      <c r="C147" s="1">
        <v>45489</v>
      </c>
      <c r="D147" t="s">
        <v>2745</v>
      </c>
      <c r="E147" t="s">
        <v>18</v>
      </c>
      <c r="F147" t="s">
        <v>19</v>
      </c>
      <c r="G147" t="s">
        <v>1817</v>
      </c>
      <c r="H147" t="s">
        <v>1837</v>
      </c>
      <c r="I147" t="s">
        <v>22</v>
      </c>
      <c r="J147">
        <v>1</v>
      </c>
      <c r="K147">
        <v>3</v>
      </c>
      <c r="L147">
        <v>0</v>
      </c>
      <c r="M147">
        <v>1</v>
      </c>
      <c r="N147" t="s">
        <v>368</v>
      </c>
      <c r="O147" s="1">
        <v>46584</v>
      </c>
      <c r="Q147" t="s">
        <v>1838</v>
      </c>
      <c r="R147" t="s">
        <v>1723</v>
      </c>
      <c r="S147" t="s">
        <v>915</v>
      </c>
      <c r="T147" s="5" t="s">
        <v>936</v>
      </c>
      <c r="U147" s="5" t="s">
        <v>928</v>
      </c>
      <c r="V147" t="s">
        <v>956</v>
      </c>
      <c r="W147" t="str">
        <f t="shared" si="2"/>
        <v>2000015234_20247</v>
      </c>
      <c r="X147" s="2" t="s">
        <v>1616</v>
      </c>
    </row>
    <row r="148" spans="1:24" hidden="1" x14ac:dyDescent="0.35">
      <c r="A148">
        <v>8</v>
      </c>
      <c r="B148">
        <v>2000015439</v>
      </c>
      <c r="C148" s="1">
        <v>45369</v>
      </c>
      <c r="D148" t="s">
        <v>1656</v>
      </c>
      <c r="E148" t="s">
        <v>18</v>
      </c>
      <c r="F148" t="s">
        <v>32</v>
      </c>
      <c r="G148" t="s">
        <v>1657</v>
      </c>
      <c r="H148" t="s">
        <v>1658</v>
      </c>
      <c r="I148" t="s">
        <v>22</v>
      </c>
      <c r="J148">
        <v>0.96299999999999997</v>
      </c>
      <c r="K148">
        <v>3</v>
      </c>
      <c r="L148">
        <v>1</v>
      </c>
      <c r="M148">
        <v>0.84</v>
      </c>
      <c r="N148" t="s">
        <v>368</v>
      </c>
      <c r="O148" s="1">
        <v>46461</v>
      </c>
      <c r="S148" t="s">
        <v>915</v>
      </c>
      <c r="T148" s="5" t="s">
        <v>941</v>
      </c>
      <c r="U148" s="5" t="s">
        <v>930</v>
      </c>
      <c r="V148" t="s">
        <v>956</v>
      </c>
      <c r="W148" t="str">
        <f t="shared" si="2"/>
        <v>2000015439_20243</v>
      </c>
      <c r="X148" s="2" t="s">
        <v>1616</v>
      </c>
    </row>
    <row r="149" spans="1:24" hidden="1" x14ac:dyDescent="0.35">
      <c r="B149">
        <v>2000015439</v>
      </c>
      <c r="C149" s="1">
        <v>43974</v>
      </c>
      <c r="D149" t="s">
        <v>1656</v>
      </c>
      <c r="F149" t="s">
        <v>32</v>
      </c>
      <c r="G149" t="s">
        <v>1669</v>
      </c>
      <c r="H149" t="s">
        <v>2750</v>
      </c>
      <c r="I149" t="s">
        <v>41</v>
      </c>
      <c r="J149">
        <v>0.81299999999999994</v>
      </c>
      <c r="K149">
        <v>2.2999999999999998</v>
      </c>
      <c r="L149">
        <v>2</v>
      </c>
      <c r="M149">
        <v>0.78600000000000003</v>
      </c>
      <c r="N149" t="s">
        <v>2310</v>
      </c>
      <c r="O149" s="1">
        <v>44704</v>
      </c>
      <c r="S149" t="s">
        <v>915</v>
      </c>
      <c r="T149" s="6" t="s">
        <v>947</v>
      </c>
      <c r="U149" s="6" t="s">
        <v>934</v>
      </c>
      <c r="V149" s="2" t="s">
        <v>923</v>
      </c>
      <c r="W149" t="str">
        <f t="shared" si="2"/>
        <v>2000015439_20205</v>
      </c>
      <c r="X149" s="2" t="s">
        <v>1616</v>
      </c>
    </row>
    <row r="150" spans="1:24" hidden="1" x14ac:dyDescent="0.35">
      <c r="B150">
        <v>2000015439</v>
      </c>
      <c r="C150" s="1">
        <v>44788</v>
      </c>
      <c r="D150" t="s">
        <v>1656</v>
      </c>
      <c r="F150" t="s">
        <v>32</v>
      </c>
      <c r="G150" t="s">
        <v>1669</v>
      </c>
      <c r="H150" t="s">
        <v>2751</v>
      </c>
      <c r="I150" t="s">
        <v>22</v>
      </c>
      <c r="J150">
        <v>0.91300000000000003</v>
      </c>
      <c r="K150">
        <v>2.8</v>
      </c>
      <c r="L150">
        <v>1</v>
      </c>
      <c r="M150">
        <v>0.84</v>
      </c>
      <c r="N150" t="s">
        <v>2310</v>
      </c>
      <c r="O150" s="1">
        <v>45519</v>
      </c>
      <c r="S150" t="s">
        <v>915</v>
      </c>
      <c r="T150" s="6" t="s">
        <v>940</v>
      </c>
      <c r="U150" s="6" t="s">
        <v>943</v>
      </c>
      <c r="V150" s="2" t="s">
        <v>954</v>
      </c>
      <c r="W150" t="str">
        <f t="shared" si="2"/>
        <v>2000015439_20228</v>
      </c>
      <c r="X150" s="2" t="s">
        <v>1616</v>
      </c>
    </row>
    <row r="151" spans="1:24" hidden="1" x14ac:dyDescent="0.35">
      <c r="B151">
        <v>2000015469</v>
      </c>
      <c r="C151" s="1">
        <v>43963</v>
      </c>
      <c r="D151" t="s">
        <v>1770</v>
      </c>
      <c r="F151" t="s">
        <v>19</v>
      </c>
      <c r="G151" t="s">
        <v>1606</v>
      </c>
      <c r="H151" t="s">
        <v>2752</v>
      </c>
      <c r="I151" t="s">
        <v>41</v>
      </c>
      <c r="J151">
        <v>0.875</v>
      </c>
      <c r="K151">
        <v>2.6</v>
      </c>
      <c r="L151">
        <v>0</v>
      </c>
      <c r="M151">
        <v>0.57999999999999996</v>
      </c>
      <c r="N151" t="s">
        <v>2310</v>
      </c>
      <c r="O151" s="1">
        <v>44693</v>
      </c>
      <c r="S151" t="s">
        <v>915</v>
      </c>
      <c r="T151" s="6" t="s">
        <v>947</v>
      </c>
      <c r="U151" s="6" t="s">
        <v>949</v>
      </c>
      <c r="V151" s="2" t="s">
        <v>923</v>
      </c>
      <c r="W151" t="str">
        <f t="shared" si="2"/>
        <v>2000015469_20205</v>
      </c>
      <c r="X151" s="2" t="s">
        <v>1616</v>
      </c>
    </row>
    <row r="152" spans="1:24" hidden="1" x14ac:dyDescent="0.35">
      <c r="B152">
        <v>2000015469</v>
      </c>
      <c r="C152" s="1">
        <v>44678</v>
      </c>
      <c r="D152" t="s">
        <v>1770</v>
      </c>
      <c r="F152" t="s">
        <v>19</v>
      </c>
      <c r="G152" t="s">
        <v>1606</v>
      </c>
      <c r="H152" t="s">
        <v>1771</v>
      </c>
      <c r="I152" t="s">
        <v>22</v>
      </c>
      <c r="J152">
        <v>0.84</v>
      </c>
      <c r="K152">
        <v>2.8</v>
      </c>
      <c r="L152">
        <v>2</v>
      </c>
      <c r="M152">
        <v>0.6</v>
      </c>
      <c r="N152" t="s">
        <v>2310</v>
      </c>
      <c r="O152" s="1">
        <v>45409</v>
      </c>
      <c r="S152" t="s">
        <v>915</v>
      </c>
      <c r="T152" s="6" t="s">
        <v>946</v>
      </c>
      <c r="U152" s="6" t="s">
        <v>925</v>
      </c>
      <c r="V152" s="2" t="s">
        <v>954</v>
      </c>
      <c r="W152" t="str">
        <f t="shared" si="2"/>
        <v>2000015469_20224</v>
      </c>
      <c r="X152" s="2" t="s">
        <v>1616</v>
      </c>
    </row>
    <row r="153" spans="1:24" hidden="1" x14ac:dyDescent="0.35">
      <c r="A153">
        <v>50</v>
      </c>
      <c r="B153">
        <v>2000015469</v>
      </c>
      <c r="C153" s="1">
        <v>45441</v>
      </c>
      <c r="D153" t="s">
        <v>1770</v>
      </c>
      <c r="E153" t="s">
        <v>18</v>
      </c>
      <c r="F153" t="s">
        <v>19</v>
      </c>
      <c r="G153" t="s">
        <v>1606</v>
      </c>
      <c r="H153" t="s">
        <v>1771</v>
      </c>
      <c r="I153" t="s">
        <v>22</v>
      </c>
      <c r="J153">
        <v>0.80600000000000005</v>
      </c>
      <c r="K153">
        <v>2.8</v>
      </c>
      <c r="L153">
        <v>3</v>
      </c>
      <c r="M153">
        <v>0.67</v>
      </c>
      <c r="N153" t="s">
        <v>28</v>
      </c>
      <c r="O153" s="1">
        <v>46171</v>
      </c>
      <c r="R153" t="s">
        <v>1613</v>
      </c>
      <c r="S153" t="s">
        <v>915</v>
      </c>
      <c r="T153" s="5" t="s">
        <v>947</v>
      </c>
      <c r="U153" s="5" t="s">
        <v>937</v>
      </c>
      <c r="V153" t="s">
        <v>956</v>
      </c>
      <c r="W153" t="str">
        <f t="shared" si="2"/>
        <v>2000015469_20245</v>
      </c>
      <c r="X153" s="2" t="s">
        <v>1616</v>
      </c>
    </row>
    <row r="154" spans="1:24" hidden="1" x14ac:dyDescent="0.35">
      <c r="B154">
        <v>2000015611</v>
      </c>
      <c r="C154" s="1">
        <v>44475</v>
      </c>
      <c r="D154" t="s">
        <v>2753</v>
      </c>
      <c r="F154" t="s">
        <v>19</v>
      </c>
      <c r="G154" t="s">
        <v>1669</v>
      </c>
      <c r="H154" t="s">
        <v>2754</v>
      </c>
      <c r="I154" t="s">
        <v>22</v>
      </c>
      <c r="J154">
        <v>0.84399999999999997</v>
      </c>
      <c r="K154">
        <v>2.8</v>
      </c>
      <c r="L154">
        <v>7</v>
      </c>
      <c r="M154">
        <v>0.98</v>
      </c>
      <c r="N154" t="s">
        <v>2310</v>
      </c>
      <c r="O154" s="1">
        <v>45205</v>
      </c>
      <c r="S154" t="s">
        <v>915</v>
      </c>
      <c r="T154" s="6" t="s">
        <v>948</v>
      </c>
      <c r="U154" s="6" t="s">
        <v>927</v>
      </c>
      <c r="V154" s="2" t="s">
        <v>952</v>
      </c>
      <c r="W154" t="str">
        <f t="shared" si="2"/>
        <v>2000015611_202110</v>
      </c>
      <c r="X154" s="2" t="s">
        <v>1616</v>
      </c>
    </row>
    <row r="155" spans="1:24" hidden="1" x14ac:dyDescent="0.35">
      <c r="B155">
        <v>2000015611</v>
      </c>
      <c r="C155" s="1">
        <v>44992</v>
      </c>
      <c r="D155" t="s">
        <v>2753</v>
      </c>
      <c r="F155" t="s">
        <v>19</v>
      </c>
      <c r="G155" t="s">
        <v>1669</v>
      </c>
      <c r="H155" t="s">
        <v>2755</v>
      </c>
      <c r="I155" t="s">
        <v>22</v>
      </c>
      <c r="J155">
        <v>1</v>
      </c>
      <c r="K155">
        <v>3</v>
      </c>
      <c r="L155">
        <v>0</v>
      </c>
      <c r="M155">
        <v>1</v>
      </c>
      <c r="N155" t="s">
        <v>2314</v>
      </c>
      <c r="O155" s="1">
        <v>46088</v>
      </c>
      <c r="S155" t="s">
        <v>915</v>
      </c>
      <c r="T155" s="6" t="s">
        <v>941</v>
      </c>
      <c r="U155" s="6" t="s">
        <v>936</v>
      </c>
      <c r="V155" s="2" t="s">
        <v>955</v>
      </c>
      <c r="W155" t="str">
        <f t="shared" si="2"/>
        <v>2000015611_20233</v>
      </c>
      <c r="X155" s="2" t="s">
        <v>1616</v>
      </c>
    </row>
    <row r="156" spans="1:24" hidden="1" x14ac:dyDescent="0.35">
      <c r="A156">
        <v>25</v>
      </c>
      <c r="B156">
        <v>2000015633</v>
      </c>
      <c r="C156" s="1">
        <v>44043</v>
      </c>
      <c r="D156" t="s">
        <v>84</v>
      </c>
      <c r="E156" t="s">
        <v>18</v>
      </c>
      <c r="F156" t="s">
        <v>39</v>
      </c>
      <c r="G156" t="s">
        <v>20</v>
      </c>
      <c r="H156" t="s">
        <v>85</v>
      </c>
      <c r="I156" t="s">
        <v>41</v>
      </c>
      <c r="J156">
        <v>0.71699999999999997</v>
      </c>
      <c r="K156">
        <v>2.2999999999999998</v>
      </c>
      <c r="L156">
        <v>7</v>
      </c>
      <c r="M156">
        <v>0.84440000000000004</v>
      </c>
      <c r="N156" t="s">
        <v>28</v>
      </c>
      <c r="O156" s="1">
        <v>44773</v>
      </c>
      <c r="Q156" t="s">
        <v>86</v>
      </c>
      <c r="S156" t="s">
        <v>915</v>
      </c>
      <c r="T156" s="6" t="s">
        <v>936</v>
      </c>
      <c r="U156" s="6" t="s">
        <v>939</v>
      </c>
      <c r="V156" s="2" t="s">
        <v>923</v>
      </c>
      <c r="W156" t="str">
        <f t="shared" si="2"/>
        <v>2000015633_20207</v>
      </c>
      <c r="X156" s="2" t="s">
        <v>1615</v>
      </c>
    </row>
    <row r="157" spans="1:24" hidden="1" x14ac:dyDescent="0.35">
      <c r="A157">
        <v>26</v>
      </c>
      <c r="B157">
        <v>2000057064</v>
      </c>
      <c r="C157" s="1">
        <v>44309</v>
      </c>
      <c r="D157" t="s">
        <v>4177</v>
      </c>
      <c r="E157" t="s">
        <v>18</v>
      </c>
      <c r="F157" t="s">
        <v>148</v>
      </c>
      <c r="G157" t="s">
        <v>20</v>
      </c>
      <c r="H157" t="s">
        <v>201</v>
      </c>
      <c r="I157" t="s">
        <v>41</v>
      </c>
      <c r="J157">
        <v>0.73799999999999999</v>
      </c>
      <c r="K157">
        <v>2.7</v>
      </c>
      <c r="L157">
        <v>6</v>
      </c>
      <c r="M157">
        <v>0.74</v>
      </c>
      <c r="N157" t="s">
        <v>23</v>
      </c>
      <c r="O157" s="1">
        <v>44674</v>
      </c>
      <c r="S157" t="s">
        <v>915</v>
      </c>
      <c r="T157" s="6" t="s">
        <v>946</v>
      </c>
      <c r="U157" s="6" t="s">
        <v>934</v>
      </c>
      <c r="V157" s="2" t="s">
        <v>952</v>
      </c>
      <c r="W157" t="str">
        <f t="shared" si="2"/>
        <v>2000057064_20214</v>
      </c>
      <c r="X157" s="2" t="s">
        <v>1615</v>
      </c>
    </row>
    <row r="158" spans="1:24" hidden="1" x14ac:dyDescent="0.35">
      <c r="A158">
        <v>29</v>
      </c>
      <c r="B158">
        <v>2000057064</v>
      </c>
      <c r="C158" s="1">
        <v>44671</v>
      </c>
      <c r="D158" t="s">
        <v>4177</v>
      </c>
      <c r="E158" t="s">
        <v>18</v>
      </c>
      <c r="F158" t="s">
        <v>148</v>
      </c>
      <c r="G158" t="s">
        <v>20</v>
      </c>
      <c r="H158" t="s">
        <v>404</v>
      </c>
      <c r="I158" t="s">
        <v>148</v>
      </c>
      <c r="J158">
        <v>0.81299999999999994</v>
      </c>
      <c r="K158">
        <v>2.7</v>
      </c>
      <c r="L158">
        <v>3</v>
      </c>
      <c r="M158">
        <v>0.85</v>
      </c>
      <c r="N158" t="s">
        <v>28</v>
      </c>
      <c r="O158" s="1">
        <v>45402</v>
      </c>
      <c r="S158" t="s">
        <v>915</v>
      </c>
      <c r="T158" s="6" t="s">
        <v>946</v>
      </c>
      <c r="U158" s="6" t="s">
        <v>932</v>
      </c>
      <c r="V158" s="2" t="s">
        <v>954</v>
      </c>
      <c r="W158" t="str">
        <f t="shared" si="2"/>
        <v>2000057064_20224</v>
      </c>
      <c r="X158" s="2" t="s">
        <v>1615</v>
      </c>
    </row>
    <row r="159" spans="1:24" hidden="1" x14ac:dyDescent="0.35">
      <c r="A159">
        <v>21</v>
      </c>
      <c r="B159">
        <v>2000057064</v>
      </c>
      <c r="C159" s="1">
        <v>45399</v>
      </c>
      <c r="D159" t="s">
        <v>4177</v>
      </c>
      <c r="E159" t="s">
        <v>18</v>
      </c>
      <c r="F159" t="s">
        <v>148</v>
      </c>
      <c r="G159" t="s">
        <v>20</v>
      </c>
      <c r="H159" t="s">
        <v>404</v>
      </c>
      <c r="I159" t="s">
        <v>148</v>
      </c>
      <c r="J159">
        <v>0.88200000000000001</v>
      </c>
      <c r="K159">
        <v>2.8</v>
      </c>
      <c r="L159">
        <v>0</v>
      </c>
      <c r="M159">
        <v>0.79</v>
      </c>
      <c r="N159" t="s">
        <v>28</v>
      </c>
      <c r="O159" s="1">
        <v>46129</v>
      </c>
      <c r="S159" t="s">
        <v>915</v>
      </c>
      <c r="T159" s="6" t="s">
        <v>946</v>
      </c>
      <c r="U159" s="6" t="s">
        <v>929</v>
      </c>
      <c r="V159" s="2" t="s">
        <v>956</v>
      </c>
      <c r="W159" t="str">
        <f t="shared" si="2"/>
        <v>2000057064_20244</v>
      </c>
      <c r="X159" s="2" t="s">
        <v>1615</v>
      </c>
    </row>
    <row r="160" spans="1:24" hidden="1" x14ac:dyDescent="0.35">
      <c r="A160">
        <v>76</v>
      </c>
      <c r="B160">
        <v>2000016221</v>
      </c>
      <c r="C160" s="1">
        <v>45485</v>
      </c>
      <c r="D160" t="s">
        <v>1829</v>
      </c>
      <c r="E160" t="s">
        <v>18</v>
      </c>
      <c r="F160" t="s">
        <v>1698</v>
      </c>
      <c r="G160" t="s">
        <v>1606</v>
      </c>
      <c r="H160" t="s">
        <v>1830</v>
      </c>
      <c r="I160" t="s">
        <v>41</v>
      </c>
      <c r="J160">
        <v>0.97599999999999998</v>
      </c>
      <c r="K160">
        <v>3</v>
      </c>
      <c r="L160">
        <v>1</v>
      </c>
      <c r="M160">
        <v>0.96</v>
      </c>
      <c r="N160" t="s">
        <v>368</v>
      </c>
      <c r="O160" s="1">
        <v>46580</v>
      </c>
      <c r="Q160" t="s">
        <v>50</v>
      </c>
      <c r="S160" t="s">
        <v>915</v>
      </c>
      <c r="T160" s="5" t="s">
        <v>936</v>
      </c>
      <c r="U160" s="5" t="s">
        <v>949</v>
      </c>
      <c r="V160" t="s">
        <v>956</v>
      </c>
      <c r="W160" t="str">
        <f t="shared" si="2"/>
        <v>2000016221_20247</v>
      </c>
      <c r="X160" s="2" t="s">
        <v>1616</v>
      </c>
    </row>
    <row r="161" spans="1:24" hidden="1" x14ac:dyDescent="0.35">
      <c r="B161">
        <v>2000016272</v>
      </c>
      <c r="C161" s="1">
        <v>43389</v>
      </c>
      <c r="D161" t="s">
        <v>2776</v>
      </c>
      <c r="F161" t="s">
        <v>19</v>
      </c>
      <c r="G161" t="s">
        <v>1606</v>
      </c>
      <c r="H161" t="s">
        <v>2777</v>
      </c>
      <c r="I161" t="s">
        <v>22</v>
      </c>
      <c r="J161">
        <v>0.78700000000000003</v>
      </c>
      <c r="K161">
        <v>2.4</v>
      </c>
      <c r="L161">
        <v>6</v>
      </c>
      <c r="N161" t="str">
        <f>IF(K161&gt;=2.1,"2 years",IF(K161&gt;=1.1,"1 Years","06 Months"))</f>
        <v>2 years</v>
      </c>
      <c r="O161" s="1">
        <f>C161+(365*2)</f>
        <v>44119</v>
      </c>
      <c r="S161" t="s">
        <v>915</v>
      </c>
      <c r="T161" s="6" t="s">
        <v>948</v>
      </c>
      <c r="U161" s="6" t="s">
        <v>928</v>
      </c>
      <c r="V161" s="2" t="s">
        <v>2475</v>
      </c>
      <c r="W161" t="str">
        <f t="shared" si="2"/>
        <v>2000016272_201810</v>
      </c>
      <c r="X161" s="2" t="s">
        <v>1616</v>
      </c>
    </row>
    <row r="162" spans="1:24" hidden="1" x14ac:dyDescent="0.35">
      <c r="B162">
        <v>2000016522</v>
      </c>
      <c r="C162" s="1">
        <v>43361</v>
      </c>
      <c r="D162" t="s">
        <v>2780</v>
      </c>
      <c r="F162" t="s">
        <v>19</v>
      </c>
      <c r="G162" t="s">
        <v>2781</v>
      </c>
      <c r="H162" t="s">
        <v>2782</v>
      </c>
      <c r="I162" t="s">
        <v>22</v>
      </c>
      <c r="K162">
        <v>2.4</v>
      </c>
      <c r="L162">
        <v>0</v>
      </c>
      <c r="N162" t="str">
        <f>IF(K162&gt;=2.1,"2 years",IF(K162&gt;=1.1,"1 Years","06 Months"))</f>
        <v>2 years</v>
      </c>
      <c r="O162" s="1">
        <f>C162+(365*2)</f>
        <v>44091</v>
      </c>
      <c r="S162" t="s">
        <v>915</v>
      </c>
      <c r="T162" s="6" t="s">
        <v>942</v>
      </c>
      <c r="U162" s="6" t="s">
        <v>930</v>
      </c>
      <c r="V162" s="2" t="s">
        <v>2475</v>
      </c>
      <c r="W162" t="str">
        <f t="shared" si="2"/>
        <v>2000016522_20189</v>
      </c>
      <c r="X162" s="2" t="s">
        <v>1616</v>
      </c>
    </row>
    <row r="163" spans="1:24" hidden="1" x14ac:dyDescent="0.35">
      <c r="B163">
        <v>2000016522</v>
      </c>
      <c r="C163" s="1">
        <v>44165</v>
      </c>
      <c r="D163" t="s">
        <v>2780</v>
      </c>
      <c r="F163" t="s">
        <v>19</v>
      </c>
      <c r="G163" t="s">
        <v>1606</v>
      </c>
      <c r="H163" t="s">
        <v>2783</v>
      </c>
      <c r="I163" t="s">
        <v>22</v>
      </c>
      <c r="J163">
        <v>0.9</v>
      </c>
      <c r="K163">
        <v>3</v>
      </c>
      <c r="L163">
        <v>3</v>
      </c>
      <c r="M163">
        <v>0.94</v>
      </c>
      <c r="N163" t="s">
        <v>2310</v>
      </c>
      <c r="O163" s="1">
        <v>44895</v>
      </c>
      <c r="S163" t="s">
        <v>915</v>
      </c>
      <c r="T163" s="6" t="s">
        <v>945</v>
      </c>
      <c r="U163" s="6" t="s">
        <v>938</v>
      </c>
      <c r="V163" s="2" t="s">
        <v>923</v>
      </c>
      <c r="W163" t="str">
        <f t="shared" si="2"/>
        <v>2000016522_202011</v>
      </c>
      <c r="X163" s="2" t="s">
        <v>1616</v>
      </c>
    </row>
    <row r="164" spans="1:24" hidden="1" x14ac:dyDescent="0.35">
      <c r="B164">
        <v>2000016522</v>
      </c>
      <c r="C164" s="1">
        <v>44816</v>
      </c>
      <c r="D164" t="s">
        <v>2780</v>
      </c>
      <c r="F164" t="s">
        <v>19</v>
      </c>
      <c r="G164" t="s">
        <v>1606</v>
      </c>
      <c r="H164" t="s">
        <v>2784</v>
      </c>
      <c r="I164" t="s">
        <v>22</v>
      </c>
      <c r="J164">
        <v>0.94</v>
      </c>
      <c r="K164">
        <v>3</v>
      </c>
      <c r="L164">
        <v>0</v>
      </c>
      <c r="M164">
        <v>0.91</v>
      </c>
      <c r="N164" t="s">
        <v>2314</v>
      </c>
      <c r="O164" s="1">
        <v>45912</v>
      </c>
      <c r="S164" t="s">
        <v>915</v>
      </c>
      <c r="T164" s="6" t="s">
        <v>942</v>
      </c>
      <c r="U164" s="6" t="s">
        <v>949</v>
      </c>
      <c r="V164" s="2" t="s">
        <v>954</v>
      </c>
      <c r="W164" t="str">
        <f t="shared" si="2"/>
        <v>2000016522_20229</v>
      </c>
      <c r="X164" s="2" t="s">
        <v>1616</v>
      </c>
    </row>
    <row r="165" spans="1:24" hidden="1" x14ac:dyDescent="0.35">
      <c r="A165">
        <v>18</v>
      </c>
      <c r="B165">
        <v>2000016580</v>
      </c>
      <c r="C165" s="1">
        <v>44301</v>
      </c>
      <c r="D165" t="s">
        <v>187</v>
      </c>
      <c r="E165" t="s">
        <v>18</v>
      </c>
      <c r="F165" t="s">
        <v>39</v>
      </c>
      <c r="G165" t="s">
        <v>20</v>
      </c>
      <c r="H165" t="s">
        <v>188</v>
      </c>
      <c r="I165" t="s">
        <v>41</v>
      </c>
      <c r="J165">
        <v>0.86499999999999999</v>
      </c>
      <c r="K165">
        <v>2.7</v>
      </c>
      <c r="L165">
        <v>4</v>
      </c>
      <c r="M165">
        <v>0.77</v>
      </c>
      <c r="N165" t="s">
        <v>28</v>
      </c>
      <c r="O165" s="1">
        <v>45031</v>
      </c>
      <c r="S165" t="s">
        <v>915</v>
      </c>
      <c r="T165" s="6" t="s">
        <v>946</v>
      </c>
      <c r="U165" s="6" t="s">
        <v>943</v>
      </c>
      <c r="V165" s="2" t="s">
        <v>952</v>
      </c>
      <c r="W165" t="str">
        <f t="shared" si="2"/>
        <v>2000016580_20214</v>
      </c>
      <c r="X165" s="2" t="s">
        <v>1615</v>
      </c>
    </row>
    <row r="166" spans="1:24" hidden="1" x14ac:dyDescent="0.35">
      <c r="A166">
        <v>33</v>
      </c>
      <c r="B166" t="s">
        <v>572</v>
      </c>
      <c r="C166" s="1">
        <v>45034</v>
      </c>
      <c r="D166" t="s">
        <v>187</v>
      </c>
      <c r="E166" t="s">
        <v>18</v>
      </c>
      <c r="F166" t="s">
        <v>39</v>
      </c>
      <c r="G166" t="s">
        <v>20</v>
      </c>
      <c r="H166" t="s">
        <v>188</v>
      </c>
      <c r="I166" t="s">
        <v>41</v>
      </c>
      <c r="J166">
        <v>0.83899999999999997</v>
      </c>
      <c r="K166">
        <v>2.6</v>
      </c>
      <c r="L166">
        <v>5</v>
      </c>
      <c r="M166">
        <v>0.97</v>
      </c>
      <c r="N166" t="s">
        <v>28</v>
      </c>
      <c r="O166" s="1">
        <v>45765</v>
      </c>
      <c r="S166" t="s">
        <v>915</v>
      </c>
      <c r="T166" s="6" t="s">
        <v>946</v>
      </c>
      <c r="U166" s="6" t="s">
        <v>930</v>
      </c>
      <c r="V166" s="2" t="s">
        <v>955</v>
      </c>
      <c r="W166" t="str">
        <f t="shared" si="2"/>
        <v>2000016580_20234</v>
      </c>
      <c r="X166" s="2" t="s">
        <v>1615</v>
      </c>
    </row>
    <row r="167" spans="1:24" hidden="1" x14ac:dyDescent="0.35">
      <c r="B167">
        <v>2000016585</v>
      </c>
      <c r="C167" s="1">
        <v>43539</v>
      </c>
      <c r="D167" t="s">
        <v>2792</v>
      </c>
      <c r="F167" t="s">
        <v>19</v>
      </c>
      <c r="G167" t="s">
        <v>1603</v>
      </c>
      <c r="H167" t="s">
        <v>2793</v>
      </c>
      <c r="I167" t="s">
        <v>22</v>
      </c>
      <c r="J167">
        <v>0.7</v>
      </c>
      <c r="K167">
        <v>2</v>
      </c>
      <c r="L167">
        <v>8</v>
      </c>
      <c r="N167" t="s">
        <v>23</v>
      </c>
      <c r="O167" s="1">
        <v>43905</v>
      </c>
      <c r="S167" t="s">
        <v>915</v>
      </c>
      <c r="T167" s="6" t="s">
        <v>941</v>
      </c>
      <c r="U167" s="6" t="s">
        <v>943</v>
      </c>
      <c r="V167" s="2" t="s">
        <v>1618</v>
      </c>
      <c r="W167" t="str">
        <f t="shared" si="2"/>
        <v>2000016585_20193</v>
      </c>
      <c r="X167" s="2" t="s">
        <v>1616</v>
      </c>
    </row>
    <row r="168" spans="1:24" hidden="1" x14ac:dyDescent="0.35">
      <c r="B168">
        <v>2000016585</v>
      </c>
      <c r="C168" s="1">
        <v>43956</v>
      </c>
      <c r="D168" t="s">
        <v>2792</v>
      </c>
      <c r="F168" t="s">
        <v>19</v>
      </c>
      <c r="G168" t="s">
        <v>1603</v>
      </c>
      <c r="H168" t="s">
        <v>2794</v>
      </c>
      <c r="I168" t="s">
        <v>22</v>
      </c>
      <c r="J168">
        <v>0.62</v>
      </c>
      <c r="K168">
        <v>2</v>
      </c>
      <c r="L168">
        <v>9</v>
      </c>
      <c r="M168">
        <v>0.505</v>
      </c>
      <c r="N168" t="s">
        <v>23</v>
      </c>
      <c r="O168" s="1">
        <v>44321</v>
      </c>
      <c r="S168" t="s">
        <v>915</v>
      </c>
      <c r="T168" s="6" t="s">
        <v>947</v>
      </c>
      <c r="U168" s="6" t="s">
        <v>947</v>
      </c>
      <c r="V168" s="2" t="s">
        <v>923</v>
      </c>
      <c r="W168" t="str">
        <f t="shared" si="2"/>
        <v>2000016585_20205</v>
      </c>
      <c r="X168" s="2" t="s">
        <v>1616</v>
      </c>
    </row>
    <row r="169" spans="1:24" hidden="1" x14ac:dyDescent="0.35">
      <c r="B169">
        <v>2000016585</v>
      </c>
      <c r="C169" s="1">
        <v>44533</v>
      </c>
      <c r="D169" t="s">
        <v>2792</v>
      </c>
      <c r="F169" t="s">
        <v>19</v>
      </c>
      <c r="G169" t="s">
        <v>1603</v>
      </c>
      <c r="H169" t="s">
        <v>2795</v>
      </c>
      <c r="I169" t="s">
        <v>22</v>
      </c>
      <c r="J169">
        <v>0.67300000000000004</v>
      </c>
      <c r="K169">
        <v>2</v>
      </c>
      <c r="L169">
        <v>8</v>
      </c>
      <c r="M169">
        <v>0.51</v>
      </c>
      <c r="N169" t="s">
        <v>2605</v>
      </c>
      <c r="O169" s="1">
        <v>44715</v>
      </c>
      <c r="S169" t="s">
        <v>915</v>
      </c>
      <c r="T169" s="6" t="s">
        <v>949</v>
      </c>
      <c r="U169" s="6" t="s">
        <v>941</v>
      </c>
      <c r="V169" s="2" t="s">
        <v>952</v>
      </c>
      <c r="W169" t="str">
        <f t="shared" si="2"/>
        <v>2000016585_202112</v>
      </c>
      <c r="X169" s="2" t="s">
        <v>1616</v>
      </c>
    </row>
    <row r="170" spans="1:24" hidden="1" x14ac:dyDescent="0.35">
      <c r="B170">
        <v>2000016630</v>
      </c>
      <c r="C170" s="1">
        <v>44274</v>
      </c>
      <c r="D170" t="s">
        <v>2796</v>
      </c>
      <c r="F170" t="s">
        <v>19</v>
      </c>
      <c r="G170" t="s">
        <v>1603</v>
      </c>
      <c r="H170" t="s">
        <v>2797</v>
      </c>
      <c r="I170" t="s">
        <v>22</v>
      </c>
      <c r="J170">
        <v>0.93500000000000005</v>
      </c>
      <c r="K170">
        <v>3</v>
      </c>
      <c r="L170">
        <v>0</v>
      </c>
      <c r="M170">
        <v>0.94</v>
      </c>
      <c r="N170" t="s">
        <v>2314</v>
      </c>
      <c r="O170" s="1">
        <v>45370</v>
      </c>
      <c r="S170" t="s">
        <v>915</v>
      </c>
      <c r="T170" s="6" t="s">
        <v>941</v>
      </c>
      <c r="U170" s="6" t="s">
        <v>931</v>
      </c>
      <c r="V170" s="2" t="s">
        <v>952</v>
      </c>
      <c r="W170" t="str">
        <f t="shared" si="2"/>
        <v>2000016630_20213</v>
      </c>
      <c r="X170" s="2" t="s">
        <v>1616</v>
      </c>
    </row>
    <row r="171" spans="1:24" hidden="1" x14ac:dyDescent="0.35">
      <c r="B171">
        <v>2000016650</v>
      </c>
      <c r="C171" s="1">
        <v>44410</v>
      </c>
      <c r="D171" t="s">
        <v>2798</v>
      </c>
      <c r="F171" t="s">
        <v>148</v>
      </c>
      <c r="G171" t="s">
        <v>1606</v>
      </c>
      <c r="H171" t="s">
        <v>2799</v>
      </c>
      <c r="I171" t="s">
        <v>148</v>
      </c>
      <c r="J171">
        <v>0.91100000000000003</v>
      </c>
      <c r="K171">
        <v>3</v>
      </c>
      <c r="L171">
        <v>3</v>
      </c>
      <c r="M171">
        <v>0.91</v>
      </c>
      <c r="N171" t="s">
        <v>2314</v>
      </c>
      <c r="O171" s="1">
        <v>45506</v>
      </c>
      <c r="S171" t="s">
        <v>915</v>
      </c>
      <c r="T171" s="6" t="s">
        <v>940</v>
      </c>
      <c r="U171" s="6" t="s">
        <v>921</v>
      </c>
      <c r="V171" s="2" t="s">
        <v>952</v>
      </c>
      <c r="W171" t="str">
        <f t="shared" si="2"/>
        <v>2000016650_20218</v>
      </c>
      <c r="X171" s="2" t="s">
        <v>1616</v>
      </c>
    </row>
    <row r="172" spans="1:24" hidden="1" x14ac:dyDescent="0.35">
      <c r="B172">
        <v>2000016715</v>
      </c>
      <c r="C172" s="1">
        <v>44137</v>
      </c>
      <c r="D172" t="s">
        <v>2804</v>
      </c>
      <c r="F172" t="s">
        <v>19</v>
      </c>
      <c r="G172" t="s">
        <v>1606</v>
      </c>
      <c r="H172" t="s">
        <v>2805</v>
      </c>
      <c r="I172" t="s">
        <v>41</v>
      </c>
      <c r="J172">
        <v>0.72499999999999998</v>
      </c>
      <c r="K172">
        <v>2.6</v>
      </c>
      <c r="L172">
        <v>3</v>
      </c>
      <c r="M172">
        <v>0.8</v>
      </c>
      <c r="N172" t="s">
        <v>2310</v>
      </c>
      <c r="O172" s="1">
        <v>44867</v>
      </c>
      <c r="S172" t="s">
        <v>915</v>
      </c>
      <c r="T172" s="6" t="s">
        <v>945</v>
      </c>
      <c r="U172" s="6" t="s">
        <v>921</v>
      </c>
      <c r="V172" s="2" t="s">
        <v>923</v>
      </c>
      <c r="W172" t="str">
        <f t="shared" si="2"/>
        <v>2000016715_202011</v>
      </c>
      <c r="X172" s="2" t="s">
        <v>1616</v>
      </c>
    </row>
    <row r="173" spans="1:24" hidden="1" x14ac:dyDescent="0.35">
      <c r="B173">
        <v>2000016715</v>
      </c>
      <c r="C173" s="1">
        <v>45133</v>
      </c>
      <c r="D173" t="s">
        <v>2804</v>
      </c>
      <c r="F173" t="s">
        <v>2806</v>
      </c>
      <c r="G173" t="s">
        <v>1606</v>
      </c>
      <c r="H173" t="s">
        <v>2807</v>
      </c>
      <c r="I173" t="s">
        <v>22</v>
      </c>
      <c r="J173">
        <v>0.8</v>
      </c>
      <c r="K173">
        <v>3</v>
      </c>
      <c r="L173">
        <v>4</v>
      </c>
      <c r="M173">
        <v>0.79</v>
      </c>
      <c r="N173" t="s">
        <v>2310</v>
      </c>
      <c r="O173" s="1">
        <v>45864</v>
      </c>
      <c r="S173" t="s">
        <v>915</v>
      </c>
      <c r="T173" s="6" t="s">
        <v>936</v>
      </c>
      <c r="U173" s="6" t="s">
        <v>924</v>
      </c>
      <c r="V173" s="2" t="s">
        <v>955</v>
      </c>
      <c r="W173" t="str">
        <f t="shared" si="2"/>
        <v>2000016715_20237</v>
      </c>
      <c r="X173" s="2" t="s">
        <v>1616</v>
      </c>
    </row>
    <row r="174" spans="1:24" hidden="1" x14ac:dyDescent="0.35">
      <c r="B174">
        <v>2000016836</v>
      </c>
      <c r="C174" s="1">
        <v>44398</v>
      </c>
      <c r="D174" t="s">
        <v>2811</v>
      </c>
      <c r="F174" t="s">
        <v>39</v>
      </c>
      <c r="G174" t="s">
        <v>1606</v>
      </c>
      <c r="H174" t="s">
        <v>2812</v>
      </c>
      <c r="I174" t="s">
        <v>41</v>
      </c>
      <c r="J174">
        <v>0.82</v>
      </c>
      <c r="K174">
        <v>2.7</v>
      </c>
      <c r="L174">
        <v>7</v>
      </c>
      <c r="M174">
        <v>0.87</v>
      </c>
      <c r="N174" t="s">
        <v>2310</v>
      </c>
      <c r="O174" s="1">
        <v>45128</v>
      </c>
      <c r="S174" t="s">
        <v>915</v>
      </c>
      <c r="T174" s="6" t="s">
        <v>936</v>
      </c>
      <c r="U174" s="6" t="s">
        <v>944</v>
      </c>
      <c r="V174" s="2" t="s">
        <v>952</v>
      </c>
      <c r="W174" t="str">
        <f t="shared" si="2"/>
        <v>2000016836_20217</v>
      </c>
      <c r="X174" s="2" t="s">
        <v>1616</v>
      </c>
    </row>
    <row r="175" spans="1:24" hidden="1" x14ac:dyDescent="0.35">
      <c r="B175">
        <v>2000016881</v>
      </c>
      <c r="C175" s="1">
        <v>44567</v>
      </c>
      <c r="D175" t="s">
        <v>2813</v>
      </c>
      <c r="F175" t="s">
        <v>148</v>
      </c>
      <c r="G175" t="s">
        <v>1606</v>
      </c>
      <c r="H175" t="s">
        <v>2814</v>
      </c>
      <c r="I175" t="s">
        <v>148</v>
      </c>
      <c r="J175">
        <v>0.9</v>
      </c>
      <c r="K175">
        <v>3</v>
      </c>
      <c r="L175">
        <v>4</v>
      </c>
      <c r="M175">
        <v>0.86</v>
      </c>
      <c r="N175" t="s">
        <v>2314</v>
      </c>
      <c r="O175" s="1">
        <v>45663</v>
      </c>
      <c r="S175" t="s">
        <v>915</v>
      </c>
      <c r="T175" s="6" t="s">
        <v>953</v>
      </c>
      <c r="U175" s="6" t="s">
        <v>927</v>
      </c>
      <c r="V175" s="2" t="s">
        <v>954</v>
      </c>
      <c r="W175" t="str">
        <f t="shared" si="2"/>
        <v>2000016881_20221</v>
      </c>
      <c r="X175" s="2" t="s">
        <v>1616</v>
      </c>
    </row>
    <row r="176" spans="1:24" hidden="1" x14ac:dyDescent="0.35">
      <c r="B176">
        <v>2000016897</v>
      </c>
      <c r="C176" s="1">
        <v>44420</v>
      </c>
      <c r="D176" t="s">
        <v>2815</v>
      </c>
      <c r="F176" t="s">
        <v>39</v>
      </c>
      <c r="G176" t="s">
        <v>1603</v>
      </c>
      <c r="H176" t="s">
        <v>2816</v>
      </c>
      <c r="I176" t="s">
        <v>41</v>
      </c>
      <c r="J176">
        <v>0.85699999999999998</v>
      </c>
      <c r="K176">
        <v>2.7</v>
      </c>
      <c r="L176">
        <v>4</v>
      </c>
      <c r="M176">
        <v>0.77</v>
      </c>
      <c r="N176" t="s">
        <v>2310</v>
      </c>
      <c r="O176" s="1">
        <v>45150</v>
      </c>
      <c r="S176" t="s">
        <v>915</v>
      </c>
      <c r="T176" s="6" t="s">
        <v>940</v>
      </c>
      <c r="U176" s="6" t="s">
        <v>949</v>
      </c>
      <c r="V176" s="2" t="s">
        <v>952</v>
      </c>
      <c r="W176" t="str">
        <f t="shared" si="2"/>
        <v>2000016897_20218</v>
      </c>
      <c r="X176" s="2" t="s">
        <v>1616</v>
      </c>
    </row>
    <row r="177" spans="1:24" hidden="1" x14ac:dyDescent="0.35">
      <c r="B177">
        <v>2000017004</v>
      </c>
      <c r="C177" s="1">
        <v>43731</v>
      </c>
      <c r="D177" t="s">
        <v>2820</v>
      </c>
      <c r="F177" t="s">
        <v>43</v>
      </c>
      <c r="G177" t="s">
        <v>1820</v>
      </c>
      <c r="H177" t="s">
        <v>2821</v>
      </c>
      <c r="I177" t="s">
        <v>41</v>
      </c>
      <c r="J177">
        <v>0.82099999999999995</v>
      </c>
      <c r="K177">
        <v>2.8</v>
      </c>
      <c r="L177">
        <v>4</v>
      </c>
      <c r="N177" t="s">
        <v>2310</v>
      </c>
      <c r="O177" s="1">
        <v>44462</v>
      </c>
      <c r="S177" t="s">
        <v>915</v>
      </c>
      <c r="T177" s="6" t="s">
        <v>942</v>
      </c>
      <c r="U177" s="6" t="s">
        <v>934</v>
      </c>
      <c r="V177" s="2" t="s">
        <v>1618</v>
      </c>
      <c r="W177" t="str">
        <f t="shared" si="2"/>
        <v>2000017004_20199</v>
      </c>
      <c r="X177" s="2" t="s">
        <v>1616</v>
      </c>
    </row>
    <row r="178" spans="1:24" hidden="1" x14ac:dyDescent="0.35">
      <c r="B178">
        <v>2000017131</v>
      </c>
      <c r="C178" s="1">
        <v>44160</v>
      </c>
      <c r="D178" t="s">
        <v>2822</v>
      </c>
      <c r="F178" t="s">
        <v>43</v>
      </c>
      <c r="G178" t="s">
        <v>1606</v>
      </c>
      <c r="H178" t="s">
        <v>2823</v>
      </c>
      <c r="I178" t="s">
        <v>22</v>
      </c>
      <c r="J178">
        <v>0.873</v>
      </c>
      <c r="K178">
        <v>2.6</v>
      </c>
      <c r="L178">
        <v>7</v>
      </c>
      <c r="M178">
        <v>0.92</v>
      </c>
      <c r="N178" t="s">
        <v>2310</v>
      </c>
      <c r="O178" s="1">
        <v>44890</v>
      </c>
      <c r="S178" t="s">
        <v>915</v>
      </c>
      <c r="T178" s="6" t="s">
        <v>945</v>
      </c>
      <c r="U178" s="6" t="s">
        <v>922</v>
      </c>
      <c r="V178" s="2" t="s">
        <v>923</v>
      </c>
      <c r="W178" t="str">
        <f t="shared" si="2"/>
        <v>2000017131_202011</v>
      </c>
      <c r="X178" s="2" t="s">
        <v>1616</v>
      </c>
    </row>
    <row r="179" spans="1:24" hidden="1" x14ac:dyDescent="0.35">
      <c r="B179">
        <v>2000017131</v>
      </c>
      <c r="C179" s="1">
        <v>44784</v>
      </c>
      <c r="D179" t="s">
        <v>2822</v>
      </c>
      <c r="F179" t="s">
        <v>43</v>
      </c>
      <c r="G179" t="s">
        <v>1606</v>
      </c>
      <c r="H179" t="s">
        <v>2824</v>
      </c>
      <c r="I179" t="s">
        <v>22</v>
      </c>
      <c r="J179">
        <v>0.94499999999999995</v>
      </c>
      <c r="K179">
        <v>2.6</v>
      </c>
      <c r="L179">
        <v>5</v>
      </c>
      <c r="M179">
        <v>0.98</v>
      </c>
      <c r="N179" t="s">
        <v>2310</v>
      </c>
      <c r="O179" s="1">
        <v>45515</v>
      </c>
      <c r="S179" t="s">
        <v>915</v>
      </c>
      <c r="T179" s="6" t="s">
        <v>940</v>
      </c>
      <c r="U179" s="6" t="s">
        <v>945</v>
      </c>
      <c r="V179" s="2" t="s">
        <v>954</v>
      </c>
      <c r="W179" t="str">
        <f t="shared" si="2"/>
        <v>2000017131_20228</v>
      </c>
      <c r="X179" s="2" t="s">
        <v>1616</v>
      </c>
    </row>
    <row r="180" spans="1:24" hidden="1" x14ac:dyDescent="0.35">
      <c r="B180">
        <v>2000017286</v>
      </c>
      <c r="C180" s="1">
        <v>43976</v>
      </c>
      <c r="D180" t="s">
        <v>2831</v>
      </c>
      <c r="F180" t="s">
        <v>43</v>
      </c>
      <c r="G180" t="s">
        <v>1669</v>
      </c>
      <c r="H180" t="s">
        <v>2832</v>
      </c>
      <c r="I180" t="s">
        <v>41</v>
      </c>
      <c r="J180">
        <v>0.96699999999999997</v>
      </c>
      <c r="K180">
        <v>2.6</v>
      </c>
      <c r="L180">
        <v>2</v>
      </c>
      <c r="M180">
        <v>0.82</v>
      </c>
      <c r="N180" t="s">
        <v>2310</v>
      </c>
      <c r="O180" s="1">
        <v>44706</v>
      </c>
      <c r="S180" t="s">
        <v>915</v>
      </c>
      <c r="T180" s="6" t="s">
        <v>947</v>
      </c>
      <c r="U180" s="6" t="s">
        <v>922</v>
      </c>
      <c r="V180" s="2" t="s">
        <v>923</v>
      </c>
      <c r="W180" t="str">
        <f t="shared" si="2"/>
        <v>2000017286_20205</v>
      </c>
      <c r="X180" s="2" t="s">
        <v>1616</v>
      </c>
    </row>
    <row r="181" spans="1:24" hidden="1" x14ac:dyDescent="0.35">
      <c r="B181">
        <v>2000017286</v>
      </c>
      <c r="C181" s="1">
        <v>44991</v>
      </c>
      <c r="D181" t="s">
        <v>2831</v>
      </c>
      <c r="F181" t="s">
        <v>1859</v>
      </c>
      <c r="G181" t="s">
        <v>1669</v>
      </c>
      <c r="H181" t="s">
        <v>2833</v>
      </c>
      <c r="I181" t="s">
        <v>41</v>
      </c>
      <c r="J181">
        <v>1</v>
      </c>
      <c r="K181">
        <v>3</v>
      </c>
      <c r="L181">
        <v>0</v>
      </c>
      <c r="M181">
        <v>0.73</v>
      </c>
      <c r="N181" t="s">
        <v>2314</v>
      </c>
      <c r="O181" s="1">
        <v>46087</v>
      </c>
      <c r="S181" t="s">
        <v>915</v>
      </c>
      <c r="T181" s="6" t="s">
        <v>941</v>
      </c>
      <c r="U181" s="6" t="s">
        <v>927</v>
      </c>
      <c r="V181" s="2" t="s">
        <v>955</v>
      </c>
      <c r="W181" t="str">
        <f t="shared" si="2"/>
        <v>2000017286_20233</v>
      </c>
      <c r="X181" s="2" t="s">
        <v>1616</v>
      </c>
    </row>
    <row r="182" spans="1:24" hidden="1" x14ac:dyDescent="0.35">
      <c r="B182">
        <v>2000017405</v>
      </c>
      <c r="C182" s="1">
        <v>44284</v>
      </c>
      <c r="D182" t="s">
        <v>2834</v>
      </c>
      <c r="F182" t="s">
        <v>39</v>
      </c>
      <c r="G182" t="s">
        <v>1603</v>
      </c>
      <c r="H182" t="s">
        <v>2835</v>
      </c>
      <c r="I182" t="s">
        <v>41</v>
      </c>
      <c r="J182">
        <v>0.86</v>
      </c>
      <c r="K182">
        <v>2.7</v>
      </c>
      <c r="L182">
        <v>3</v>
      </c>
      <c r="M182">
        <v>0.87</v>
      </c>
      <c r="N182" t="s">
        <v>2310</v>
      </c>
      <c r="O182" s="1">
        <v>45014</v>
      </c>
      <c r="S182" t="s">
        <v>915</v>
      </c>
      <c r="T182" s="6" t="s">
        <v>941</v>
      </c>
      <c r="U182" s="6" t="s">
        <v>937</v>
      </c>
      <c r="V182" s="2" t="s">
        <v>952</v>
      </c>
      <c r="W182" t="str">
        <f t="shared" si="2"/>
        <v>2000017405_20213</v>
      </c>
      <c r="X182" s="2" t="s">
        <v>1616</v>
      </c>
    </row>
    <row r="183" spans="1:24" hidden="1" x14ac:dyDescent="0.35">
      <c r="A183">
        <v>3</v>
      </c>
      <c r="B183">
        <v>2000059652</v>
      </c>
      <c r="C183" s="1">
        <v>45666</v>
      </c>
      <c r="D183" t="s">
        <v>3425</v>
      </c>
      <c r="E183" t="s">
        <v>18</v>
      </c>
      <c r="F183" t="s">
        <v>39</v>
      </c>
      <c r="G183" t="s">
        <v>20</v>
      </c>
      <c r="H183" t="s">
        <v>3426</v>
      </c>
      <c r="I183" t="s">
        <v>41</v>
      </c>
      <c r="J183">
        <v>0.86099999999999999</v>
      </c>
      <c r="K183">
        <v>2.6</v>
      </c>
      <c r="L183">
        <v>3</v>
      </c>
      <c r="M183">
        <v>0.81</v>
      </c>
      <c r="N183" t="s">
        <v>28</v>
      </c>
      <c r="O183" s="1">
        <v>46396</v>
      </c>
      <c r="S183" t="s">
        <v>915</v>
      </c>
      <c r="T183" s="5" t="s">
        <v>953</v>
      </c>
      <c r="U183" s="5" t="s">
        <v>942</v>
      </c>
      <c r="V183" t="s">
        <v>1650</v>
      </c>
      <c r="W183" t="str">
        <f t="shared" si="2"/>
        <v>2000059652_20251</v>
      </c>
      <c r="X183" t="s">
        <v>1615</v>
      </c>
    </row>
    <row r="184" spans="1:24" hidden="1" x14ac:dyDescent="0.35">
      <c r="A184">
        <v>4</v>
      </c>
      <c r="B184">
        <v>2000067767</v>
      </c>
      <c r="C184" s="1">
        <v>45667</v>
      </c>
      <c r="D184" t="s">
        <v>3427</v>
      </c>
      <c r="E184" t="s">
        <v>18</v>
      </c>
      <c r="F184" t="s">
        <v>19</v>
      </c>
      <c r="G184" t="s">
        <v>26</v>
      </c>
      <c r="H184" t="s">
        <v>3428</v>
      </c>
      <c r="I184" t="s">
        <v>22</v>
      </c>
      <c r="J184">
        <v>0.81</v>
      </c>
      <c r="K184">
        <v>3</v>
      </c>
      <c r="L184">
        <v>2</v>
      </c>
      <c r="M184">
        <v>0.79</v>
      </c>
      <c r="N184" t="s">
        <v>28</v>
      </c>
      <c r="O184" s="1">
        <v>46397</v>
      </c>
      <c r="Q184" t="s">
        <v>3429</v>
      </c>
      <c r="S184" t="s">
        <v>915</v>
      </c>
      <c r="T184" s="5" t="s">
        <v>953</v>
      </c>
      <c r="U184" s="5" t="s">
        <v>948</v>
      </c>
      <c r="V184" t="s">
        <v>1650</v>
      </c>
      <c r="W184" t="str">
        <f t="shared" si="2"/>
        <v>2000067767_20251</v>
      </c>
      <c r="X184" t="s">
        <v>1615</v>
      </c>
    </row>
    <row r="185" spans="1:24" hidden="1" x14ac:dyDescent="0.35">
      <c r="B185">
        <v>2000017943</v>
      </c>
      <c r="C185" s="1">
        <v>43670</v>
      </c>
      <c r="D185" t="s">
        <v>1714</v>
      </c>
      <c r="F185" t="s">
        <v>32</v>
      </c>
      <c r="G185" t="s">
        <v>2379</v>
      </c>
      <c r="H185" t="s">
        <v>2380</v>
      </c>
      <c r="I185" t="s">
        <v>22</v>
      </c>
      <c r="J185">
        <v>0.80900000000000005</v>
      </c>
      <c r="K185">
        <v>2</v>
      </c>
      <c r="L185">
        <v>4</v>
      </c>
      <c r="N185" t="s">
        <v>23</v>
      </c>
      <c r="O185" s="1">
        <v>44036</v>
      </c>
      <c r="S185" t="s">
        <v>915</v>
      </c>
      <c r="T185" s="6" t="s">
        <v>936</v>
      </c>
      <c r="U185" s="6" t="s">
        <v>935</v>
      </c>
      <c r="V185" s="2" t="s">
        <v>1618</v>
      </c>
      <c r="W185" t="str">
        <f t="shared" si="2"/>
        <v>2000017943_20197</v>
      </c>
      <c r="X185" s="2" t="s">
        <v>1616</v>
      </c>
    </row>
    <row r="186" spans="1:24" hidden="1" x14ac:dyDescent="0.35">
      <c r="B186">
        <v>2000017943</v>
      </c>
      <c r="C186" s="1">
        <v>44021</v>
      </c>
      <c r="D186" t="s">
        <v>1714</v>
      </c>
      <c r="F186" t="s">
        <v>32</v>
      </c>
      <c r="G186" t="s">
        <v>1911</v>
      </c>
      <c r="H186" t="s">
        <v>2381</v>
      </c>
      <c r="I186" t="s">
        <v>22</v>
      </c>
      <c r="J186">
        <v>0.81299999999999994</v>
      </c>
      <c r="K186">
        <v>2.4</v>
      </c>
      <c r="L186">
        <v>7</v>
      </c>
      <c r="M186">
        <v>0.85</v>
      </c>
      <c r="N186" t="s">
        <v>2310</v>
      </c>
      <c r="O186" s="1">
        <v>44751</v>
      </c>
      <c r="S186" t="s">
        <v>915</v>
      </c>
      <c r="T186" s="6" t="s">
        <v>936</v>
      </c>
      <c r="U186" s="6" t="s">
        <v>942</v>
      </c>
      <c r="V186" s="2" t="s">
        <v>923</v>
      </c>
      <c r="W186" t="str">
        <f t="shared" si="2"/>
        <v>2000017943_20207</v>
      </c>
      <c r="X186" s="2" t="s">
        <v>1616</v>
      </c>
    </row>
    <row r="187" spans="1:24" hidden="1" x14ac:dyDescent="0.35">
      <c r="B187">
        <v>2000017943</v>
      </c>
      <c r="C187" s="1">
        <v>44671</v>
      </c>
      <c r="D187" t="s">
        <v>1714</v>
      </c>
      <c r="F187" t="s">
        <v>32</v>
      </c>
      <c r="G187" t="s">
        <v>1911</v>
      </c>
      <c r="H187" t="s">
        <v>2382</v>
      </c>
      <c r="I187" t="s">
        <v>41</v>
      </c>
      <c r="J187">
        <v>0.94099999999999995</v>
      </c>
      <c r="K187">
        <v>2.6</v>
      </c>
      <c r="L187">
        <v>3</v>
      </c>
      <c r="M187">
        <v>0.88</v>
      </c>
      <c r="N187" t="s">
        <v>2310</v>
      </c>
      <c r="O187" s="1">
        <v>45402</v>
      </c>
      <c r="S187" t="s">
        <v>915</v>
      </c>
      <c r="T187" s="6" t="s">
        <v>946</v>
      </c>
      <c r="U187" s="6" t="s">
        <v>932</v>
      </c>
      <c r="V187" s="2" t="s">
        <v>954</v>
      </c>
      <c r="W187" t="str">
        <f t="shared" si="2"/>
        <v>2000017943_20224</v>
      </c>
      <c r="X187" s="2" t="s">
        <v>1616</v>
      </c>
    </row>
    <row r="188" spans="1:24" hidden="1" x14ac:dyDescent="0.35">
      <c r="A188">
        <v>31</v>
      </c>
      <c r="B188">
        <v>2000017943</v>
      </c>
      <c r="C188" s="1">
        <v>45407</v>
      </c>
      <c r="D188" t="s">
        <v>1714</v>
      </c>
      <c r="E188" t="s">
        <v>18</v>
      </c>
      <c r="F188" t="s">
        <v>32</v>
      </c>
      <c r="G188" t="s">
        <v>1708</v>
      </c>
      <c r="H188" t="s">
        <v>1715</v>
      </c>
      <c r="I188" t="s">
        <v>22</v>
      </c>
      <c r="J188">
        <v>0.95599999999999996</v>
      </c>
      <c r="K188">
        <v>3</v>
      </c>
      <c r="L188">
        <v>2</v>
      </c>
      <c r="M188">
        <v>0.91</v>
      </c>
      <c r="N188" t="s">
        <v>368</v>
      </c>
      <c r="O188" s="1">
        <v>46502</v>
      </c>
      <c r="S188" t="s">
        <v>915</v>
      </c>
      <c r="T188" s="5" t="s">
        <v>946</v>
      </c>
      <c r="U188" s="5" t="s">
        <v>922</v>
      </c>
      <c r="V188" t="s">
        <v>956</v>
      </c>
      <c r="W188" t="str">
        <f t="shared" si="2"/>
        <v>2000017943_20244</v>
      </c>
      <c r="X188" s="2" t="s">
        <v>1616</v>
      </c>
    </row>
    <row r="189" spans="1:24" hidden="1" x14ac:dyDescent="0.35">
      <c r="A189">
        <v>32</v>
      </c>
      <c r="B189">
        <v>2000018035</v>
      </c>
      <c r="C189" s="1">
        <v>44672</v>
      </c>
      <c r="D189" t="s">
        <v>409</v>
      </c>
      <c r="E189" t="s">
        <v>18</v>
      </c>
      <c r="F189" t="s">
        <v>373</v>
      </c>
      <c r="G189" t="s">
        <v>20</v>
      </c>
      <c r="H189" t="s">
        <v>410</v>
      </c>
      <c r="I189" t="s">
        <v>41</v>
      </c>
      <c r="J189">
        <v>0.88900000000000001</v>
      </c>
      <c r="K189">
        <v>2.8</v>
      </c>
      <c r="L189">
        <v>2</v>
      </c>
      <c r="M189">
        <v>0.76</v>
      </c>
      <c r="N189" t="s">
        <v>28</v>
      </c>
      <c r="O189" s="1">
        <v>45403</v>
      </c>
      <c r="Q189" t="s">
        <v>50</v>
      </c>
      <c r="S189" t="s">
        <v>915</v>
      </c>
      <c r="T189" s="6" t="s">
        <v>946</v>
      </c>
      <c r="U189" s="6" t="s">
        <v>944</v>
      </c>
      <c r="V189" s="2" t="s">
        <v>954</v>
      </c>
      <c r="W189" t="str">
        <f t="shared" si="2"/>
        <v>2000018035_20224</v>
      </c>
      <c r="X189" s="2" t="s">
        <v>1615</v>
      </c>
    </row>
    <row r="190" spans="1:24" hidden="1" x14ac:dyDescent="0.35">
      <c r="A190">
        <v>29</v>
      </c>
      <c r="B190">
        <v>2000018162</v>
      </c>
      <c r="C190" s="1">
        <v>44090</v>
      </c>
      <c r="D190" t="s">
        <v>94</v>
      </c>
      <c r="E190" t="s">
        <v>18</v>
      </c>
      <c r="F190" t="s">
        <v>43</v>
      </c>
      <c r="G190" t="s">
        <v>26</v>
      </c>
      <c r="H190" t="s">
        <v>95</v>
      </c>
      <c r="I190" t="s">
        <v>41</v>
      </c>
      <c r="J190">
        <v>0.86499999999999999</v>
      </c>
      <c r="K190">
        <v>2.6</v>
      </c>
      <c r="L190">
        <v>3</v>
      </c>
      <c r="M190">
        <v>0.78</v>
      </c>
      <c r="N190" t="s">
        <v>28</v>
      </c>
      <c r="O190" s="1">
        <v>44820</v>
      </c>
      <c r="S190" t="s">
        <v>915</v>
      </c>
      <c r="T190" s="6" t="s">
        <v>942</v>
      </c>
      <c r="U190" s="6" t="s">
        <v>928</v>
      </c>
      <c r="V190" s="2" t="s">
        <v>923</v>
      </c>
      <c r="W190" t="str">
        <f t="shared" si="2"/>
        <v>2000018162_20209</v>
      </c>
      <c r="X190" s="2" t="s">
        <v>1615</v>
      </c>
    </row>
    <row r="191" spans="1:24" hidden="1" x14ac:dyDescent="0.35">
      <c r="A191">
        <v>89</v>
      </c>
      <c r="B191">
        <v>2000018162</v>
      </c>
      <c r="C191" s="1">
        <v>44825</v>
      </c>
      <c r="D191" t="s">
        <v>94</v>
      </c>
      <c r="E191" t="s">
        <v>18</v>
      </c>
      <c r="F191" t="s">
        <v>43</v>
      </c>
      <c r="G191" t="s">
        <v>26</v>
      </c>
      <c r="H191" t="s">
        <v>508</v>
      </c>
      <c r="I191" t="s">
        <v>41</v>
      </c>
      <c r="J191">
        <v>0.91100000000000003</v>
      </c>
      <c r="K191">
        <v>2.6</v>
      </c>
      <c r="L191">
        <v>1</v>
      </c>
      <c r="M191">
        <v>0.75</v>
      </c>
      <c r="N191" t="s">
        <v>28</v>
      </c>
      <c r="O191" s="1">
        <v>45556</v>
      </c>
      <c r="S191" t="s">
        <v>915</v>
      </c>
      <c r="T191" s="6" t="s">
        <v>942</v>
      </c>
      <c r="U191" s="6" t="s">
        <v>944</v>
      </c>
      <c r="V191" s="2" t="s">
        <v>954</v>
      </c>
      <c r="W191" t="str">
        <f t="shared" si="2"/>
        <v>2000018162_20229</v>
      </c>
      <c r="X191" s="2" t="s">
        <v>1615</v>
      </c>
    </row>
    <row r="192" spans="1:24" hidden="1" x14ac:dyDescent="0.35">
      <c r="A192">
        <v>66</v>
      </c>
      <c r="B192">
        <v>2000018162</v>
      </c>
      <c r="C192" s="1">
        <v>45551</v>
      </c>
      <c r="D192" t="s">
        <v>94</v>
      </c>
      <c r="E192" t="s">
        <v>18</v>
      </c>
      <c r="F192" t="s">
        <v>43</v>
      </c>
      <c r="G192" t="s">
        <v>82</v>
      </c>
      <c r="H192" t="s">
        <v>1644</v>
      </c>
      <c r="I192" t="s">
        <v>43</v>
      </c>
      <c r="J192">
        <v>0.68</v>
      </c>
      <c r="K192">
        <v>2.7</v>
      </c>
      <c r="L192">
        <v>0</v>
      </c>
      <c r="M192">
        <v>0.87</v>
      </c>
      <c r="N192" t="s">
        <v>23</v>
      </c>
      <c r="O192" s="1">
        <v>45916</v>
      </c>
      <c r="S192" t="s">
        <v>915</v>
      </c>
      <c r="T192" s="6" t="s">
        <v>942</v>
      </c>
      <c r="U192" s="6" t="s">
        <v>928</v>
      </c>
      <c r="V192" s="2" t="s">
        <v>956</v>
      </c>
      <c r="W192" t="str">
        <f t="shared" si="2"/>
        <v>2000018162_20249</v>
      </c>
      <c r="X192" s="2" t="s">
        <v>1615</v>
      </c>
    </row>
    <row r="193" spans="1:24" hidden="1" x14ac:dyDescent="0.35">
      <c r="B193">
        <v>2000018335</v>
      </c>
      <c r="C193" s="1">
        <v>43696</v>
      </c>
      <c r="D193" t="s">
        <v>2847</v>
      </c>
      <c r="F193" t="s">
        <v>19</v>
      </c>
      <c r="G193" t="s">
        <v>1606</v>
      </c>
      <c r="H193" t="s">
        <v>2848</v>
      </c>
      <c r="I193" t="s">
        <v>22</v>
      </c>
      <c r="J193">
        <v>0.80600000000000005</v>
      </c>
      <c r="K193">
        <v>2.2000000000000002</v>
      </c>
      <c r="L193">
        <v>5</v>
      </c>
      <c r="N193" t="s">
        <v>2310</v>
      </c>
      <c r="O193" s="1">
        <v>44427</v>
      </c>
      <c r="S193" t="s">
        <v>915</v>
      </c>
      <c r="T193" s="6" t="s">
        <v>940</v>
      </c>
      <c r="U193" s="6" t="s">
        <v>931</v>
      </c>
      <c r="V193" s="2" t="s">
        <v>1618</v>
      </c>
      <c r="W193" t="str">
        <f t="shared" si="2"/>
        <v>2000018335_20198</v>
      </c>
      <c r="X193" s="2" t="s">
        <v>1616</v>
      </c>
    </row>
    <row r="194" spans="1:24" hidden="1" x14ac:dyDescent="0.35">
      <c r="B194">
        <v>2000018335</v>
      </c>
      <c r="C194" s="1">
        <v>44406</v>
      </c>
      <c r="D194" t="s">
        <v>2847</v>
      </c>
      <c r="F194" t="s">
        <v>19</v>
      </c>
      <c r="G194" t="s">
        <v>1720</v>
      </c>
      <c r="H194" t="s">
        <v>2849</v>
      </c>
      <c r="I194" t="s">
        <v>22</v>
      </c>
      <c r="J194">
        <v>0.91100000000000003</v>
      </c>
      <c r="K194">
        <v>3</v>
      </c>
      <c r="L194">
        <v>3</v>
      </c>
      <c r="M194">
        <v>0.88</v>
      </c>
      <c r="N194" t="s">
        <v>2314</v>
      </c>
      <c r="O194" s="1">
        <v>45502</v>
      </c>
      <c r="S194" t="s">
        <v>915</v>
      </c>
      <c r="T194" s="6" t="s">
        <v>936</v>
      </c>
      <c r="U194" s="6" t="s">
        <v>937</v>
      </c>
      <c r="V194" s="2" t="s">
        <v>952</v>
      </c>
      <c r="W194" t="str">
        <f t="shared" ref="W194:W257" si="3">CONCATENATE(B194,"_",V194,T194)</f>
        <v>2000018335_20217</v>
      </c>
      <c r="X194" s="2" t="s">
        <v>1616</v>
      </c>
    </row>
    <row r="195" spans="1:24" hidden="1" x14ac:dyDescent="0.35">
      <c r="B195">
        <v>2000018335</v>
      </c>
      <c r="C195" s="1">
        <v>44769</v>
      </c>
      <c r="D195" t="s">
        <v>2847</v>
      </c>
      <c r="F195" t="s">
        <v>19</v>
      </c>
      <c r="G195" t="s">
        <v>1720</v>
      </c>
      <c r="H195" t="s">
        <v>3188</v>
      </c>
      <c r="I195" t="s">
        <v>22</v>
      </c>
      <c r="J195">
        <v>0.94499999999999995</v>
      </c>
      <c r="K195">
        <v>3</v>
      </c>
      <c r="L195">
        <v>2</v>
      </c>
      <c r="M195">
        <v>1</v>
      </c>
      <c r="N195" t="s">
        <v>2314</v>
      </c>
      <c r="O195" s="1">
        <v>45865</v>
      </c>
      <c r="S195" t="s">
        <v>915</v>
      </c>
      <c r="T195" s="6" t="s">
        <v>936</v>
      </c>
      <c r="U195" s="6" t="s">
        <v>925</v>
      </c>
      <c r="V195" s="2" t="s">
        <v>954</v>
      </c>
      <c r="W195" t="str">
        <f t="shared" si="3"/>
        <v>2000018335_20227</v>
      </c>
      <c r="X195" s="2" t="s">
        <v>1616</v>
      </c>
    </row>
    <row r="196" spans="1:24" hidden="1" x14ac:dyDescent="0.35">
      <c r="B196">
        <v>2000018364</v>
      </c>
      <c r="C196" s="1">
        <v>44095</v>
      </c>
      <c r="D196" t="s">
        <v>2850</v>
      </c>
      <c r="F196" t="s">
        <v>43</v>
      </c>
      <c r="G196" t="s">
        <v>1735</v>
      </c>
      <c r="H196" t="s">
        <v>2851</v>
      </c>
      <c r="I196" t="s">
        <v>22</v>
      </c>
      <c r="J196">
        <v>0.97399999999999998</v>
      </c>
      <c r="K196">
        <v>2.6</v>
      </c>
      <c r="L196">
        <v>0</v>
      </c>
      <c r="M196">
        <v>0.97</v>
      </c>
      <c r="N196" t="s">
        <v>2310</v>
      </c>
      <c r="O196" s="1">
        <v>44825</v>
      </c>
      <c r="S196" t="s">
        <v>915</v>
      </c>
      <c r="T196" s="6" t="s">
        <v>942</v>
      </c>
      <c r="U196" s="6" t="s">
        <v>944</v>
      </c>
      <c r="V196" s="2" t="s">
        <v>923</v>
      </c>
      <c r="W196" t="str">
        <f t="shared" si="3"/>
        <v>2000018364_20209</v>
      </c>
      <c r="X196" s="2" t="s">
        <v>1616</v>
      </c>
    </row>
    <row r="197" spans="1:24" hidden="1" x14ac:dyDescent="0.35">
      <c r="B197">
        <v>2000018364</v>
      </c>
      <c r="C197" s="1">
        <v>44672</v>
      </c>
      <c r="D197" t="s">
        <v>2852</v>
      </c>
      <c r="F197" t="s">
        <v>43</v>
      </c>
      <c r="G197" t="s">
        <v>1735</v>
      </c>
      <c r="H197" t="s">
        <v>2853</v>
      </c>
      <c r="I197" t="s">
        <v>22</v>
      </c>
      <c r="J197">
        <v>0.99199999999999999</v>
      </c>
      <c r="K197">
        <v>3</v>
      </c>
      <c r="L197">
        <v>1</v>
      </c>
      <c r="M197">
        <v>0.82</v>
      </c>
      <c r="N197" t="s">
        <v>2314</v>
      </c>
      <c r="O197" s="1">
        <v>45768</v>
      </c>
      <c r="S197" t="s">
        <v>915</v>
      </c>
      <c r="T197" s="6" t="s">
        <v>946</v>
      </c>
      <c r="U197" s="6" t="s">
        <v>944</v>
      </c>
      <c r="V197" s="2" t="s">
        <v>954</v>
      </c>
      <c r="W197" t="str">
        <f t="shared" si="3"/>
        <v>2000018364_20224</v>
      </c>
      <c r="X197" s="2" t="s">
        <v>1616</v>
      </c>
    </row>
    <row r="198" spans="1:24" hidden="1" x14ac:dyDescent="0.35">
      <c r="A198">
        <v>14</v>
      </c>
      <c r="B198">
        <v>2000018498</v>
      </c>
      <c r="C198" s="1">
        <v>44637</v>
      </c>
      <c r="D198" t="s">
        <v>372</v>
      </c>
      <c r="E198" t="s">
        <v>18</v>
      </c>
      <c r="F198" t="s">
        <v>373</v>
      </c>
      <c r="G198" t="s">
        <v>168</v>
      </c>
      <c r="H198" t="s">
        <v>374</v>
      </c>
      <c r="I198" t="s">
        <v>41</v>
      </c>
      <c r="J198">
        <v>0.78800000000000003</v>
      </c>
      <c r="K198">
        <v>2.6</v>
      </c>
      <c r="L198">
        <v>6</v>
      </c>
      <c r="M198">
        <v>0.92</v>
      </c>
      <c r="N198" t="s">
        <v>23</v>
      </c>
      <c r="O198" s="1">
        <v>45002</v>
      </c>
      <c r="S198" t="s">
        <v>915</v>
      </c>
      <c r="T198" s="6" t="s">
        <v>941</v>
      </c>
      <c r="U198" s="6" t="s">
        <v>929</v>
      </c>
      <c r="V198" s="2" t="s">
        <v>954</v>
      </c>
      <c r="W198" t="str">
        <f t="shared" si="3"/>
        <v>2000018498_20223</v>
      </c>
      <c r="X198" s="2" t="s">
        <v>1615</v>
      </c>
    </row>
    <row r="199" spans="1:24" hidden="1" x14ac:dyDescent="0.35">
      <c r="B199">
        <v>2000018524</v>
      </c>
      <c r="C199" s="1">
        <v>43993</v>
      </c>
      <c r="D199" t="s">
        <v>2854</v>
      </c>
      <c r="F199" t="s">
        <v>43</v>
      </c>
      <c r="G199" t="s">
        <v>1606</v>
      </c>
      <c r="H199" t="s">
        <v>2855</v>
      </c>
      <c r="I199" t="s">
        <v>41</v>
      </c>
      <c r="J199">
        <v>0.94699999999999995</v>
      </c>
      <c r="K199">
        <v>3</v>
      </c>
      <c r="L199">
        <v>1</v>
      </c>
      <c r="M199">
        <v>0.97599999999999998</v>
      </c>
      <c r="N199" t="s">
        <v>2310</v>
      </c>
      <c r="O199" s="1">
        <v>44723</v>
      </c>
      <c r="S199" t="s">
        <v>915</v>
      </c>
      <c r="T199" s="6" t="s">
        <v>927</v>
      </c>
      <c r="U199" s="6" t="s">
        <v>945</v>
      </c>
      <c r="V199" s="2" t="s">
        <v>923</v>
      </c>
      <c r="W199" t="str">
        <f t="shared" si="3"/>
        <v>2000018524_20206</v>
      </c>
      <c r="X199" s="2" t="s">
        <v>1616</v>
      </c>
    </row>
    <row r="200" spans="1:24" hidden="1" x14ac:dyDescent="0.35">
      <c r="B200">
        <v>2000018524</v>
      </c>
      <c r="C200" s="1">
        <v>44839</v>
      </c>
      <c r="D200" t="s">
        <v>2854</v>
      </c>
      <c r="F200" t="s">
        <v>43</v>
      </c>
      <c r="G200" t="s">
        <v>1606</v>
      </c>
      <c r="H200" t="s">
        <v>2856</v>
      </c>
      <c r="I200" t="s">
        <v>41</v>
      </c>
      <c r="J200">
        <v>1</v>
      </c>
      <c r="K200">
        <v>3</v>
      </c>
      <c r="L200">
        <v>0</v>
      </c>
      <c r="M200">
        <v>0.92</v>
      </c>
      <c r="N200" t="s">
        <v>2314</v>
      </c>
      <c r="O200" s="1">
        <v>45935</v>
      </c>
      <c r="S200" t="s">
        <v>915</v>
      </c>
      <c r="T200" s="6" t="s">
        <v>948</v>
      </c>
      <c r="U200" s="6" t="s">
        <v>947</v>
      </c>
      <c r="V200" s="2" t="s">
        <v>954</v>
      </c>
      <c r="W200" t="str">
        <f t="shared" si="3"/>
        <v>2000018524_202210</v>
      </c>
      <c r="X200" s="2" t="s">
        <v>1616</v>
      </c>
    </row>
    <row r="201" spans="1:24" hidden="1" x14ac:dyDescent="0.35">
      <c r="A201">
        <v>42</v>
      </c>
      <c r="B201">
        <v>2000018608</v>
      </c>
      <c r="C201" s="1">
        <v>44139</v>
      </c>
      <c r="D201" t="s">
        <v>119</v>
      </c>
      <c r="E201" t="s">
        <v>18</v>
      </c>
      <c r="F201" t="s">
        <v>19</v>
      </c>
      <c r="G201" t="s">
        <v>26</v>
      </c>
      <c r="H201" t="s">
        <v>120</v>
      </c>
      <c r="I201" t="s">
        <v>22</v>
      </c>
      <c r="J201">
        <v>0.94799999999999995</v>
      </c>
      <c r="K201">
        <v>3</v>
      </c>
      <c r="L201">
        <v>1</v>
      </c>
      <c r="M201">
        <v>0.91</v>
      </c>
      <c r="N201" t="s">
        <v>28</v>
      </c>
      <c r="O201" s="1">
        <v>44869</v>
      </c>
      <c r="Q201" t="s">
        <v>121</v>
      </c>
      <c r="S201" t="s">
        <v>915</v>
      </c>
      <c r="T201" s="6" t="s">
        <v>945</v>
      </c>
      <c r="U201" s="6" t="s">
        <v>946</v>
      </c>
      <c r="V201" s="2" t="s">
        <v>923</v>
      </c>
      <c r="W201" t="str">
        <f t="shared" si="3"/>
        <v>2000018608_202011</v>
      </c>
      <c r="X201" s="2" t="s">
        <v>1615</v>
      </c>
    </row>
    <row r="202" spans="1:24" ht="29" hidden="1" x14ac:dyDescent="0.35">
      <c r="B202">
        <v>2000018700</v>
      </c>
      <c r="C202" s="1">
        <v>43727</v>
      </c>
      <c r="D202" s="7" t="s">
        <v>2866</v>
      </c>
      <c r="F202" t="s">
        <v>32</v>
      </c>
      <c r="G202" t="s">
        <v>1820</v>
      </c>
      <c r="H202" t="s">
        <v>2867</v>
      </c>
      <c r="I202" t="s">
        <v>22</v>
      </c>
      <c r="J202">
        <v>0.87</v>
      </c>
      <c r="K202">
        <v>2.6</v>
      </c>
      <c r="L202">
        <v>1</v>
      </c>
      <c r="N202" t="s">
        <v>2310</v>
      </c>
      <c r="O202" s="1">
        <v>44458</v>
      </c>
      <c r="S202" t="s">
        <v>915</v>
      </c>
      <c r="T202" s="6" t="s">
        <v>942</v>
      </c>
      <c r="U202" s="6" t="s">
        <v>931</v>
      </c>
      <c r="V202" s="2" t="s">
        <v>1618</v>
      </c>
      <c r="W202" t="str">
        <f t="shared" si="3"/>
        <v>2000018700_20199</v>
      </c>
      <c r="X202" s="2" t="s">
        <v>1616</v>
      </c>
    </row>
    <row r="203" spans="1:24" hidden="1" x14ac:dyDescent="0.35">
      <c r="B203">
        <v>2000018704</v>
      </c>
      <c r="C203" s="1">
        <v>44113</v>
      </c>
      <c r="D203" t="s">
        <v>2868</v>
      </c>
      <c r="F203" t="s">
        <v>19</v>
      </c>
      <c r="G203" t="s">
        <v>1609</v>
      </c>
      <c r="H203" t="s">
        <v>2869</v>
      </c>
      <c r="I203" t="s">
        <v>22</v>
      </c>
      <c r="J203">
        <v>0.91500000000000004</v>
      </c>
      <c r="K203">
        <v>3</v>
      </c>
      <c r="L203">
        <v>0</v>
      </c>
      <c r="M203">
        <v>0.98</v>
      </c>
      <c r="N203" t="s">
        <v>2310</v>
      </c>
      <c r="O203" s="1">
        <v>44843</v>
      </c>
      <c r="S203" t="s">
        <v>915</v>
      </c>
      <c r="T203" s="6" t="s">
        <v>948</v>
      </c>
      <c r="U203" s="6" t="s">
        <v>942</v>
      </c>
      <c r="V203" s="2" t="s">
        <v>923</v>
      </c>
      <c r="W203" t="str">
        <f t="shared" si="3"/>
        <v>2000018704_202010</v>
      </c>
      <c r="X203" s="2" t="s">
        <v>1616</v>
      </c>
    </row>
    <row r="204" spans="1:24" hidden="1" x14ac:dyDescent="0.35">
      <c r="A204">
        <v>49</v>
      </c>
      <c r="B204">
        <v>2000018825</v>
      </c>
      <c r="C204" s="1">
        <v>44420</v>
      </c>
      <c r="D204" t="s">
        <v>244</v>
      </c>
      <c r="E204" t="s">
        <v>18</v>
      </c>
      <c r="F204" t="s">
        <v>148</v>
      </c>
      <c r="G204" t="s">
        <v>245</v>
      </c>
      <c r="H204" t="s">
        <v>246</v>
      </c>
      <c r="I204" t="s">
        <v>148</v>
      </c>
      <c r="J204">
        <v>0.84099999999999997</v>
      </c>
      <c r="K204" t="s">
        <v>247</v>
      </c>
      <c r="L204">
        <v>2</v>
      </c>
      <c r="M204">
        <v>0.61</v>
      </c>
      <c r="N204" t="s">
        <v>28</v>
      </c>
      <c r="O204" s="1">
        <v>45150</v>
      </c>
      <c r="S204" t="s">
        <v>915</v>
      </c>
      <c r="T204" s="6" t="s">
        <v>940</v>
      </c>
      <c r="U204" s="6" t="s">
        <v>949</v>
      </c>
      <c r="V204" s="2" t="s">
        <v>952</v>
      </c>
      <c r="W204" t="str">
        <f t="shared" si="3"/>
        <v>2000018825_20218</v>
      </c>
      <c r="X204" s="2" t="s">
        <v>1615</v>
      </c>
    </row>
    <row r="205" spans="1:24" hidden="1" x14ac:dyDescent="0.35">
      <c r="B205">
        <v>2000018909</v>
      </c>
      <c r="C205" s="1">
        <v>43983</v>
      </c>
      <c r="D205" t="s">
        <v>2881</v>
      </c>
      <c r="F205" t="s">
        <v>19</v>
      </c>
      <c r="G205" t="s">
        <v>1609</v>
      </c>
      <c r="H205" t="s">
        <v>2882</v>
      </c>
      <c r="I205" t="s">
        <v>22</v>
      </c>
      <c r="J205">
        <v>0.96899999999999997</v>
      </c>
      <c r="K205">
        <v>3</v>
      </c>
      <c r="L205">
        <v>1</v>
      </c>
      <c r="M205">
        <v>0.9</v>
      </c>
      <c r="N205" t="s">
        <v>2310</v>
      </c>
      <c r="O205" s="1">
        <v>44713</v>
      </c>
      <c r="S205" t="s">
        <v>915</v>
      </c>
      <c r="T205" s="6" t="s">
        <v>927</v>
      </c>
      <c r="U205" s="6" t="s">
        <v>953</v>
      </c>
      <c r="V205" s="2" t="s">
        <v>923</v>
      </c>
      <c r="W205" t="str">
        <f t="shared" si="3"/>
        <v>2000018909_20206</v>
      </c>
      <c r="X205" s="2" t="s">
        <v>1616</v>
      </c>
    </row>
    <row r="206" spans="1:24" hidden="1" x14ac:dyDescent="0.35">
      <c r="A206">
        <v>49</v>
      </c>
      <c r="B206">
        <v>2000019161</v>
      </c>
      <c r="C206" s="1">
        <v>44700</v>
      </c>
      <c r="D206" t="s">
        <v>441</v>
      </c>
      <c r="E206" t="s">
        <v>18</v>
      </c>
      <c r="F206" t="s">
        <v>148</v>
      </c>
      <c r="G206" t="s">
        <v>82</v>
      </c>
      <c r="H206" t="s">
        <v>442</v>
      </c>
      <c r="I206" t="s">
        <v>148</v>
      </c>
      <c r="J206">
        <v>0.80800000000000005</v>
      </c>
      <c r="K206">
        <v>2.5</v>
      </c>
      <c r="L206">
        <v>5</v>
      </c>
      <c r="M206">
        <v>0.72</v>
      </c>
      <c r="N206" t="s">
        <v>28</v>
      </c>
      <c r="O206" s="1">
        <v>45431</v>
      </c>
      <c r="S206" t="s">
        <v>915</v>
      </c>
      <c r="T206" s="6" t="s">
        <v>947</v>
      </c>
      <c r="U206" s="6" t="s">
        <v>931</v>
      </c>
      <c r="V206" s="2" t="s">
        <v>954</v>
      </c>
      <c r="W206" t="str">
        <f t="shared" si="3"/>
        <v>2000019161_20225</v>
      </c>
      <c r="X206" s="2" t="s">
        <v>1615</v>
      </c>
    </row>
    <row r="207" spans="1:24" hidden="1" x14ac:dyDescent="0.35">
      <c r="A207">
        <v>89</v>
      </c>
      <c r="B207">
        <v>2000019161</v>
      </c>
      <c r="C207" s="1">
        <v>45257</v>
      </c>
      <c r="D207" t="s">
        <v>441</v>
      </c>
      <c r="E207" t="s">
        <v>18</v>
      </c>
      <c r="F207" t="s">
        <v>148</v>
      </c>
      <c r="G207" t="s">
        <v>82</v>
      </c>
      <c r="H207" t="s">
        <v>640</v>
      </c>
      <c r="I207" t="s">
        <v>148</v>
      </c>
      <c r="J207">
        <v>0.85</v>
      </c>
      <c r="K207">
        <v>2.75</v>
      </c>
      <c r="L207">
        <v>1</v>
      </c>
      <c r="M207">
        <v>0.72</v>
      </c>
      <c r="N207" t="s">
        <v>28</v>
      </c>
      <c r="O207" s="1">
        <v>45988</v>
      </c>
      <c r="S207" t="s">
        <v>915</v>
      </c>
      <c r="T207" s="6" t="s">
        <v>945</v>
      </c>
      <c r="U207" s="6" t="s">
        <v>925</v>
      </c>
      <c r="V207" s="2" t="s">
        <v>955</v>
      </c>
      <c r="W207" t="str">
        <f t="shared" si="3"/>
        <v>2000019161_202311</v>
      </c>
      <c r="X207" s="2" t="s">
        <v>1615</v>
      </c>
    </row>
    <row r="208" spans="1:24" hidden="1" x14ac:dyDescent="0.35">
      <c r="A208">
        <v>32</v>
      </c>
      <c r="B208" t="s">
        <v>212</v>
      </c>
      <c r="C208" s="1">
        <v>44392</v>
      </c>
      <c r="D208" t="s">
        <v>213</v>
      </c>
      <c r="E208" t="s">
        <v>18</v>
      </c>
      <c r="F208" t="s">
        <v>39</v>
      </c>
      <c r="G208" t="s">
        <v>20</v>
      </c>
      <c r="H208" t="s">
        <v>214</v>
      </c>
      <c r="I208" t="s">
        <v>148</v>
      </c>
      <c r="J208">
        <v>0.91400000000000003</v>
      </c>
      <c r="K208">
        <v>2.7</v>
      </c>
      <c r="L208">
        <v>2</v>
      </c>
      <c r="M208">
        <v>0.64</v>
      </c>
      <c r="N208" t="s">
        <v>28</v>
      </c>
      <c r="O208" s="1">
        <v>45122</v>
      </c>
      <c r="S208" t="s">
        <v>915</v>
      </c>
      <c r="T208" s="6" t="s">
        <v>936</v>
      </c>
      <c r="U208" s="6" t="s">
        <v>943</v>
      </c>
      <c r="V208" s="2" t="s">
        <v>952</v>
      </c>
      <c r="W208" t="str">
        <f t="shared" si="3"/>
        <v>2000019184_20217</v>
      </c>
      <c r="X208" s="2" t="s">
        <v>1615</v>
      </c>
    </row>
    <row r="209" spans="1:24" hidden="1" x14ac:dyDescent="0.35">
      <c r="A209">
        <v>30</v>
      </c>
      <c r="B209">
        <v>2000019267</v>
      </c>
      <c r="C209" s="1">
        <v>44671</v>
      </c>
      <c r="D209" t="s">
        <v>405</v>
      </c>
      <c r="E209" t="s">
        <v>18</v>
      </c>
      <c r="F209" t="s">
        <v>373</v>
      </c>
      <c r="G209" t="s">
        <v>20</v>
      </c>
      <c r="H209" t="s">
        <v>406</v>
      </c>
      <c r="I209" t="s">
        <v>41</v>
      </c>
      <c r="J209">
        <v>0.85199999999999998</v>
      </c>
      <c r="K209">
        <v>2.6</v>
      </c>
      <c r="L209">
        <v>5</v>
      </c>
      <c r="M209">
        <v>0.96</v>
      </c>
      <c r="N209" t="s">
        <v>28</v>
      </c>
      <c r="O209" s="1">
        <v>45402</v>
      </c>
      <c r="S209" t="s">
        <v>915</v>
      </c>
      <c r="T209" s="6" t="s">
        <v>946</v>
      </c>
      <c r="U209" s="6" t="s">
        <v>932</v>
      </c>
      <c r="V209" s="2" t="s">
        <v>954</v>
      </c>
      <c r="W209" t="str">
        <f t="shared" si="3"/>
        <v>2000019267_20224</v>
      </c>
      <c r="X209" s="2" t="s">
        <v>1615</v>
      </c>
    </row>
    <row r="210" spans="1:24" hidden="1" x14ac:dyDescent="0.35">
      <c r="B210">
        <v>2000019338</v>
      </c>
      <c r="C210" s="1">
        <v>44138</v>
      </c>
      <c r="D210" t="s">
        <v>2891</v>
      </c>
      <c r="F210" t="s">
        <v>43</v>
      </c>
      <c r="G210" t="s">
        <v>1606</v>
      </c>
      <c r="H210" t="s">
        <v>2892</v>
      </c>
      <c r="I210" t="s">
        <v>22</v>
      </c>
      <c r="J210">
        <v>0.98299999999999998</v>
      </c>
      <c r="K210">
        <v>3</v>
      </c>
      <c r="L210">
        <v>0</v>
      </c>
      <c r="M210">
        <v>0.98</v>
      </c>
      <c r="N210" t="s">
        <v>2310</v>
      </c>
      <c r="O210" s="1">
        <v>44868</v>
      </c>
      <c r="S210" t="s">
        <v>915</v>
      </c>
      <c r="T210" s="6" t="s">
        <v>945</v>
      </c>
      <c r="U210" s="6" t="s">
        <v>941</v>
      </c>
      <c r="V210" s="2" t="s">
        <v>923</v>
      </c>
      <c r="W210" t="str">
        <f t="shared" si="3"/>
        <v>2000019338_202011</v>
      </c>
      <c r="X210" s="2" t="s">
        <v>1616</v>
      </c>
    </row>
    <row r="211" spans="1:24" hidden="1" x14ac:dyDescent="0.35">
      <c r="B211">
        <v>2000019338</v>
      </c>
      <c r="C211" s="1">
        <v>44854</v>
      </c>
      <c r="D211" t="s">
        <v>2891</v>
      </c>
      <c r="F211" t="s">
        <v>43</v>
      </c>
      <c r="G211" t="s">
        <v>1606</v>
      </c>
      <c r="H211" t="s">
        <v>2893</v>
      </c>
      <c r="I211" t="s">
        <v>22</v>
      </c>
      <c r="J211">
        <v>0.98399999999999999</v>
      </c>
      <c r="K211">
        <v>3</v>
      </c>
      <c r="L211">
        <v>0</v>
      </c>
      <c r="M211">
        <v>0.92</v>
      </c>
      <c r="N211" t="s">
        <v>2314</v>
      </c>
      <c r="O211" s="1">
        <v>45950</v>
      </c>
      <c r="S211" t="s">
        <v>915</v>
      </c>
      <c r="T211" s="6" t="s">
        <v>948</v>
      </c>
      <c r="U211" s="6" t="s">
        <v>932</v>
      </c>
      <c r="V211" s="2" t="s">
        <v>954</v>
      </c>
      <c r="W211" t="str">
        <f t="shared" si="3"/>
        <v>2000019338_202210</v>
      </c>
      <c r="X211" s="2" t="s">
        <v>1616</v>
      </c>
    </row>
    <row r="212" spans="1:24" hidden="1" x14ac:dyDescent="0.35">
      <c r="B212">
        <v>2000019348</v>
      </c>
      <c r="C212" s="1">
        <v>43640</v>
      </c>
      <c r="D212" t="s">
        <v>2894</v>
      </c>
      <c r="F212" t="s">
        <v>32</v>
      </c>
      <c r="G212" t="s">
        <v>2013</v>
      </c>
      <c r="H212" t="s">
        <v>2895</v>
      </c>
      <c r="I212" t="s">
        <v>22</v>
      </c>
      <c r="J212">
        <v>0.53400000000000003</v>
      </c>
      <c r="K212">
        <v>1.4</v>
      </c>
      <c r="L212">
        <v>19</v>
      </c>
      <c r="N212" t="s">
        <v>2605</v>
      </c>
      <c r="O212" s="1">
        <v>43823</v>
      </c>
      <c r="S212" t="s">
        <v>915</v>
      </c>
      <c r="T212" s="6" t="s">
        <v>927</v>
      </c>
      <c r="U212" s="6" t="s">
        <v>935</v>
      </c>
      <c r="V212" s="2" t="s">
        <v>1618</v>
      </c>
      <c r="W212" t="str">
        <f t="shared" si="3"/>
        <v>2000019348_20196</v>
      </c>
      <c r="X212" s="2" t="s">
        <v>1616</v>
      </c>
    </row>
    <row r="213" spans="1:24" hidden="1" x14ac:dyDescent="0.35">
      <c r="B213">
        <v>2000019348</v>
      </c>
      <c r="C213" s="1">
        <v>44299</v>
      </c>
      <c r="D213" t="s">
        <v>2894</v>
      </c>
      <c r="F213" t="s">
        <v>32</v>
      </c>
      <c r="G213" t="s">
        <v>2013</v>
      </c>
      <c r="H213" t="s">
        <v>2896</v>
      </c>
      <c r="I213" t="s">
        <v>22</v>
      </c>
      <c r="J213">
        <v>0.76900000000000002</v>
      </c>
      <c r="K213">
        <v>2</v>
      </c>
      <c r="L213">
        <v>4</v>
      </c>
      <c r="M213">
        <v>0.82</v>
      </c>
      <c r="N213" t="s">
        <v>2361</v>
      </c>
      <c r="O213" s="1">
        <v>44664</v>
      </c>
      <c r="S213" t="s">
        <v>915</v>
      </c>
      <c r="T213" s="6" t="s">
        <v>946</v>
      </c>
      <c r="U213" s="6" t="s">
        <v>950</v>
      </c>
      <c r="V213" s="2" t="s">
        <v>952</v>
      </c>
      <c r="W213" t="str">
        <f t="shared" si="3"/>
        <v>2000019348_20214</v>
      </c>
      <c r="X213" s="2" t="s">
        <v>1616</v>
      </c>
    </row>
    <row r="214" spans="1:24" hidden="1" x14ac:dyDescent="0.35">
      <c r="B214">
        <v>2000019348</v>
      </c>
      <c r="C214" s="1">
        <v>44987</v>
      </c>
      <c r="D214" t="s">
        <v>2894</v>
      </c>
      <c r="F214" t="s">
        <v>32</v>
      </c>
      <c r="G214" t="s">
        <v>2013</v>
      </c>
      <c r="H214" t="s">
        <v>2897</v>
      </c>
      <c r="I214" t="s">
        <v>22</v>
      </c>
      <c r="J214">
        <v>0.94099999999999995</v>
      </c>
      <c r="K214">
        <v>3</v>
      </c>
      <c r="L214">
        <v>1</v>
      </c>
      <c r="M214">
        <v>0.81</v>
      </c>
      <c r="N214" t="s">
        <v>2314</v>
      </c>
      <c r="O214" s="1">
        <v>46083</v>
      </c>
      <c r="S214" t="s">
        <v>915</v>
      </c>
      <c r="T214" s="6" t="s">
        <v>941</v>
      </c>
      <c r="U214" s="6" t="s">
        <v>921</v>
      </c>
      <c r="V214" s="2" t="s">
        <v>955</v>
      </c>
      <c r="W214" t="str">
        <f t="shared" si="3"/>
        <v>2000019348_20233</v>
      </c>
      <c r="X214" s="2" t="s">
        <v>1616</v>
      </c>
    </row>
    <row r="215" spans="1:24" hidden="1" x14ac:dyDescent="0.35">
      <c r="B215">
        <v>2000019371</v>
      </c>
      <c r="C215" s="1">
        <v>43965</v>
      </c>
      <c r="D215" t="s">
        <v>1690</v>
      </c>
      <c r="F215" t="s">
        <v>43</v>
      </c>
      <c r="G215" t="s">
        <v>1609</v>
      </c>
      <c r="H215" t="s">
        <v>2905</v>
      </c>
      <c r="I215" t="s">
        <v>41</v>
      </c>
      <c r="J215">
        <v>0.86099999999999999</v>
      </c>
      <c r="K215">
        <v>2.6</v>
      </c>
      <c r="L215">
        <v>1</v>
      </c>
      <c r="M215">
        <v>0.67300000000000004</v>
      </c>
      <c r="N215" t="s">
        <v>2310</v>
      </c>
      <c r="O215" s="1">
        <v>44695</v>
      </c>
      <c r="S215" t="s">
        <v>915</v>
      </c>
      <c r="T215" s="6" t="s">
        <v>947</v>
      </c>
      <c r="U215" s="6" t="s">
        <v>951</v>
      </c>
      <c r="V215" s="2" t="s">
        <v>923</v>
      </c>
      <c r="W215" t="str">
        <f t="shared" si="3"/>
        <v>2000019371_20205</v>
      </c>
      <c r="X215" s="2" t="s">
        <v>1616</v>
      </c>
    </row>
    <row r="216" spans="1:24" hidden="1" x14ac:dyDescent="0.35">
      <c r="B216">
        <v>2000019371</v>
      </c>
      <c r="C216" s="1">
        <v>44642</v>
      </c>
      <c r="D216" t="s">
        <v>1690</v>
      </c>
      <c r="F216" t="s">
        <v>43</v>
      </c>
      <c r="G216" t="s">
        <v>1609</v>
      </c>
      <c r="H216" t="s">
        <v>2906</v>
      </c>
      <c r="I216" t="s">
        <v>22</v>
      </c>
      <c r="J216">
        <v>0.86099999999999999</v>
      </c>
      <c r="K216">
        <v>3</v>
      </c>
      <c r="L216">
        <v>2</v>
      </c>
      <c r="M216">
        <v>0.89</v>
      </c>
      <c r="N216" t="s">
        <v>2310</v>
      </c>
      <c r="O216" s="1">
        <v>45373</v>
      </c>
      <c r="S216" t="s">
        <v>915</v>
      </c>
      <c r="T216" s="6" t="s">
        <v>941</v>
      </c>
      <c r="U216" s="6" t="s">
        <v>933</v>
      </c>
      <c r="V216" s="2" t="s">
        <v>954</v>
      </c>
      <c r="W216" t="str">
        <f t="shared" si="3"/>
        <v>2000019371_20223</v>
      </c>
      <c r="X216" s="2" t="s">
        <v>1616</v>
      </c>
    </row>
    <row r="217" spans="1:24" hidden="1" x14ac:dyDescent="0.35">
      <c r="B217">
        <v>2000019471</v>
      </c>
      <c r="C217" s="1">
        <v>44088</v>
      </c>
      <c r="D217" t="s">
        <v>2909</v>
      </c>
      <c r="F217" t="s">
        <v>19</v>
      </c>
      <c r="G217" t="s">
        <v>1720</v>
      </c>
      <c r="H217" t="s">
        <v>2910</v>
      </c>
      <c r="I217" t="s">
        <v>22</v>
      </c>
      <c r="J217">
        <v>0.83299999999999996</v>
      </c>
      <c r="K217">
        <v>2.6</v>
      </c>
      <c r="L217">
        <v>5</v>
      </c>
      <c r="M217">
        <v>0.91</v>
      </c>
      <c r="N217" t="s">
        <v>2310</v>
      </c>
      <c r="O217" s="1">
        <v>44818</v>
      </c>
      <c r="S217" t="s">
        <v>915</v>
      </c>
      <c r="T217" s="6" t="s">
        <v>942</v>
      </c>
      <c r="U217" s="6" t="s">
        <v>951</v>
      </c>
      <c r="V217" s="2" t="s">
        <v>923</v>
      </c>
      <c r="W217" t="str">
        <f t="shared" si="3"/>
        <v>2000019471_20209</v>
      </c>
      <c r="X217" s="2" t="s">
        <v>1616</v>
      </c>
    </row>
    <row r="218" spans="1:24" hidden="1" x14ac:dyDescent="0.35">
      <c r="A218">
        <v>6</v>
      </c>
      <c r="B218">
        <v>2000019473</v>
      </c>
      <c r="C218" s="1">
        <v>43998</v>
      </c>
      <c r="D218" t="s">
        <v>42</v>
      </c>
      <c r="E218" t="s">
        <v>18</v>
      </c>
      <c r="F218" t="s">
        <v>43</v>
      </c>
      <c r="G218" t="s">
        <v>20</v>
      </c>
      <c r="H218" t="s">
        <v>44</v>
      </c>
      <c r="I218" t="s">
        <v>41</v>
      </c>
      <c r="J218">
        <v>0.56799999999999995</v>
      </c>
      <c r="K218">
        <v>2.7</v>
      </c>
      <c r="L218">
        <v>5</v>
      </c>
      <c r="M218">
        <v>0.63</v>
      </c>
      <c r="N218" t="s">
        <v>23</v>
      </c>
      <c r="O218" s="1">
        <v>44363</v>
      </c>
      <c r="S218" t="s">
        <v>915</v>
      </c>
      <c r="T218" s="6" t="s">
        <v>927</v>
      </c>
      <c r="U218" s="6" t="s">
        <v>928</v>
      </c>
      <c r="V218" s="2" t="s">
        <v>923</v>
      </c>
      <c r="W218" t="str">
        <f t="shared" si="3"/>
        <v>2000019473_20206</v>
      </c>
      <c r="X218" s="2" t="s">
        <v>1615</v>
      </c>
    </row>
    <row r="219" spans="1:24" hidden="1" x14ac:dyDescent="0.35">
      <c r="A219">
        <v>85</v>
      </c>
      <c r="B219">
        <v>2000019473</v>
      </c>
      <c r="C219" s="1">
        <v>44487</v>
      </c>
      <c r="D219" t="s">
        <v>42</v>
      </c>
      <c r="E219" t="s">
        <v>18</v>
      </c>
      <c r="F219" t="s">
        <v>43</v>
      </c>
      <c r="G219" t="s">
        <v>20</v>
      </c>
      <c r="H219" t="s">
        <v>316</v>
      </c>
      <c r="I219" t="s">
        <v>41</v>
      </c>
      <c r="J219">
        <v>0.48399999999999999</v>
      </c>
      <c r="K219">
        <v>2.2999999999999998</v>
      </c>
      <c r="L219">
        <v>3</v>
      </c>
      <c r="M219">
        <v>0.52</v>
      </c>
      <c r="N219" t="s">
        <v>23</v>
      </c>
      <c r="O219" s="1">
        <v>44852</v>
      </c>
      <c r="R219" t="s">
        <v>296</v>
      </c>
      <c r="S219" t="s">
        <v>915</v>
      </c>
      <c r="T219" s="6" t="s">
        <v>948</v>
      </c>
      <c r="U219" s="6" t="s">
        <v>930</v>
      </c>
      <c r="V219" s="2" t="s">
        <v>952</v>
      </c>
      <c r="W219" t="str">
        <f t="shared" si="3"/>
        <v>2000019473_202110</v>
      </c>
      <c r="X219" s="2" t="s">
        <v>1615</v>
      </c>
    </row>
    <row r="220" spans="1:24" hidden="1" x14ac:dyDescent="0.35">
      <c r="B220">
        <v>2000019651</v>
      </c>
      <c r="C220" s="1">
        <v>44019</v>
      </c>
      <c r="D220" t="s">
        <v>2921</v>
      </c>
      <c r="F220" t="s">
        <v>19</v>
      </c>
      <c r="G220" t="s">
        <v>2032</v>
      </c>
      <c r="H220" t="s">
        <v>2922</v>
      </c>
      <c r="I220" t="s">
        <v>22</v>
      </c>
      <c r="J220">
        <v>0.79300000000000004</v>
      </c>
      <c r="K220">
        <v>1.6</v>
      </c>
      <c r="L220">
        <v>2</v>
      </c>
      <c r="M220">
        <v>0.57999999999999996</v>
      </c>
      <c r="N220" t="s">
        <v>23</v>
      </c>
      <c r="O220" s="1">
        <v>44384</v>
      </c>
      <c r="S220" t="s">
        <v>915</v>
      </c>
      <c r="T220" s="6" t="s">
        <v>936</v>
      </c>
      <c r="U220" s="6" t="s">
        <v>936</v>
      </c>
      <c r="V220" s="2" t="s">
        <v>923</v>
      </c>
      <c r="W220" t="str">
        <f t="shared" si="3"/>
        <v>2000019651_20207</v>
      </c>
      <c r="X220" s="2" t="s">
        <v>1616</v>
      </c>
    </row>
    <row r="221" spans="1:24" hidden="1" x14ac:dyDescent="0.35">
      <c r="B221">
        <v>2000019651</v>
      </c>
      <c r="C221" s="1">
        <v>44484</v>
      </c>
      <c r="D221" t="s">
        <v>2921</v>
      </c>
      <c r="F221" t="s">
        <v>19</v>
      </c>
      <c r="G221" t="s">
        <v>2032</v>
      </c>
      <c r="H221" t="s">
        <v>2923</v>
      </c>
      <c r="I221" t="s">
        <v>22</v>
      </c>
      <c r="J221">
        <v>0.79400000000000004</v>
      </c>
      <c r="K221">
        <v>2</v>
      </c>
      <c r="L221">
        <v>14</v>
      </c>
      <c r="M221">
        <v>0.78</v>
      </c>
      <c r="N221" t="s">
        <v>2361</v>
      </c>
      <c r="O221" s="1">
        <v>44849</v>
      </c>
      <c r="S221" t="s">
        <v>915</v>
      </c>
      <c r="T221" s="6" t="s">
        <v>948</v>
      </c>
      <c r="U221" s="6" t="s">
        <v>943</v>
      </c>
      <c r="V221" s="2" t="s">
        <v>952</v>
      </c>
      <c r="W221" t="str">
        <f t="shared" si="3"/>
        <v>2000019651_202110</v>
      </c>
      <c r="X221" s="2" t="s">
        <v>1616</v>
      </c>
    </row>
    <row r="222" spans="1:24" hidden="1" x14ac:dyDescent="0.35">
      <c r="B222">
        <v>2000019712</v>
      </c>
      <c r="C222" s="1">
        <v>43980</v>
      </c>
      <c r="D222" t="s">
        <v>2927</v>
      </c>
      <c r="F222" t="s">
        <v>19</v>
      </c>
      <c r="G222" t="s">
        <v>1609</v>
      </c>
      <c r="H222" t="s">
        <v>2928</v>
      </c>
      <c r="I222" t="s">
        <v>22</v>
      </c>
      <c r="J222">
        <v>0.92400000000000004</v>
      </c>
      <c r="K222">
        <v>3</v>
      </c>
      <c r="L222">
        <v>0</v>
      </c>
      <c r="M222">
        <v>1</v>
      </c>
      <c r="N222" t="s">
        <v>2310</v>
      </c>
      <c r="O222" s="1">
        <v>44710</v>
      </c>
      <c r="S222" t="s">
        <v>915</v>
      </c>
      <c r="T222" s="6" t="s">
        <v>947</v>
      </c>
      <c r="U222" s="6" t="s">
        <v>937</v>
      </c>
      <c r="V222" s="2" t="s">
        <v>923</v>
      </c>
      <c r="W222" t="str">
        <f t="shared" si="3"/>
        <v>2000019712_20205</v>
      </c>
      <c r="X222" s="2" t="s">
        <v>1616</v>
      </c>
    </row>
    <row r="223" spans="1:24" hidden="1" x14ac:dyDescent="0.35">
      <c r="B223">
        <v>2000019942</v>
      </c>
      <c r="C223" s="1">
        <v>44665</v>
      </c>
      <c r="D223" t="s">
        <v>2939</v>
      </c>
      <c r="F223" t="s">
        <v>148</v>
      </c>
      <c r="G223" t="s">
        <v>1606</v>
      </c>
      <c r="H223" t="s">
        <v>2940</v>
      </c>
      <c r="I223" t="s">
        <v>148</v>
      </c>
      <c r="J223">
        <v>0.92300000000000004</v>
      </c>
      <c r="K223">
        <v>3</v>
      </c>
      <c r="L223">
        <v>1</v>
      </c>
      <c r="M223">
        <v>0.75</v>
      </c>
      <c r="N223" t="s">
        <v>2314</v>
      </c>
      <c r="O223" s="1">
        <v>45761</v>
      </c>
      <c r="S223" t="s">
        <v>915</v>
      </c>
      <c r="T223" s="6" t="s">
        <v>946</v>
      </c>
      <c r="U223" s="6" t="s">
        <v>951</v>
      </c>
      <c r="V223" s="2" t="s">
        <v>954</v>
      </c>
      <c r="W223" t="str">
        <f t="shared" si="3"/>
        <v>2000019942_20224</v>
      </c>
      <c r="X223" s="2" t="s">
        <v>1616</v>
      </c>
    </row>
    <row r="224" spans="1:24" hidden="1" x14ac:dyDescent="0.35">
      <c r="B224">
        <v>2000019953</v>
      </c>
      <c r="C224" s="1">
        <v>43971</v>
      </c>
      <c r="D224" t="s">
        <v>2941</v>
      </c>
      <c r="F224" t="s">
        <v>39</v>
      </c>
      <c r="G224" t="s">
        <v>2013</v>
      </c>
      <c r="H224" t="s">
        <v>2942</v>
      </c>
      <c r="I224" t="s">
        <v>41</v>
      </c>
      <c r="J224">
        <v>0.78600000000000003</v>
      </c>
      <c r="K224">
        <v>2.6</v>
      </c>
      <c r="L224">
        <v>8</v>
      </c>
      <c r="M224">
        <v>0.77</v>
      </c>
      <c r="N224" t="s">
        <v>2310</v>
      </c>
      <c r="O224" s="1">
        <v>44701</v>
      </c>
      <c r="S224" t="s">
        <v>915</v>
      </c>
      <c r="T224" s="6" t="s">
        <v>947</v>
      </c>
      <c r="U224" s="6" t="s">
        <v>932</v>
      </c>
      <c r="V224" s="2" t="s">
        <v>923</v>
      </c>
      <c r="W224" t="str">
        <f t="shared" si="3"/>
        <v>2000019953_20205</v>
      </c>
      <c r="X224" s="2" t="s">
        <v>1616</v>
      </c>
    </row>
    <row r="225" spans="1:24" hidden="1" x14ac:dyDescent="0.35">
      <c r="B225">
        <v>2000019953</v>
      </c>
      <c r="C225" s="1">
        <v>44650</v>
      </c>
      <c r="D225" t="s">
        <v>2941</v>
      </c>
      <c r="F225" t="s">
        <v>52</v>
      </c>
      <c r="G225" t="s">
        <v>2013</v>
      </c>
      <c r="H225" t="s">
        <v>2943</v>
      </c>
      <c r="I225" t="s">
        <v>41</v>
      </c>
      <c r="J225">
        <v>0.90900000000000003</v>
      </c>
      <c r="K225">
        <v>3</v>
      </c>
      <c r="L225">
        <v>2</v>
      </c>
      <c r="M225">
        <v>0.82</v>
      </c>
      <c r="N225" t="s">
        <v>2314</v>
      </c>
      <c r="O225" s="1">
        <v>45746</v>
      </c>
      <c r="S225" t="s">
        <v>915</v>
      </c>
      <c r="T225" s="6" t="s">
        <v>941</v>
      </c>
      <c r="U225" s="6" t="s">
        <v>938</v>
      </c>
      <c r="V225" s="2" t="s">
        <v>954</v>
      </c>
      <c r="W225" t="str">
        <f t="shared" si="3"/>
        <v>2000019953_20223</v>
      </c>
      <c r="X225" s="2" t="s">
        <v>1616</v>
      </c>
    </row>
    <row r="226" spans="1:24" hidden="1" x14ac:dyDescent="0.35">
      <c r="B226">
        <v>2000020002</v>
      </c>
      <c r="C226" s="1">
        <v>43613</v>
      </c>
      <c r="D226" t="s">
        <v>2946</v>
      </c>
      <c r="F226" t="s">
        <v>32</v>
      </c>
      <c r="G226" t="s">
        <v>1603</v>
      </c>
      <c r="H226" t="s">
        <v>2947</v>
      </c>
      <c r="I226" t="s">
        <v>41</v>
      </c>
      <c r="J226">
        <v>0.83</v>
      </c>
      <c r="K226">
        <v>2.7</v>
      </c>
      <c r="L226">
        <v>5</v>
      </c>
      <c r="N226" t="s">
        <v>2310</v>
      </c>
      <c r="O226" s="1">
        <v>44344</v>
      </c>
      <c r="S226" t="s">
        <v>915</v>
      </c>
      <c r="T226" s="6" t="s">
        <v>947</v>
      </c>
      <c r="U226" s="6" t="s">
        <v>926</v>
      </c>
      <c r="V226" s="2" t="s">
        <v>1618</v>
      </c>
      <c r="W226" t="str">
        <f t="shared" si="3"/>
        <v>2000020002_20195</v>
      </c>
      <c r="X226" s="2" t="s">
        <v>1616</v>
      </c>
    </row>
    <row r="227" spans="1:24" hidden="1" x14ac:dyDescent="0.35">
      <c r="B227">
        <v>2000020002</v>
      </c>
      <c r="C227" s="1">
        <v>44389</v>
      </c>
      <c r="D227" t="s">
        <v>2946</v>
      </c>
      <c r="F227" t="s">
        <v>32</v>
      </c>
      <c r="G227" t="s">
        <v>1603</v>
      </c>
      <c r="H227" t="s">
        <v>2948</v>
      </c>
      <c r="I227" t="s">
        <v>41</v>
      </c>
      <c r="J227">
        <v>0.92</v>
      </c>
      <c r="K227">
        <v>3</v>
      </c>
      <c r="L227">
        <v>2</v>
      </c>
      <c r="M227">
        <v>0.75</v>
      </c>
      <c r="N227" t="s">
        <v>2314</v>
      </c>
      <c r="O227" s="1">
        <v>45485</v>
      </c>
      <c r="S227" t="s">
        <v>915</v>
      </c>
      <c r="T227" s="6" t="s">
        <v>936</v>
      </c>
      <c r="U227" s="6" t="s">
        <v>949</v>
      </c>
      <c r="V227" s="2" t="s">
        <v>952</v>
      </c>
      <c r="W227" t="str">
        <f t="shared" si="3"/>
        <v>2000020002_20217</v>
      </c>
      <c r="X227" s="2" t="s">
        <v>1616</v>
      </c>
    </row>
    <row r="228" spans="1:24" hidden="1" x14ac:dyDescent="0.35">
      <c r="A228">
        <v>36</v>
      </c>
      <c r="B228">
        <v>2000020075</v>
      </c>
      <c r="C228" s="1">
        <v>44678</v>
      </c>
      <c r="D228" t="s">
        <v>415</v>
      </c>
      <c r="E228" t="s">
        <v>18</v>
      </c>
      <c r="F228" t="s">
        <v>39</v>
      </c>
      <c r="G228" t="s">
        <v>73</v>
      </c>
      <c r="H228" t="s">
        <v>416</v>
      </c>
      <c r="I228" t="s">
        <v>22</v>
      </c>
      <c r="J228">
        <v>0.72</v>
      </c>
      <c r="K228">
        <v>2</v>
      </c>
      <c r="L228">
        <v>8</v>
      </c>
      <c r="M228">
        <v>0.72</v>
      </c>
      <c r="N228" t="s">
        <v>23</v>
      </c>
      <c r="O228" s="1">
        <v>45043</v>
      </c>
      <c r="S228" t="s">
        <v>915</v>
      </c>
      <c r="T228" s="6" t="s">
        <v>946</v>
      </c>
      <c r="U228" s="6" t="s">
        <v>925</v>
      </c>
      <c r="V228" s="2" t="s">
        <v>954</v>
      </c>
      <c r="W228" t="str">
        <f t="shared" si="3"/>
        <v>2000020075_20224</v>
      </c>
      <c r="X228" s="2" t="s">
        <v>1615</v>
      </c>
    </row>
    <row r="229" spans="1:24" hidden="1" x14ac:dyDescent="0.35">
      <c r="B229">
        <v>2000020113</v>
      </c>
      <c r="C229" s="1">
        <v>44140</v>
      </c>
      <c r="D229" t="s">
        <v>2952</v>
      </c>
      <c r="F229" t="s">
        <v>43</v>
      </c>
      <c r="G229" t="s">
        <v>1606</v>
      </c>
      <c r="H229" t="s">
        <v>2953</v>
      </c>
      <c r="I229" t="s">
        <v>22</v>
      </c>
      <c r="J229">
        <v>0.90700000000000003</v>
      </c>
      <c r="K229">
        <v>3</v>
      </c>
      <c r="L229">
        <v>0</v>
      </c>
      <c r="M229">
        <v>0.86</v>
      </c>
      <c r="N229" t="s">
        <v>2310</v>
      </c>
      <c r="O229" s="1">
        <v>44870</v>
      </c>
      <c r="S229" t="s">
        <v>915</v>
      </c>
      <c r="T229" s="6" t="s">
        <v>945</v>
      </c>
      <c r="U229" s="6" t="s">
        <v>947</v>
      </c>
      <c r="V229" s="2" t="s">
        <v>923</v>
      </c>
      <c r="W229" t="str">
        <f t="shared" si="3"/>
        <v>2000020113_202011</v>
      </c>
      <c r="X229" s="2" t="s">
        <v>1616</v>
      </c>
    </row>
    <row r="230" spans="1:24" hidden="1" x14ac:dyDescent="0.35">
      <c r="A230">
        <v>8</v>
      </c>
      <c r="B230">
        <v>2000020153</v>
      </c>
      <c r="C230" s="1">
        <v>44615</v>
      </c>
      <c r="D230" t="s">
        <v>361</v>
      </c>
      <c r="E230" t="s">
        <v>18</v>
      </c>
      <c r="F230" t="s">
        <v>148</v>
      </c>
      <c r="G230" t="s">
        <v>20</v>
      </c>
      <c r="H230" t="s">
        <v>362</v>
      </c>
      <c r="I230" t="s">
        <v>148</v>
      </c>
      <c r="J230">
        <v>0.76</v>
      </c>
      <c r="K230">
        <v>2.6</v>
      </c>
      <c r="L230">
        <v>6</v>
      </c>
      <c r="M230">
        <v>0.96</v>
      </c>
      <c r="N230" t="s">
        <v>23</v>
      </c>
      <c r="O230" s="1">
        <v>44980</v>
      </c>
      <c r="S230" t="s">
        <v>915</v>
      </c>
      <c r="T230" s="6" t="s">
        <v>921</v>
      </c>
      <c r="U230" s="6" t="s">
        <v>934</v>
      </c>
      <c r="V230" s="2" t="s">
        <v>954</v>
      </c>
      <c r="W230" t="str">
        <f t="shared" si="3"/>
        <v>2000020153_20222</v>
      </c>
      <c r="X230" s="2" t="s">
        <v>1615</v>
      </c>
    </row>
    <row r="231" spans="1:24" hidden="1" x14ac:dyDescent="0.35">
      <c r="B231">
        <v>2000020203</v>
      </c>
      <c r="C231" s="1">
        <v>44025</v>
      </c>
      <c r="D231" t="s">
        <v>2961</v>
      </c>
      <c r="F231" t="s">
        <v>19</v>
      </c>
      <c r="G231" t="s">
        <v>1747</v>
      </c>
      <c r="H231" t="s">
        <v>2962</v>
      </c>
      <c r="I231" t="s">
        <v>22</v>
      </c>
      <c r="J231">
        <v>0.96599999999999997</v>
      </c>
      <c r="K231">
        <v>3</v>
      </c>
      <c r="L231">
        <v>0</v>
      </c>
      <c r="M231">
        <v>0.98</v>
      </c>
      <c r="N231" t="s">
        <v>2310</v>
      </c>
      <c r="O231" s="1">
        <v>44755</v>
      </c>
      <c r="S231" t="s">
        <v>915</v>
      </c>
      <c r="T231" s="6" t="s">
        <v>936</v>
      </c>
      <c r="U231" s="6" t="s">
        <v>950</v>
      </c>
      <c r="V231" s="2" t="s">
        <v>923</v>
      </c>
      <c r="W231" t="str">
        <f t="shared" si="3"/>
        <v>2000020203_20207</v>
      </c>
      <c r="X231" s="2" t="s">
        <v>1616</v>
      </c>
    </row>
    <row r="232" spans="1:24" hidden="1" x14ac:dyDescent="0.35">
      <c r="B232">
        <v>2000020308</v>
      </c>
      <c r="C232" s="1">
        <v>44482</v>
      </c>
      <c r="D232" t="s">
        <v>2967</v>
      </c>
      <c r="F232" t="s">
        <v>148</v>
      </c>
      <c r="G232" t="s">
        <v>2013</v>
      </c>
      <c r="H232" t="s">
        <v>2968</v>
      </c>
      <c r="I232" t="s">
        <v>22</v>
      </c>
      <c r="J232">
        <v>0.73899999999999999</v>
      </c>
      <c r="K232">
        <v>2.8</v>
      </c>
      <c r="L232">
        <v>6</v>
      </c>
      <c r="M232">
        <v>0.6</v>
      </c>
      <c r="N232" t="s">
        <v>2361</v>
      </c>
      <c r="O232" s="1">
        <v>44847</v>
      </c>
      <c r="S232" t="s">
        <v>915</v>
      </c>
      <c r="T232" s="6" t="s">
        <v>948</v>
      </c>
      <c r="U232" s="6" t="s">
        <v>950</v>
      </c>
      <c r="V232" s="2" t="s">
        <v>952</v>
      </c>
      <c r="W232" t="str">
        <f t="shared" si="3"/>
        <v>2000020308_202110</v>
      </c>
      <c r="X232" s="2" t="s">
        <v>1616</v>
      </c>
    </row>
    <row r="233" spans="1:24" hidden="1" x14ac:dyDescent="0.35">
      <c r="B233">
        <v>2000020308</v>
      </c>
      <c r="C233" s="1">
        <v>44651</v>
      </c>
      <c r="D233" t="s">
        <v>2967</v>
      </c>
      <c r="F233" t="s">
        <v>148</v>
      </c>
      <c r="G233" t="s">
        <v>2013</v>
      </c>
      <c r="H233" t="s">
        <v>2969</v>
      </c>
      <c r="I233" t="s">
        <v>148</v>
      </c>
      <c r="J233">
        <v>0.95</v>
      </c>
      <c r="K233">
        <v>3</v>
      </c>
      <c r="L233">
        <v>0</v>
      </c>
      <c r="M233">
        <v>0.77</v>
      </c>
      <c r="N233" t="s">
        <v>2314</v>
      </c>
      <c r="O233" s="1">
        <v>45747</v>
      </c>
      <c r="S233" t="s">
        <v>915</v>
      </c>
      <c r="T233" s="6" t="s">
        <v>941</v>
      </c>
      <c r="U233" s="6" t="s">
        <v>939</v>
      </c>
      <c r="V233" s="2" t="s">
        <v>954</v>
      </c>
      <c r="W233" t="str">
        <f t="shared" si="3"/>
        <v>2000020308_20223</v>
      </c>
      <c r="X233" s="2" t="s">
        <v>1616</v>
      </c>
    </row>
    <row r="234" spans="1:24" hidden="1" x14ac:dyDescent="0.35">
      <c r="B234">
        <v>2000020310</v>
      </c>
      <c r="C234" s="1">
        <v>44134</v>
      </c>
      <c r="D234" t="s">
        <v>2970</v>
      </c>
      <c r="F234" t="s">
        <v>19</v>
      </c>
      <c r="G234" t="s">
        <v>1606</v>
      </c>
      <c r="H234" t="s">
        <v>2971</v>
      </c>
      <c r="I234" t="s">
        <v>41</v>
      </c>
      <c r="J234">
        <v>0.96899999999999997</v>
      </c>
      <c r="K234">
        <v>3</v>
      </c>
      <c r="L234">
        <v>1</v>
      </c>
      <c r="M234">
        <v>0.97</v>
      </c>
      <c r="N234" t="s">
        <v>2310</v>
      </c>
      <c r="O234" s="1">
        <v>44864</v>
      </c>
      <c r="S234" t="s">
        <v>915</v>
      </c>
      <c r="T234" s="6" t="s">
        <v>948</v>
      </c>
      <c r="U234" s="6" t="s">
        <v>938</v>
      </c>
      <c r="V234" s="2" t="s">
        <v>923</v>
      </c>
      <c r="W234" t="str">
        <f t="shared" si="3"/>
        <v>2000020310_202010</v>
      </c>
      <c r="X234" s="2" t="s">
        <v>1616</v>
      </c>
    </row>
    <row r="235" spans="1:24" hidden="1" x14ac:dyDescent="0.35">
      <c r="A235">
        <v>19</v>
      </c>
      <c r="B235">
        <v>2000020511</v>
      </c>
      <c r="C235" s="1">
        <v>44642</v>
      </c>
      <c r="D235" t="s">
        <v>383</v>
      </c>
      <c r="E235" t="s">
        <v>18</v>
      </c>
      <c r="F235" t="s">
        <v>148</v>
      </c>
      <c r="G235" t="s">
        <v>245</v>
      </c>
      <c r="H235" t="s">
        <v>384</v>
      </c>
      <c r="I235" t="s">
        <v>148</v>
      </c>
      <c r="J235">
        <v>0.81799999999999995</v>
      </c>
      <c r="K235">
        <v>2.4500000000000002</v>
      </c>
      <c r="L235">
        <v>1</v>
      </c>
      <c r="M235">
        <v>0.54</v>
      </c>
      <c r="N235" t="s">
        <v>23</v>
      </c>
      <c r="O235" s="1">
        <v>45007</v>
      </c>
      <c r="S235" t="s">
        <v>915</v>
      </c>
      <c r="T235" s="6" t="s">
        <v>941</v>
      </c>
      <c r="U235" s="6" t="s">
        <v>933</v>
      </c>
      <c r="V235" s="2" t="s">
        <v>954</v>
      </c>
      <c r="W235" t="str">
        <f t="shared" si="3"/>
        <v>2000020511_20223</v>
      </c>
      <c r="X235" s="2" t="s">
        <v>1615</v>
      </c>
    </row>
    <row r="236" spans="1:24" hidden="1" x14ac:dyDescent="0.35">
      <c r="B236">
        <v>2000020536</v>
      </c>
      <c r="C236" s="1">
        <v>44488</v>
      </c>
      <c r="D236" t="s">
        <v>2978</v>
      </c>
      <c r="F236" t="s">
        <v>39</v>
      </c>
      <c r="G236" t="s">
        <v>1911</v>
      </c>
      <c r="H236" t="s">
        <v>2979</v>
      </c>
      <c r="I236" t="s">
        <v>22</v>
      </c>
      <c r="J236">
        <v>0.79600000000000004</v>
      </c>
      <c r="K236">
        <v>2.6</v>
      </c>
      <c r="L236">
        <v>7</v>
      </c>
      <c r="M236">
        <v>0.7</v>
      </c>
      <c r="N236" t="s">
        <v>2361</v>
      </c>
      <c r="O236" s="1">
        <v>44853</v>
      </c>
      <c r="S236" t="s">
        <v>915</v>
      </c>
      <c r="T236" s="6" t="s">
        <v>948</v>
      </c>
      <c r="U236" s="6" t="s">
        <v>931</v>
      </c>
      <c r="V236" s="2" t="s">
        <v>952</v>
      </c>
      <c r="W236" t="str">
        <f t="shared" si="3"/>
        <v>2000020536_202110</v>
      </c>
      <c r="X236" s="2" t="s">
        <v>1616</v>
      </c>
    </row>
    <row r="237" spans="1:24" hidden="1" x14ac:dyDescent="0.35">
      <c r="A237">
        <v>45</v>
      </c>
      <c r="B237">
        <v>2000020688</v>
      </c>
      <c r="C237" s="1">
        <v>44142</v>
      </c>
      <c r="D237" t="s">
        <v>125</v>
      </c>
      <c r="E237" t="s">
        <v>18</v>
      </c>
      <c r="F237" t="s">
        <v>39</v>
      </c>
      <c r="G237" t="s">
        <v>20</v>
      </c>
      <c r="H237" t="s">
        <v>126</v>
      </c>
      <c r="I237" t="s">
        <v>41</v>
      </c>
      <c r="J237">
        <v>0.75900000000000001</v>
      </c>
      <c r="K237">
        <v>2.2999999999999998</v>
      </c>
      <c r="L237">
        <v>9</v>
      </c>
      <c r="M237">
        <v>0.79</v>
      </c>
      <c r="N237" t="s">
        <v>28</v>
      </c>
      <c r="O237" s="1">
        <v>44872</v>
      </c>
      <c r="S237" t="s">
        <v>915</v>
      </c>
      <c r="T237" s="6" t="s">
        <v>945</v>
      </c>
      <c r="U237" s="6" t="s">
        <v>936</v>
      </c>
      <c r="V237" s="2" t="s">
        <v>923</v>
      </c>
      <c r="W237" t="str">
        <f t="shared" si="3"/>
        <v>2000020688_202011</v>
      </c>
      <c r="X237" s="2" t="s">
        <v>1615</v>
      </c>
    </row>
    <row r="238" spans="1:24" hidden="1" x14ac:dyDescent="0.35">
      <c r="A238">
        <v>37</v>
      </c>
      <c r="B238">
        <v>2000020758</v>
      </c>
      <c r="C238" s="1">
        <v>44102</v>
      </c>
      <c r="D238" t="s">
        <v>109</v>
      </c>
      <c r="E238" t="s">
        <v>18</v>
      </c>
      <c r="F238" t="s">
        <v>19</v>
      </c>
      <c r="G238" t="s">
        <v>82</v>
      </c>
      <c r="H238" t="s">
        <v>110</v>
      </c>
      <c r="I238" t="s">
        <v>22</v>
      </c>
      <c r="J238">
        <v>0.79200000000000004</v>
      </c>
      <c r="K238">
        <v>2.2000000000000002</v>
      </c>
      <c r="L238">
        <v>9</v>
      </c>
      <c r="M238">
        <v>0.65</v>
      </c>
      <c r="N238" t="s">
        <v>28</v>
      </c>
      <c r="O238" s="1">
        <v>44832</v>
      </c>
      <c r="S238" t="s">
        <v>915</v>
      </c>
      <c r="T238" s="6" t="s">
        <v>942</v>
      </c>
      <c r="U238" s="6" t="s">
        <v>926</v>
      </c>
      <c r="V238" s="2" t="s">
        <v>923</v>
      </c>
      <c r="W238" t="str">
        <f t="shared" si="3"/>
        <v>2000020758_20209</v>
      </c>
      <c r="X238" s="2" t="s">
        <v>1615</v>
      </c>
    </row>
    <row r="239" spans="1:24" hidden="1" x14ac:dyDescent="0.35">
      <c r="A239">
        <v>9</v>
      </c>
      <c r="B239">
        <v>2000020814</v>
      </c>
      <c r="C239" s="1">
        <v>44616</v>
      </c>
      <c r="D239" t="s">
        <v>363</v>
      </c>
      <c r="E239" t="s">
        <v>18</v>
      </c>
      <c r="F239" t="s">
        <v>39</v>
      </c>
      <c r="G239" t="s">
        <v>20</v>
      </c>
      <c r="H239" t="s">
        <v>364</v>
      </c>
      <c r="I239" t="s">
        <v>41</v>
      </c>
      <c r="J239">
        <v>0.86499999999999999</v>
      </c>
      <c r="K239">
        <v>3</v>
      </c>
      <c r="L239">
        <v>1</v>
      </c>
      <c r="M239">
        <v>0.85</v>
      </c>
      <c r="N239" t="s">
        <v>28</v>
      </c>
      <c r="O239" s="1">
        <v>45346</v>
      </c>
      <c r="Q239" t="s">
        <v>311</v>
      </c>
      <c r="S239" t="s">
        <v>915</v>
      </c>
      <c r="T239" s="6" t="s">
        <v>921</v>
      </c>
      <c r="U239" s="6" t="s">
        <v>935</v>
      </c>
      <c r="V239" s="2" t="s">
        <v>954</v>
      </c>
      <c r="W239" t="str">
        <f t="shared" si="3"/>
        <v>2000020814_20222</v>
      </c>
      <c r="X239" s="2" t="s">
        <v>1615</v>
      </c>
    </row>
    <row r="240" spans="1:24" hidden="1" x14ac:dyDescent="0.35">
      <c r="B240">
        <v>2000020905</v>
      </c>
      <c r="C240" s="1">
        <v>44567</v>
      </c>
      <c r="D240" t="s">
        <v>2997</v>
      </c>
      <c r="F240" t="s">
        <v>148</v>
      </c>
      <c r="G240" t="s">
        <v>1606</v>
      </c>
      <c r="H240" t="s">
        <v>2998</v>
      </c>
      <c r="I240" t="s">
        <v>148</v>
      </c>
      <c r="J240">
        <v>0.81499999999999995</v>
      </c>
      <c r="K240">
        <v>3</v>
      </c>
      <c r="L240">
        <v>7</v>
      </c>
      <c r="M240">
        <v>0.85</v>
      </c>
      <c r="N240" t="s">
        <v>2310</v>
      </c>
      <c r="O240" s="1">
        <v>45297</v>
      </c>
      <c r="S240" t="s">
        <v>915</v>
      </c>
      <c r="T240" s="6" t="s">
        <v>953</v>
      </c>
      <c r="U240" s="6" t="s">
        <v>927</v>
      </c>
      <c r="V240" s="2" t="s">
        <v>954</v>
      </c>
      <c r="W240" t="str">
        <f t="shared" si="3"/>
        <v>2000020905_20221</v>
      </c>
      <c r="X240" s="2" t="s">
        <v>1616</v>
      </c>
    </row>
    <row r="241" spans="1:24" hidden="1" x14ac:dyDescent="0.35">
      <c r="A241">
        <v>28</v>
      </c>
      <c r="B241">
        <v>2000020970</v>
      </c>
      <c r="C241" s="1">
        <v>44089</v>
      </c>
      <c r="D241" t="s">
        <v>91</v>
      </c>
      <c r="E241" t="s">
        <v>18</v>
      </c>
      <c r="F241" t="s">
        <v>32</v>
      </c>
      <c r="G241" t="s">
        <v>92</v>
      </c>
      <c r="H241" t="s">
        <v>93</v>
      </c>
      <c r="I241" t="s">
        <v>22</v>
      </c>
      <c r="J241">
        <v>0.89700000000000002</v>
      </c>
      <c r="K241">
        <v>2.4</v>
      </c>
      <c r="L241">
        <v>3</v>
      </c>
      <c r="M241">
        <v>0.66</v>
      </c>
      <c r="N241" t="s">
        <v>28</v>
      </c>
      <c r="O241" s="1">
        <v>44819</v>
      </c>
      <c r="S241" t="s">
        <v>915</v>
      </c>
      <c r="T241" s="6" t="s">
        <v>942</v>
      </c>
      <c r="U241" s="6" t="s">
        <v>943</v>
      </c>
      <c r="V241" s="2" t="s">
        <v>923</v>
      </c>
      <c r="W241" t="str">
        <f t="shared" si="3"/>
        <v>2000020970_20209</v>
      </c>
      <c r="X241" s="2" t="s">
        <v>1615</v>
      </c>
    </row>
    <row r="242" spans="1:24" hidden="1" x14ac:dyDescent="0.35">
      <c r="B242">
        <v>2000021124</v>
      </c>
      <c r="C242" s="1">
        <v>44518</v>
      </c>
      <c r="D242" t="s">
        <v>2999</v>
      </c>
      <c r="F242" t="s">
        <v>148</v>
      </c>
      <c r="G242" t="s">
        <v>1603</v>
      </c>
      <c r="H242" t="s">
        <v>3000</v>
      </c>
      <c r="I242" t="s">
        <v>22</v>
      </c>
      <c r="J242">
        <v>0.73899999999999999</v>
      </c>
      <c r="K242">
        <v>2.6</v>
      </c>
      <c r="L242">
        <v>6</v>
      </c>
      <c r="M242">
        <v>0.71</v>
      </c>
      <c r="N242" t="s">
        <v>2361</v>
      </c>
      <c r="O242" s="1">
        <v>44883</v>
      </c>
      <c r="S242" t="s">
        <v>915</v>
      </c>
      <c r="T242" s="6" t="s">
        <v>945</v>
      </c>
      <c r="U242" s="6" t="s">
        <v>930</v>
      </c>
      <c r="V242" s="2" t="s">
        <v>952</v>
      </c>
      <c r="W242" t="str">
        <f t="shared" si="3"/>
        <v>2000021124_202111</v>
      </c>
      <c r="X242" s="2" t="s">
        <v>1616</v>
      </c>
    </row>
    <row r="243" spans="1:24" hidden="1" x14ac:dyDescent="0.35">
      <c r="B243">
        <v>2000021124</v>
      </c>
      <c r="C243" s="1">
        <v>44802</v>
      </c>
      <c r="D243" t="s">
        <v>2999</v>
      </c>
      <c r="F243" t="s">
        <v>148</v>
      </c>
      <c r="G243" t="s">
        <v>1603</v>
      </c>
      <c r="H243" t="s">
        <v>3001</v>
      </c>
      <c r="I243" t="s">
        <v>148</v>
      </c>
      <c r="J243">
        <v>0.83299999999999996</v>
      </c>
      <c r="K243">
        <v>3</v>
      </c>
      <c r="L243">
        <v>5</v>
      </c>
      <c r="M243">
        <v>0.73</v>
      </c>
      <c r="N243" t="s">
        <v>2310</v>
      </c>
      <c r="O243" s="1">
        <v>45533</v>
      </c>
      <c r="S243" t="s">
        <v>915</v>
      </c>
      <c r="T243" s="6" t="s">
        <v>940</v>
      </c>
      <c r="U243" s="6" t="s">
        <v>937</v>
      </c>
      <c r="V243" s="2" t="s">
        <v>954</v>
      </c>
      <c r="W243" t="str">
        <f t="shared" si="3"/>
        <v>2000021124_20228</v>
      </c>
      <c r="X243" s="2" t="s">
        <v>1616</v>
      </c>
    </row>
    <row r="244" spans="1:24" hidden="1" x14ac:dyDescent="0.35">
      <c r="B244">
        <v>2000021130</v>
      </c>
      <c r="C244" s="1">
        <v>44005</v>
      </c>
      <c r="D244" t="s">
        <v>3002</v>
      </c>
      <c r="F244" t="s">
        <v>52</v>
      </c>
      <c r="G244" t="s">
        <v>1606</v>
      </c>
      <c r="H244" t="s">
        <v>3003</v>
      </c>
      <c r="I244" t="s">
        <v>41</v>
      </c>
      <c r="J244">
        <v>0.7</v>
      </c>
      <c r="K244">
        <v>2.2999999999999998</v>
      </c>
      <c r="L244">
        <v>3</v>
      </c>
      <c r="M244">
        <v>0.68</v>
      </c>
      <c r="N244" t="s">
        <v>2310</v>
      </c>
      <c r="O244" s="1">
        <v>44735</v>
      </c>
      <c r="S244" t="s">
        <v>915</v>
      </c>
      <c r="T244" s="6" t="s">
        <v>927</v>
      </c>
      <c r="U244" s="6" t="s">
        <v>934</v>
      </c>
      <c r="V244" s="2" t="s">
        <v>923</v>
      </c>
      <c r="W244" t="str">
        <f t="shared" si="3"/>
        <v>2000021130_20206</v>
      </c>
      <c r="X244" s="2" t="s">
        <v>1616</v>
      </c>
    </row>
    <row r="245" spans="1:24" hidden="1" x14ac:dyDescent="0.35">
      <c r="B245">
        <v>2000021195</v>
      </c>
      <c r="C245" s="1">
        <v>45236</v>
      </c>
      <c r="D245" t="s">
        <v>3006</v>
      </c>
      <c r="F245" t="s">
        <v>39</v>
      </c>
      <c r="G245" t="s">
        <v>1606</v>
      </c>
      <c r="H245" t="s">
        <v>3007</v>
      </c>
      <c r="I245" t="s">
        <v>41</v>
      </c>
      <c r="J245">
        <v>0.94099999999999995</v>
      </c>
      <c r="K245">
        <v>3</v>
      </c>
      <c r="M245">
        <v>0.89</v>
      </c>
      <c r="N245" t="s">
        <v>2314</v>
      </c>
      <c r="O245" s="1">
        <v>46332</v>
      </c>
      <c r="S245" t="s">
        <v>915</v>
      </c>
      <c r="T245" s="6" t="s">
        <v>945</v>
      </c>
      <c r="U245" s="6" t="s">
        <v>927</v>
      </c>
      <c r="V245" s="2" t="s">
        <v>955</v>
      </c>
      <c r="W245" t="str">
        <f t="shared" si="3"/>
        <v>2000021195_202311</v>
      </c>
      <c r="X245" s="2" t="s">
        <v>1616</v>
      </c>
    </row>
    <row r="246" spans="1:24" hidden="1" x14ac:dyDescent="0.35">
      <c r="B246">
        <v>2000021232</v>
      </c>
      <c r="C246" s="1">
        <v>44503</v>
      </c>
      <c r="D246" t="s">
        <v>3008</v>
      </c>
      <c r="F246" t="s">
        <v>52</v>
      </c>
      <c r="G246" t="s">
        <v>1606</v>
      </c>
      <c r="H246" t="s">
        <v>3009</v>
      </c>
      <c r="I246" t="s">
        <v>41</v>
      </c>
      <c r="J246">
        <v>0.91700000000000004</v>
      </c>
      <c r="K246">
        <v>3</v>
      </c>
      <c r="L246">
        <v>2</v>
      </c>
      <c r="M246">
        <v>0.82</v>
      </c>
      <c r="N246" t="s">
        <v>2314</v>
      </c>
      <c r="O246" s="1">
        <v>45599</v>
      </c>
      <c r="S246" t="s">
        <v>915</v>
      </c>
      <c r="T246" s="6" t="s">
        <v>945</v>
      </c>
      <c r="U246" s="6" t="s">
        <v>941</v>
      </c>
      <c r="V246" s="2" t="s">
        <v>952</v>
      </c>
      <c r="W246" t="str">
        <f t="shared" si="3"/>
        <v>2000021232_202111</v>
      </c>
      <c r="X246" s="2" t="s">
        <v>1616</v>
      </c>
    </row>
    <row r="247" spans="1:24" hidden="1" x14ac:dyDescent="0.35">
      <c r="B247">
        <v>2000021324</v>
      </c>
      <c r="C247" s="1">
        <v>44532</v>
      </c>
      <c r="D247" t="s">
        <v>3013</v>
      </c>
      <c r="F247" t="s">
        <v>39</v>
      </c>
      <c r="G247" t="s">
        <v>1706</v>
      </c>
      <c r="H247" t="s">
        <v>3014</v>
      </c>
      <c r="I247" t="s">
        <v>41</v>
      </c>
      <c r="J247">
        <v>0.82499999999999996</v>
      </c>
      <c r="K247">
        <v>3</v>
      </c>
      <c r="L247">
        <v>4</v>
      </c>
      <c r="M247">
        <v>0.77</v>
      </c>
      <c r="N247" t="s">
        <v>2310</v>
      </c>
      <c r="O247" s="1">
        <v>45262</v>
      </c>
      <c r="S247" t="s">
        <v>915</v>
      </c>
      <c r="T247" s="6" t="s">
        <v>949</v>
      </c>
      <c r="U247" s="6" t="s">
        <v>921</v>
      </c>
      <c r="V247" s="2" t="s">
        <v>952</v>
      </c>
      <c r="W247" t="str">
        <f t="shared" si="3"/>
        <v>2000021324_202112</v>
      </c>
      <c r="X247" s="2" t="s">
        <v>1616</v>
      </c>
    </row>
    <row r="248" spans="1:24" hidden="1" x14ac:dyDescent="0.35">
      <c r="B248">
        <v>2000021324</v>
      </c>
      <c r="C248" s="1">
        <v>45063</v>
      </c>
      <c r="D248" t="s">
        <v>3013</v>
      </c>
      <c r="F248" t="s">
        <v>39</v>
      </c>
      <c r="G248" t="s">
        <v>1706</v>
      </c>
      <c r="H248" t="s">
        <v>3015</v>
      </c>
      <c r="I248" t="s">
        <v>41</v>
      </c>
      <c r="J248">
        <v>0.93799999999999994</v>
      </c>
      <c r="K248">
        <v>2.7</v>
      </c>
      <c r="L248">
        <v>1</v>
      </c>
      <c r="M248">
        <v>0.82</v>
      </c>
      <c r="N248" t="s">
        <v>2310</v>
      </c>
      <c r="O248" s="1">
        <v>45794</v>
      </c>
      <c r="S248" t="s">
        <v>915</v>
      </c>
      <c r="T248" s="6" t="s">
        <v>947</v>
      </c>
      <c r="U248" s="6" t="s">
        <v>929</v>
      </c>
      <c r="V248" s="2" t="s">
        <v>955</v>
      </c>
      <c r="W248" t="str">
        <f t="shared" si="3"/>
        <v>2000021324_20235</v>
      </c>
      <c r="X248" s="2" t="s">
        <v>1616</v>
      </c>
    </row>
    <row r="249" spans="1:24" hidden="1" x14ac:dyDescent="0.35">
      <c r="B249">
        <v>2000021332</v>
      </c>
      <c r="C249" s="1">
        <v>44209</v>
      </c>
      <c r="D249" t="s">
        <v>3018</v>
      </c>
      <c r="F249" t="s">
        <v>32</v>
      </c>
      <c r="G249" t="s">
        <v>1603</v>
      </c>
      <c r="H249" t="s">
        <v>3019</v>
      </c>
      <c r="I249" t="s">
        <v>22</v>
      </c>
      <c r="J249">
        <v>0.65</v>
      </c>
      <c r="K249">
        <v>2</v>
      </c>
      <c r="L249">
        <v>8</v>
      </c>
      <c r="M249">
        <v>0.79</v>
      </c>
      <c r="N249" t="s">
        <v>2605</v>
      </c>
      <c r="O249" s="1">
        <v>44390</v>
      </c>
      <c r="S249" t="s">
        <v>915</v>
      </c>
      <c r="T249" s="6" t="s">
        <v>953</v>
      </c>
      <c r="U249" s="6" t="s">
        <v>950</v>
      </c>
      <c r="V249" s="2" t="s">
        <v>952</v>
      </c>
      <c r="W249" t="str">
        <f t="shared" si="3"/>
        <v>2000021332_20211</v>
      </c>
      <c r="X249" s="2" t="s">
        <v>1616</v>
      </c>
    </row>
    <row r="250" spans="1:24" hidden="1" x14ac:dyDescent="0.35">
      <c r="B250">
        <v>2000021397</v>
      </c>
      <c r="C250" s="1">
        <v>44141</v>
      </c>
      <c r="D250" t="s">
        <v>3022</v>
      </c>
      <c r="F250" t="s">
        <v>43</v>
      </c>
      <c r="G250" t="s">
        <v>1606</v>
      </c>
      <c r="H250" t="s">
        <v>3023</v>
      </c>
      <c r="I250" t="s">
        <v>41</v>
      </c>
      <c r="J250">
        <v>0.85399999999999998</v>
      </c>
      <c r="K250">
        <v>2.4</v>
      </c>
      <c r="L250">
        <v>3</v>
      </c>
      <c r="M250">
        <v>0.92</v>
      </c>
      <c r="N250" t="s">
        <v>2310</v>
      </c>
      <c r="O250" s="1">
        <v>44871</v>
      </c>
      <c r="S250" t="s">
        <v>915</v>
      </c>
      <c r="T250" s="6" t="s">
        <v>945</v>
      </c>
      <c r="U250" s="6" t="s">
        <v>927</v>
      </c>
      <c r="V250" s="2" t="s">
        <v>923</v>
      </c>
      <c r="W250" t="str">
        <f t="shared" si="3"/>
        <v>2000021397_202011</v>
      </c>
      <c r="X250" s="2" t="s">
        <v>1616</v>
      </c>
    </row>
    <row r="251" spans="1:24" hidden="1" x14ac:dyDescent="0.35">
      <c r="B251">
        <v>2000021397</v>
      </c>
      <c r="C251" s="1">
        <v>44796</v>
      </c>
      <c r="D251" t="s">
        <v>3022</v>
      </c>
      <c r="F251" t="s">
        <v>43</v>
      </c>
      <c r="G251" t="s">
        <v>1606</v>
      </c>
      <c r="H251" t="s">
        <v>2713</v>
      </c>
      <c r="I251" t="s">
        <v>41</v>
      </c>
      <c r="J251">
        <v>1</v>
      </c>
      <c r="K251">
        <v>3</v>
      </c>
      <c r="L251">
        <v>0</v>
      </c>
      <c r="M251">
        <v>0.88</v>
      </c>
      <c r="N251" t="s">
        <v>2314</v>
      </c>
      <c r="O251" s="1">
        <v>45892</v>
      </c>
      <c r="S251" t="s">
        <v>915</v>
      </c>
      <c r="T251" s="6" t="s">
        <v>940</v>
      </c>
      <c r="U251" s="6" t="s">
        <v>934</v>
      </c>
      <c r="V251" s="2" t="s">
        <v>954</v>
      </c>
      <c r="W251" t="str">
        <f t="shared" si="3"/>
        <v>2000021397_20228</v>
      </c>
      <c r="X251" s="2" t="s">
        <v>1616</v>
      </c>
    </row>
    <row r="252" spans="1:24" hidden="1" x14ac:dyDescent="0.35">
      <c r="A252">
        <v>50</v>
      </c>
      <c r="B252" t="s">
        <v>248</v>
      </c>
      <c r="C252" s="1">
        <v>44424</v>
      </c>
      <c r="D252" t="s">
        <v>249</v>
      </c>
      <c r="E252" t="s">
        <v>18</v>
      </c>
      <c r="F252" t="s">
        <v>39</v>
      </c>
      <c r="G252" t="s">
        <v>20</v>
      </c>
      <c r="H252" t="s">
        <v>250</v>
      </c>
      <c r="I252" t="s">
        <v>41</v>
      </c>
      <c r="J252">
        <v>0.86</v>
      </c>
      <c r="K252">
        <v>2.2999999999999998</v>
      </c>
      <c r="L252">
        <v>3</v>
      </c>
      <c r="M252">
        <v>0.7</v>
      </c>
      <c r="N252" t="s">
        <v>28</v>
      </c>
      <c r="O252" s="1">
        <v>45154</v>
      </c>
      <c r="S252" t="s">
        <v>915</v>
      </c>
      <c r="T252" s="6" t="s">
        <v>940</v>
      </c>
      <c r="U252" s="6" t="s">
        <v>928</v>
      </c>
      <c r="V252" s="2" t="s">
        <v>952</v>
      </c>
      <c r="W252" t="str">
        <f t="shared" si="3"/>
        <v>2000021413_20218</v>
      </c>
      <c r="X252" s="2" t="s">
        <v>1615</v>
      </c>
    </row>
    <row r="253" spans="1:24" hidden="1" x14ac:dyDescent="0.35">
      <c r="B253">
        <v>2000021435</v>
      </c>
      <c r="C253" s="1">
        <v>44089</v>
      </c>
      <c r="D253" t="s">
        <v>3024</v>
      </c>
      <c r="F253" t="s">
        <v>19</v>
      </c>
      <c r="G253" t="s">
        <v>1720</v>
      </c>
      <c r="H253" t="s">
        <v>3025</v>
      </c>
      <c r="I253" t="s">
        <v>22</v>
      </c>
      <c r="J253">
        <v>0.94799999999999995</v>
      </c>
      <c r="K253">
        <v>3</v>
      </c>
      <c r="L253">
        <v>0</v>
      </c>
      <c r="M253">
        <v>0.98</v>
      </c>
      <c r="N253" t="s">
        <v>2310</v>
      </c>
      <c r="O253" s="1">
        <v>44819</v>
      </c>
      <c r="S253" t="s">
        <v>915</v>
      </c>
      <c r="T253" s="6" t="s">
        <v>942</v>
      </c>
      <c r="U253" s="6" t="s">
        <v>943</v>
      </c>
      <c r="V253" s="2" t="s">
        <v>923</v>
      </c>
      <c r="W253" t="str">
        <f t="shared" si="3"/>
        <v>2000021435_20209</v>
      </c>
      <c r="X253" s="2" t="s">
        <v>1616</v>
      </c>
    </row>
    <row r="254" spans="1:24" hidden="1" x14ac:dyDescent="0.35">
      <c r="B254">
        <v>2000021525</v>
      </c>
      <c r="C254" s="1">
        <v>44042</v>
      </c>
      <c r="D254" t="s">
        <v>3037</v>
      </c>
      <c r="F254" t="s">
        <v>43</v>
      </c>
      <c r="G254" t="s">
        <v>1603</v>
      </c>
      <c r="H254" t="s">
        <v>3038</v>
      </c>
      <c r="I254" t="s">
        <v>41</v>
      </c>
      <c r="J254">
        <v>0.75</v>
      </c>
      <c r="K254">
        <v>2.2999999999999998</v>
      </c>
      <c r="L254">
        <v>1</v>
      </c>
      <c r="M254">
        <v>0.6</v>
      </c>
      <c r="N254" t="s">
        <v>2310</v>
      </c>
      <c r="O254" s="1">
        <v>44772</v>
      </c>
      <c r="S254" t="s">
        <v>915</v>
      </c>
      <c r="T254" s="6" t="s">
        <v>936</v>
      </c>
      <c r="U254" s="6" t="s">
        <v>938</v>
      </c>
      <c r="V254" s="2" t="s">
        <v>923</v>
      </c>
      <c r="W254" t="str">
        <f t="shared" si="3"/>
        <v>2000021525_20207</v>
      </c>
      <c r="X254" s="2" t="s">
        <v>1616</v>
      </c>
    </row>
    <row r="255" spans="1:24" hidden="1" x14ac:dyDescent="0.35">
      <c r="B255">
        <v>2000021525</v>
      </c>
      <c r="C255" s="1">
        <v>44735</v>
      </c>
      <c r="D255" t="s">
        <v>3037</v>
      </c>
      <c r="F255" t="s">
        <v>43</v>
      </c>
      <c r="G255" t="s">
        <v>1603</v>
      </c>
      <c r="H255" t="s">
        <v>3039</v>
      </c>
      <c r="I255" t="s">
        <v>41</v>
      </c>
      <c r="J255">
        <v>1</v>
      </c>
      <c r="K255">
        <v>2.6</v>
      </c>
      <c r="L255">
        <v>0</v>
      </c>
      <c r="M255">
        <v>0.85</v>
      </c>
      <c r="N255" t="s">
        <v>2310</v>
      </c>
      <c r="O255" s="1">
        <v>45831</v>
      </c>
      <c r="S255" t="s">
        <v>915</v>
      </c>
      <c r="T255" s="6" t="s">
        <v>927</v>
      </c>
      <c r="U255" s="6" t="s">
        <v>934</v>
      </c>
      <c r="V255" s="2" t="s">
        <v>954</v>
      </c>
      <c r="W255" t="str">
        <f t="shared" si="3"/>
        <v>2000021525_20226</v>
      </c>
      <c r="X255" s="2" t="s">
        <v>1616</v>
      </c>
    </row>
    <row r="256" spans="1:24" hidden="1" x14ac:dyDescent="0.35">
      <c r="B256">
        <v>2000021551</v>
      </c>
      <c r="C256" s="1">
        <v>43655</v>
      </c>
      <c r="D256" t="s">
        <v>3040</v>
      </c>
      <c r="F256" t="s">
        <v>39</v>
      </c>
      <c r="G256" t="s">
        <v>3041</v>
      </c>
      <c r="H256" t="s">
        <v>3042</v>
      </c>
      <c r="I256" t="s">
        <v>41</v>
      </c>
      <c r="J256">
        <v>0.82399999999999995</v>
      </c>
      <c r="K256">
        <v>2</v>
      </c>
      <c r="L256">
        <v>12</v>
      </c>
      <c r="N256" t="s">
        <v>23</v>
      </c>
      <c r="O256" s="1">
        <v>44021</v>
      </c>
      <c r="S256" t="s">
        <v>915</v>
      </c>
      <c r="T256" s="6" t="s">
        <v>936</v>
      </c>
      <c r="U256" s="6" t="s">
        <v>942</v>
      </c>
      <c r="V256" s="2" t="s">
        <v>1618</v>
      </c>
      <c r="W256" t="str">
        <f t="shared" si="3"/>
        <v>2000021551_20197</v>
      </c>
      <c r="X256" s="2" t="s">
        <v>1616</v>
      </c>
    </row>
    <row r="257" spans="1:24" hidden="1" x14ac:dyDescent="0.35">
      <c r="B257">
        <v>2000021662</v>
      </c>
      <c r="C257" s="1">
        <v>44272</v>
      </c>
      <c r="D257" t="s">
        <v>3057</v>
      </c>
      <c r="F257" t="s">
        <v>148</v>
      </c>
      <c r="G257" t="s">
        <v>1603</v>
      </c>
      <c r="H257" t="s">
        <v>3058</v>
      </c>
      <c r="I257" t="s">
        <v>148</v>
      </c>
      <c r="J257">
        <v>0.90400000000000003</v>
      </c>
      <c r="K257">
        <v>3</v>
      </c>
      <c r="L257">
        <v>4</v>
      </c>
      <c r="M257">
        <v>0.92</v>
      </c>
      <c r="N257" t="s">
        <v>2314</v>
      </c>
      <c r="O257" s="1">
        <v>45368</v>
      </c>
      <c r="S257" t="s">
        <v>915</v>
      </c>
      <c r="T257" s="6" t="s">
        <v>941</v>
      </c>
      <c r="U257" s="6" t="s">
        <v>929</v>
      </c>
      <c r="V257" s="2" t="s">
        <v>952</v>
      </c>
      <c r="W257" t="str">
        <f t="shared" si="3"/>
        <v>2000021662_20213</v>
      </c>
      <c r="X257" s="2" t="s">
        <v>1616</v>
      </c>
    </row>
    <row r="258" spans="1:24" hidden="1" x14ac:dyDescent="0.35">
      <c r="A258">
        <v>24</v>
      </c>
      <c r="B258">
        <v>2000021828</v>
      </c>
      <c r="C258" s="1">
        <v>44646</v>
      </c>
      <c r="D258" t="s">
        <v>393</v>
      </c>
      <c r="E258" t="s">
        <v>18</v>
      </c>
      <c r="F258" t="s">
        <v>32</v>
      </c>
      <c r="G258" t="s">
        <v>238</v>
      </c>
      <c r="H258" t="s">
        <v>394</v>
      </c>
      <c r="I258" t="s">
        <v>41</v>
      </c>
      <c r="J258">
        <v>0.86499999999999999</v>
      </c>
      <c r="K258">
        <v>2.2999999999999998</v>
      </c>
      <c r="L258">
        <v>8</v>
      </c>
      <c r="M258">
        <v>0.97</v>
      </c>
      <c r="N258" t="s">
        <v>28</v>
      </c>
      <c r="O258" s="1">
        <v>45377</v>
      </c>
      <c r="S258" t="s">
        <v>915</v>
      </c>
      <c r="T258" s="6" t="s">
        <v>941</v>
      </c>
      <c r="U258" s="6" t="s">
        <v>924</v>
      </c>
      <c r="V258" s="2" t="s">
        <v>954</v>
      </c>
      <c r="W258" t="str">
        <f t="shared" ref="W258:W321" si="4">CONCATENATE(B258,"_",V258,T258)</f>
        <v>2000021828_20223</v>
      </c>
      <c r="X258" s="2" t="s">
        <v>1615</v>
      </c>
    </row>
    <row r="259" spans="1:24" hidden="1" x14ac:dyDescent="0.35">
      <c r="B259">
        <v>2000021903</v>
      </c>
      <c r="C259" s="1">
        <v>44483</v>
      </c>
      <c r="D259" t="s">
        <v>3072</v>
      </c>
      <c r="F259" t="s">
        <v>39</v>
      </c>
      <c r="G259" t="s">
        <v>2013</v>
      </c>
      <c r="H259" t="s">
        <v>3073</v>
      </c>
      <c r="I259" t="s">
        <v>22</v>
      </c>
      <c r="J259">
        <v>0.88</v>
      </c>
      <c r="K259">
        <v>2.6</v>
      </c>
      <c r="L259">
        <v>6</v>
      </c>
      <c r="M259">
        <v>0.74</v>
      </c>
      <c r="N259" t="s">
        <v>2310</v>
      </c>
      <c r="O259" s="1">
        <v>45213</v>
      </c>
      <c r="S259" t="s">
        <v>915</v>
      </c>
      <c r="T259" s="6" t="s">
        <v>948</v>
      </c>
      <c r="U259" s="6" t="s">
        <v>951</v>
      </c>
      <c r="V259" s="2" t="s">
        <v>952</v>
      </c>
      <c r="W259" t="str">
        <f t="shared" si="4"/>
        <v>2000021903_202110</v>
      </c>
      <c r="X259" s="2" t="s">
        <v>1616</v>
      </c>
    </row>
    <row r="260" spans="1:24" hidden="1" x14ac:dyDescent="0.35">
      <c r="B260">
        <v>2000021904</v>
      </c>
      <c r="C260" s="1">
        <v>44480</v>
      </c>
      <c r="D260" t="s">
        <v>3074</v>
      </c>
      <c r="F260" t="s">
        <v>39</v>
      </c>
      <c r="G260" t="s">
        <v>2013</v>
      </c>
      <c r="H260" t="s">
        <v>3075</v>
      </c>
      <c r="I260" t="s">
        <v>41</v>
      </c>
      <c r="J260">
        <v>0.86499999999999999</v>
      </c>
      <c r="K260">
        <v>3</v>
      </c>
      <c r="L260">
        <v>6</v>
      </c>
      <c r="M260">
        <v>0.82</v>
      </c>
      <c r="N260" t="s">
        <v>2310</v>
      </c>
      <c r="O260" s="1">
        <v>45210</v>
      </c>
      <c r="S260" t="s">
        <v>915</v>
      </c>
      <c r="T260" s="6" t="s">
        <v>948</v>
      </c>
      <c r="U260" s="6" t="s">
        <v>945</v>
      </c>
      <c r="V260" s="2" t="s">
        <v>952</v>
      </c>
      <c r="W260" t="str">
        <f t="shared" si="4"/>
        <v>2000021904_202110</v>
      </c>
      <c r="X260" s="2" t="s">
        <v>1616</v>
      </c>
    </row>
    <row r="261" spans="1:24" hidden="1" x14ac:dyDescent="0.35">
      <c r="B261">
        <v>2000021904</v>
      </c>
      <c r="C261" s="1">
        <v>44989</v>
      </c>
      <c r="D261" t="s">
        <v>3074</v>
      </c>
      <c r="F261" t="s">
        <v>39</v>
      </c>
      <c r="G261" t="s">
        <v>2013</v>
      </c>
      <c r="H261" t="s">
        <v>3076</v>
      </c>
      <c r="I261" t="s">
        <v>41</v>
      </c>
      <c r="J261">
        <v>0.94699999999999995</v>
      </c>
      <c r="K261">
        <v>3</v>
      </c>
      <c r="L261">
        <v>1</v>
      </c>
      <c r="M261">
        <v>0.86</v>
      </c>
      <c r="N261" t="s">
        <v>2314</v>
      </c>
      <c r="O261" s="1">
        <v>46085</v>
      </c>
      <c r="S261" t="s">
        <v>915</v>
      </c>
      <c r="T261" s="6" t="s">
        <v>941</v>
      </c>
      <c r="U261" s="6" t="s">
        <v>946</v>
      </c>
      <c r="V261" s="2" t="s">
        <v>955</v>
      </c>
      <c r="W261" t="str">
        <f t="shared" si="4"/>
        <v>2000021904_20233</v>
      </c>
      <c r="X261" s="2" t="s">
        <v>1616</v>
      </c>
    </row>
    <row r="262" spans="1:24" hidden="1" x14ac:dyDescent="0.35">
      <c r="A262">
        <v>75</v>
      </c>
      <c r="B262">
        <v>2000021990</v>
      </c>
      <c r="C262" s="1">
        <v>44767</v>
      </c>
      <c r="D262" t="s">
        <v>486</v>
      </c>
      <c r="E262" t="s">
        <v>18</v>
      </c>
      <c r="F262" t="s">
        <v>39</v>
      </c>
      <c r="G262" t="s">
        <v>73</v>
      </c>
      <c r="H262" t="s">
        <v>487</v>
      </c>
      <c r="I262" t="s">
        <v>22</v>
      </c>
      <c r="J262">
        <v>0.81499999999999995</v>
      </c>
      <c r="K262">
        <v>2.2000000000000002</v>
      </c>
      <c r="L262">
        <v>5</v>
      </c>
      <c r="M262">
        <v>0.75</v>
      </c>
      <c r="N262" t="s">
        <v>28</v>
      </c>
      <c r="O262" s="1">
        <v>45498</v>
      </c>
      <c r="S262" t="s">
        <v>915</v>
      </c>
      <c r="T262" s="6" t="s">
        <v>936</v>
      </c>
      <c r="U262" s="6" t="s">
        <v>922</v>
      </c>
      <c r="V262" s="2" t="s">
        <v>954</v>
      </c>
      <c r="W262" t="str">
        <f t="shared" si="4"/>
        <v>2000021990_20227</v>
      </c>
      <c r="X262" s="2" t="s">
        <v>1615</v>
      </c>
    </row>
    <row r="263" spans="1:24" hidden="1" x14ac:dyDescent="0.35">
      <c r="A263">
        <v>31</v>
      </c>
      <c r="B263">
        <v>2000022008</v>
      </c>
      <c r="C263" s="1">
        <v>44392</v>
      </c>
      <c r="D263" t="s">
        <v>210</v>
      </c>
      <c r="E263" t="s">
        <v>18</v>
      </c>
      <c r="F263" t="s">
        <v>148</v>
      </c>
      <c r="G263" t="s">
        <v>20</v>
      </c>
      <c r="H263" t="s">
        <v>211</v>
      </c>
      <c r="I263" t="s">
        <v>41</v>
      </c>
      <c r="J263">
        <v>0.82199999999999995</v>
      </c>
      <c r="K263">
        <v>2.7</v>
      </c>
      <c r="L263">
        <v>6</v>
      </c>
      <c r="M263">
        <v>0.65</v>
      </c>
      <c r="N263" t="s">
        <v>28</v>
      </c>
      <c r="O263" s="1">
        <v>45122</v>
      </c>
      <c r="S263" t="s">
        <v>915</v>
      </c>
      <c r="T263" s="6" t="s">
        <v>936</v>
      </c>
      <c r="U263" s="6" t="s">
        <v>943</v>
      </c>
      <c r="V263" s="2" t="s">
        <v>952</v>
      </c>
      <c r="W263" t="str">
        <f t="shared" si="4"/>
        <v>2000022008_20217</v>
      </c>
      <c r="X263" s="2" t="s">
        <v>1615</v>
      </c>
    </row>
    <row r="264" spans="1:24" hidden="1" x14ac:dyDescent="0.35">
      <c r="A264">
        <v>31</v>
      </c>
      <c r="B264">
        <v>2000022432</v>
      </c>
      <c r="C264" s="1">
        <v>44672</v>
      </c>
      <c r="D264" t="s">
        <v>407</v>
      </c>
      <c r="E264" t="s">
        <v>18</v>
      </c>
      <c r="F264" t="s">
        <v>148</v>
      </c>
      <c r="G264" t="s">
        <v>20</v>
      </c>
      <c r="H264" t="s">
        <v>408</v>
      </c>
      <c r="I264" t="s">
        <v>41</v>
      </c>
      <c r="J264">
        <v>0.7</v>
      </c>
      <c r="K264">
        <v>2.2999999999999998</v>
      </c>
      <c r="L264">
        <v>8</v>
      </c>
      <c r="M264">
        <v>0.8</v>
      </c>
      <c r="N264" t="s">
        <v>23</v>
      </c>
      <c r="O264" s="1">
        <v>45037</v>
      </c>
      <c r="S264" t="s">
        <v>915</v>
      </c>
      <c r="T264" s="6" t="s">
        <v>946</v>
      </c>
      <c r="U264" s="6" t="s">
        <v>944</v>
      </c>
      <c r="V264" s="2" t="s">
        <v>954</v>
      </c>
      <c r="W264" t="str">
        <f t="shared" si="4"/>
        <v>2000022432_20224</v>
      </c>
      <c r="X264" s="2" t="s">
        <v>1615</v>
      </c>
    </row>
    <row r="265" spans="1:24" hidden="1" x14ac:dyDescent="0.35">
      <c r="B265">
        <v>2000022602</v>
      </c>
      <c r="C265" s="1">
        <v>44460</v>
      </c>
      <c r="D265" t="s">
        <v>3111</v>
      </c>
      <c r="F265" t="s">
        <v>39</v>
      </c>
      <c r="G265" t="s">
        <v>1606</v>
      </c>
      <c r="H265" t="s">
        <v>3112</v>
      </c>
      <c r="I265" t="s">
        <v>41</v>
      </c>
      <c r="J265">
        <v>0.91400000000000003</v>
      </c>
      <c r="K265">
        <v>2.2999999999999998</v>
      </c>
      <c r="L265">
        <v>6</v>
      </c>
      <c r="M265">
        <v>0.76</v>
      </c>
      <c r="N265" t="s">
        <v>2310</v>
      </c>
      <c r="O265" s="1">
        <v>45190</v>
      </c>
      <c r="S265" t="s">
        <v>915</v>
      </c>
      <c r="T265" s="6" t="s">
        <v>942</v>
      </c>
      <c r="U265" s="6" t="s">
        <v>944</v>
      </c>
      <c r="V265" s="2" t="s">
        <v>952</v>
      </c>
      <c r="W265" t="str">
        <f t="shared" si="4"/>
        <v>2000022602_20219</v>
      </c>
      <c r="X265" s="2" t="s">
        <v>1616</v>
      </c>
    </row>
    <row r="266" spans="1:24" hidden="1" x14ac:dyDescent="0.35">
      <c r="A266">
        <v>59</v>
      </c>
      <c r="B266" t="s">
        <v>604</v>
      </c>
      <c r="C266" s="1">
        <v>45149</v>
      </c>
      <c r="D266" t="s">
        <v>324</v>
      </c>
      <c r="E266" t="s">
        <v>18</v>
      </c>
      <c r="F266" t="s">
        <v>39</v>
      </c>
      <c r="G266" t="s">
        <v>168</v>
      </c>
      <c r="H266" t="s">
        <v>605</v>
      </c>
      <c r="I266" t="s">
        <v>41</v>
      </c>
      <c r="J266">
        <v>0.76700000000000002</v>
      </c>
      <c r="K266">
        <v>2.7</v>
      </c>
      <c r="L266">
        <v>4</v>
      </c>
      <c r="M266">
        <v>0.66</v>
      </c>
      <c r="N266" t="s">
        <v>23</v>
      </c>
      <c r="O266" s="1">
        <v>45515</v>
      </c>
      <c r="S266" t="s">
        <v>915</v>
      </c>
      <c r="T266" s="6" t="s">
        <v>940</v>
      </c>
      <c r="U266" s="6" t="s">
        <v>945</v>
      </c>
      <c r="V266" s="2" t="s">
        <v>955</v>
      </c>
      <c r="W266" t="str">
        <f t="shared" si="4"/>
        <v>2000022631_20238</v>
      </c>
      <c r="X266" s="2" t="s">
        <v>1615</v>
      </c>
    </row>
    <row r="267" spans="1:24" hidden="1" x14ac:dyDescent="0.35">
      <c r="A267">
        <v>89</v>
      </c>
      <c r="B267">
        <v>2000022631</v>
      </c>
      <c r="C267" s="1">
        <v>44491</v>
      </c>
      <c r="D267" t="s">
        <v>324</v>
      </c>
      <c r="E267" t="s">
        <v>18</v>
      </c>
      <c r="F267" t="s">
        <v>39</v>
      </c>
      <c r="G267" t="s">
        <v>168</v>
      </c>
      <c r="H267" t="s">
        <v>325</v>
      </c>
      <c r="I267" t="s">
        <v>41</v>
      </c>
      <c r="J267">
        <v>0.82099999999999995</v>
      </c>
      <c r="K267">
        <v>2.2999999999999998</v>
      </c>
      <c r="L267">
        <v>5</v>
      </c>
      <c r="M267">
        <v>0.71</v>
      </c>
      <c r="N267" t="s">
        <v>28</v>
      </c>
      <c r="O267" s="1">
        <v>45221</v>
      </c>
      <c r="S267" t="s">
        <v>915</v>
      </c>
      <c r="T267" s="6" t="s">
        <v>948</v>
      </c>
      <c r="U267" s="6" t="s">
        <v>933</v>
      </c>
      <c r="V267" s="2" t="s">
        <v>952</v>
      </c>
      <c r="W267" t="str">
        <f t="shared" si="4"/>
        <v>2000022631_202110</v>
      </c>
      <c r="X267" s="2" t="s">
        <v>1615</v>
      </c>
    </row>
    <row r="268" spans="1:24" hidden="1" x14ac:dyDescent="0.35">
      <c r="A268">
        <v>78</v>
      </c>
      <c r="B268">
        <v>2000022705</v>
      </c>
      <c r="C268" s="1">
        <v>44476</v>
      </c>
      <c r="D268" t="s">
        <v>300</v>
      </c>
      <c r="E268" t="s">
        <v>18</v>
      </c>
      <c r="F268" t="s">
        <v>19</v>
      </c>
      <c r="G268" t="s">
        <v>20</v>
      </c>
      <c r="H268" t="s">
        <v>301</v>
      </c>
      <c r="I268" t="s">
        <v>41</v>
      </c>
      <c r="J268">
        <v>0.71699999999999997</v>
      </c>
      <c r="K268">
        <v>2.2999999999999998</v>
      </c>
      <c r="L268">
        <v>4</v>
      </c>
      <c r="M268">
        <v>0.75</v>
      </c>
      <c r="N268" t="s">
        <v>23</v>
      </c>
      <c r="O268" s="1">
        <v>44841</v>
      </c>
      <c r="S268" t="s">
        <v>915</v>
      </c>
      <c r="T268" s="6" t="s">
        <v>948</v>
      </c>
      <c r="U268" s="6" t="s">
        <v>936</v>
      </c>
      <c r="V268" s="2" t="s">
        <v>952</v>
      </c>
      <c r="W268" t="str">
        <f t="shared" si="4"/>
        <v>2000022705_202110</v>
      </c>
      <c r="X268" s="2" t="s">
        <v>1615</v>
      </c>
    </row>
    <row r="269" spans="1:24" hidden="1" x14ac:dyDescent="0.35">
      <c r="B269">
        <v>2000022749</v>
      </c>
      <c r="C269" s="1">
        <v>44211</v>
      </c>
      <c r="D269" t="s">
        <v>3113</v>
      </c>
      <c r="F269" t="s">
        <v>19</v>
      </c>
      <c r="G269" t="s">
        <v>1603</v>
      </c>
      <c r="H269" t="s">
        <v>3114</v>
      </c>
      <c r="I269" t="s">
        <v>22</v>
      </c>
      <c r="J269">
        <v>0.93</v>
      </c>
      <c r="K269">
        <v>3</v>
      </c>
      <c r="L269">
        <v>0</v>
      </c>
      <c r="M269">
        <v>0.95</v>
      </c>
      <c r="N269" t="s">
        <v>2314</v>
      </c>
      <c r="O269" s="1">
        <v>45306</v>
      </c>
      <c r="S269" t="s">
        <v>915</v>
      </c>
      <c r="T269" s="6" t="s">
        <v>953</v>
      </c>
      <c r="U269" s="6" t="s">
        <v>943</v>
      </c>
      <c r="V269" s="2" t="s">
        <v>952</v>
      </c>
      <c r="W269" t="str">
        <f t="shared" si="4"/>
        <v>2000022749_20211</v>
      </c>
      <c r="X269" s="2" t="s">
        <v>1616</v>
      </c>
    </row>
    <row r="270" spans="1:24" hidden="1" x14ac:dyDescent="0.35">
      <c r="A270">
        <v>66</v>
      </c>
      <c r="B270">
        <v>2000058530</v>
      </c>
      <c r="C270" s="1">
        <v>44733</v>
      </c>
      <c r="D270" t="s">
        <v>468</v>
      </c>
      <c r="E270" t="s">
        <v>18</v>
      </c>
      <c r="F270" t="s">
        <v>19</v>
      </c>
      <c r="G270" t="s">
        <v>92</v>
      </c>
      <c r="H270" t="s">
        <v>469</v>
      </c>
      <c r="I270" t="s">
        <v>22</v>
      </c>
      <c r="J270">
        <v>0.90800000000000003</v>
      </c>
      <c r="K270">
        <v>2.4</v>
      </c>
      <c r="L270">
        <v>5</v>
      </c>
      <c r="M270">
        <v>0.76</v>
      </c>
      <c r="N270" t="s">
        <v>28</v>
      </c>
      <c r="O270" s="1">
        <v>45464</v>
      </c>
      <c r="P270" t="s">
        <v>470</v>
      </c>
      <c r="S270" t="s">
        <v>915</v>
      </c>
      <c r="T270" s="6" t="s">
        <v>927</v>
      </c>
      <c r="U270" s="6" t="s">
        <v>944</v>
      </c>
      <c r="V270" s="2" t="s">
        <v>954</v>
      </c>
      <c r="W270" t="str">
        <f t="shared" si="4"/>
        <v>2000058530_20226</v>
      </c>
      <c r="X270" s="2" t="s">
        <v>1615</v>
      </c>
    </row>
    <row r="271" spans="1:24" hidden="1" x14ac:dyDescent="0.35">
      <c r="B271">
        <v>2000022876</v>
      </c>
      <c r="C271" s="1">
        <v>43790</v>
      </c>
      <c r="D271" t="s">
        <v>3124</v>
      </c>
      <c r="F271" t="s">
        <v>19</v>
      </c>
      <c r="G271" t="s">
        <v>1609</v>
      </c>
      <c r="H271" t="s">
        <v>3125</v>
      </c>
      <c r="I271" t="s">
        <v>22</v>
      </c>
      <c r="J271">
        <v>0.82</v>
      </c>
      <c r="N271" t="s">
        <v>2310</v>
      </c>
      <c r="O271" s="1">
        <v>44521</v>
      </c>
      <c r="S271" t="s">
        <v>915</v>
      </c>
      <c r="T271" s="6" t="s">
        <v>945</v>
      </c>
      <c r="U271" s="6" t="s">
        <v>944</v>
      </c>
      <c r="V271" s="2" t="s">
        <v>1618</v>
      </c>
      <c r="W271" t="str">
        <f t="shared" si="4"/>
        <v>2000022876_201911</v>
      </c>
      <c r="X271" s="2" t="s">
        <v>1616</v>
      </c>
    </row>
    <row r="272" spans="1:24" hidden="1" x14ac:dyDescent="0.35">
      <c r="B272">
        <v>2000022876</v>
      </c>
      <c r="C272" s="1">
        <v>44426</v>
      </c>
      <c r="D272" t="s">
        <v>3124</v>
      </c>
      <c r="F272" t="s">
        <v>19</v>
      </c>
      <c r="G272" t="s">
        <v>1609</v>
      </c>
      <c r="H272" t="s">
        <v>3126</v>
      </c>
      <c r="I272" t="s">
        <v>22</v>
      </c>
      <c r="J272">
        <v>0.91700000000000004</v>
      </c>
      <c r="K272">
        <v>3</v>
      </c>
      <c r="L272">
        <v>5</v>
      </c>
      <c r="M272">
        <v>0.87</v>
      </c>
      <c r="N272" t="s">
        <v>2314</v>
      </c>
      <c r="O272" s="1">
        <v>45522</v>
      </c>
      <c r="S272" t="s">
        <v>915</v>
      </c>
      <c r="T272" s="6" t="s">
        <v>940</v>
      </c>
      <c r="U272" s="6" t="s">
        <v>930</v>
      </c>
      <c r="V272" s="2" t="s">
        <v>952</v>
      </c>
      <c r="W272" t="str">
        <f t="shared" si="4"/>
        <v>2000022876_20218</v>
      </c>
      <c r="X272" s="2" t="s">
        <v>1616</v>
      </c>
    </row>
    <row r="273" spans="1:24" hidden="1" x14ac:dyDescent="0.35">
      <c r="B273">
        <v>2000022911</v>
      </c>
      <c r="C273" s="1">
        <v>44106</v>
      </c>
      <c r="D273" t="s">
        <v>3127</v>
      </c>
      <c r="F273" t="s">
        <v>43</v>
      </c>
      <c r="G273" t="s">
        <v>1603</v>
      </c>
      <c r="H273" t="s">
        <v>3128</v>
      </c>
      <c r="I273" t="s">
        <v>41</v>
      </c>
      <c r="J273">
        <v>0.90900000000000003</v>
      </c>
      <c r="K273">
        <v>2.2999999999999998</v>
      </c>
      <c r="L273">
        <v>1</v>
      </c>
      <c r="M273">
        <v>0.87</v>
      </c>
      <c r="N273" t="s">
        <v>2310</v>
      </c>
      <c r="O273" s="1">
        <v>44836</v>
      </c>
      <c r="S273" t="s">
        <v>915</v>
      </c>
      <c r="T273" s="6" t="s">
        <v>948</v>
      </c>
      <c r="U273" s="6" t="s">
        <v>921</v>
      </c>
      <c r="V273" s="2" t="s">
        <v>923</v>
      </c>
      <c r="W273" t="str">
        <f t="shared" si="4"/>
        <v>2000022911_202010</v>
      </c>
      <c r="X273" s="2" t="s">
        <v>1616</v>
      </c>
    </row>
    <row r="274" spans="1:24" hidden="1" x14ac:dyDescent="0.35">
      <c r="A274">
        <v>86</v>
      </c>
      <c r="B274">
        <v>2000022948</v>
      </c>
      <c r="C274" s="1">
        <v>44804</v>
      </c>
      <c r="D274" t="s">
        <v>503</v>
      </c>
      <c r="E274" t="s">
        <v>18</v>
      </c>
      <c r="F274" t="s">
        <v>148</v>
      </c>
      <c r="G274" t="s">
        <v>238</v>
      </c>
      <c r="H274" t="s">
        <v>504</v>
      </c>
      <c r="I274" t="s">
        <v>148</v>
      </c>
      <c r="J274">
        <v>0.72899999999999998</v>
      </c>
      <c r="K274">
        <v>2.2999999999999998</v>
      </c>
      <c r="L274">
        <v>8</v>
      </c>
      <c r="M274">
        <v>0.59</v>
      </c>
      <c r="N274" t="s">
        <v>23</v>
      </c>
      <c r="O274" s="1">
        <v>45169</v>
      </c>
      <c r="S274" t="s">
        <v>915</v>
      </c>
      <c r="T274" s="6" t="s">
        <v>940</v>
      </c>
      <c r="U274" s="6" t="s">
        <v>939</v>
      </c>
      <c r="V274" s="2" t="s">
        <v>954</v>
      </c>
      <c r="W274" t="str">
        <f t="shared" si="4"/>
        <v>2000022948_20228</v>
      </c>
      <c r="X274" s="2" t="s">
        <v>1615</v>
      </c>
    </row>
    <row r="275" spans="1:24" hidden="1" x14ac:dyDescent="0.35">
      <c r="A275">
        <v>6</v>
      </c>
      <c r="B275">
        <v>2000022949</v>
      </c>
      <c r="C275" s="1">
        <v>44281</v>
      </c>
      <c r="D275" t="s">
        <v>158</v>
      </c>
      <c r="E275" t="s">
        <v>18</v>
      </c>
      <c r="F275" t="s">
        <v>39</v>
      </c>
      <c r="G275" t="s">
        <v>149</v>
      </c>
      <c r="H275" t="s">
        <v>159</v>
      </c>
      <c r="I275" t="s">
        <v>41</v>
      </c>
      <c r="J275">
        <v>0.84399999999999997</v>
      </c>
      <c r="K275">
        <v>2.6</v>
      </c>
      <c r="L275">
        <v>5</v>
      </c>
      <c r="M275">
        <v>0.91</v>
      </c>
      <c r="N275" t="s">
        <v>28</v>
      </c>
      <c r="O275" s="1">
        <v>45011</v>
      </c>
      <c r="S275" t="s">
        <v>915</v>
      </c>
      <c r="T275" s="6" t="s">
        <v>941</v>
      </c>
      <c r="U275" s="6" t="s">
        <v>924</v>
      </c>
      <c r="V275" s="2" t="s">
        <v>952</v>
      </c>
      <c r="W275" t="str">
        <f t="shared" si="4"/>
        <v>2000022949_20213</v>
      </c>
      <c r="X275" s="2" t="s">
        <v>1615</v>
      </c>
    </row>
    <row r="276" spans="1:24" hidden="1" x14ac:dyDescent="0.35">
      <c r="B276">
        <v>2000022954</v>
      </c>
      <c r="C276" s="1">
        <v>44285</v>
      </c>
      <c r="D276" t="s">
        <v>3129</v>
      </c>
      <c r="F276" t="s">
        <v>52</v>
      </c>
      <c r="G276" t="s">
        <v>1606</v>
      </c>
      <c r="H276" t="s">
        <v>3130</v>
      </c>
      <c r="I276" t="s">
        <v>41</v>
      </c>
      <c r="J276">
        <v>0.90900000000000003</v>
      </c>
      <c r="K276">
        <v>3</v>
      </c>
      <c r="L276">
        <v>1</v>
      </c>
      <c r="M276">
        <v>0.79</v>
      </c>
      <c r="N276" t="s">
        <v>2314</v>
      </c>
      <c r="O276" s="1">
        <v>45381</v>
      </c>
      <c r="S276" t="s">
        <v>915</v>
      </c>
      <c r="T276" s="6" t="s">
        <v>941</v>
      </c>
      <c r="U276" s="6" t="s">
        <v>938</v>
      </c>
      <c r="V276" s="2" t="s">
        <v>952</v>
      </c>
      <c r="W276" t="str">
        <f t="shared" si="4"/>
        <v>2000022954_20213</v>
      </c>
      <c r="X276" s="2" t="s">
        <v>1616</v>
      </c>
    </row>
    <row r="277" spans="1:24" hidden="1" x14ac:dyDescent="0.35">
      <c r="A277">
        <v>58</v>
      </c>
      <c r="B277">
        <v>2000022974</v>
      </c>
      <c r="C277" s="1">
        <v>44434</v>
      </c>
      <c r="D277" t="s">
        <v>260</v>
      </c>
      <c r="E277" t="s">
        <v>18</v>
      </c>
      <c r="F277" t="s">
        <v>52</v>
      </c>
      <c r="G277" t="s">
        <v>261</v>
      </c>
      <c r="H277" t="s">
        <v>262</v>
      </c>
      <c r="I277" t="s">
        <v>41</v>
      </c>
      <c r="J277">
        <v>0.71899999999999997</v>
      </c>
      <c r="K277">
        <v>2.2999999999999998</v>
      </c>
      <c r="L277">
        <v>2</v>
      </c>
      <c r="M277">
        <v>0.75</v>
      </c>
      <c r="N277" t="s">
        <v>23</v>
      </c>
      <c r="O277" s="1">
        <v>44799</v>
      </c>
      <c r="S277" t="s">
        <v>915</v>
      </c>
      <c r="T277" s="6" t="s">
        <v>940</v>
      </c>
      <c r="U277" s="6" t="s">
        <v>924</v>
      </c>
      <c r="V277" s="2" t="s">
        <v>952</v>
      </c>
      <c r="W277" t="str">
        <f t="shared" si="4"/>
        <v>2000022974_20218</v>
      </c>
      <c r="X277" s="2" t="s">
        <v>1615</v>
      </c>
    </row>
    <row r="278" spans="1:24" hidden="1" x14ac:dyDescent="0.35">
      <c r="A278">
        <v>77</v>
      </c>
      <c r="B278">
        <v>2000022974</v>
      </c>
      <c r="C278" s="1">
        <v>44788</v>
      </c>
      <c r="D278" t="s">
        <v>260</v>
      </c>
      <c r="E278" t="s">
        <v>18</v>
      </c>
      <c r="F278" t="s">
        <v>489</v>
      </c>
      <c r="G278" t="s">
        <v>20</v>
      </c>
      <c r="H278" t="s">
        <v>490</v>
      </c>
      <c r="I278" t="s">
        <v>41</v>
      </c>
      <c r="J278">
        <v>0.625</v>
      </c>
      <c r="K278">
        <v>2.2999999999999998</v>
      </c>
      <c r="L278">
        <v>2</v>
      </c>
      <c r="M278">
        <v>0.71</v>
      </c>
      <c r="N278" t="s">
        <v>23</v>
      </c>
      <c r="O278" s="1">
        <v>45153</v>
      </c>
      <c r="S278" t="s">
        <v>915</v>
      </c>
      <c r="T278" s="6" t="s">
        <v>940</v>
      </c>
      <c r="U278" s="6" t="s">
        <v>943</v>
      </c>
      <c r="V278" s="2" t="s">
        <v>954</v>
      </c>
      <c r="W278" t="str">
        <f t="shared" si="4"/>
        <v>2000022974_20228</v>
      </c>
      <c r="X278" s="2" t="s">
        <v>1615</v>
      </c>
    </row>
    <row r="279" spans="1:24" hidden="1" x14ac:dyDescent="0.35">
      <c r="B279">
        <v>2000023010</v>
      </c>
      <c r="C279" s="1">
        <v>45177</v>
      </c>
      <c r="D279" t="s">
        <v>3133</v>
      </c>
      <c r="F279" t="s">
        <v>376</v>
      </c>
      <c r="G279" t="s">
        <v>1606</v>
      </c>
      <c r="H279" t="s">
        <v>3134</v>
      </c>
      <c r="I279" t="s">
        <v>22</v>
      </c>
      <c r="J279">
        <v>0.75</v>
      </c>
      <c r="K279">
        <v>2.6</v>
      </c>
      <c r="M279">
        <v>0.82</v>
      </c>
      <c r="N279" t="s">
        <v>2361</v>
      </c>
      <c r="O279" s="1">
        <v>45543</v>
      </c>
      <c r="S279" t="s">
        <v>915</v>
      </c>
      <c r="T279" s="6" t="s">
        <v>942</v>
      </c>
      <c r="U279" s="6" t="s">
        <v>940</v>
      </c>
      <c r="V279" s="2" t="s">
        <v>955</v>
      </c>
      <c r="W279" t="str">
        <f t="shared" si="4"/>
        <v>2000023010_20239</v>
      </c>
      <c r="X279" s="2" t="s">
        <v>1616</v>
      </c>
    </row>
    <row r="280" spans="1:24" hidden="1" x14ac:dyDescent="0.35">
      <c r="A280">
        <v>98</v>
      </c>
      <c r="B280">
        <v>2000023015</v>
      </c>
      <c r="C280" s="1">
        <v>44508</v>
      </c>
      <c r="D280" t="s">
        <v>3853</v>
      </c>
      <c r="E280" t="s">
        <v>18</v>
      </c>
      <c r="F280" t="s">
        <v>39</v>
      </c>
      <c r="G280" t="s">
        <v>168</v>
      </c>
      <c r="H280" t="s">
        <v>342</v>
      </c>
      <c r="I280" t="s">
        <v>41</v>
      </c>
      <c r="J280">
        <v>0.81499999999999995</v>
      </c>
      <c r="K280">
        <v>2.2999999999999998</v>
      </c>
      <c r="L280">
        <v>5</v>
      </c>
      <c r="M280">
        <v>0.56999999999999995</v>
      </c>
      <c r="N280" t="s">
        <v>28</v>
      </c>
      <c r="O280" s="1">
        <v>45238</v>
      </c>
      <c r="S280" t="s">
        <v>915</v>
      </c>
      <c r="T280" s="6" t="s">
        <v>945</v>
      </c>
      <c r="U280" s="6" t="s">
        <v>940</v>
      </c>
      <c r="V280" s="2" t="s">
        <v>952</v>
      </c>
      <c r="W280" t="str">
        <f t="shared" si="4"/>
        <v>2000023015_202111</v>
      </c>
      <c r="X280" s="2" t="s">
        <v>1615</v>
      </c>
    </row>
    <row r="281" spans="1:24" hidden="1" x14ac:dyDescent="0.35">
      <c r="B281">
        <v>2000023045</v>
      </c>
      <c r="C281" s="1">
        <v>44313</v>
      </c>
      <c r="D281" t="s">
        <v>3135</v>
      </c>
      <c r="F281" t="s">
        <v>148</v>
      </c>
      <c r="G281" t="s">
        <v>1606</v>
      </c>
      <c r="H281" t="s">
        <v>3136</v>
      </c>
      <c r="I281" t="s">
        <v>148</v>
      </c>
      <c r="J281">
        <v>0.94</v>
      </c>
      <c r="K281">
        <v>3</v>
      </c>
      <c r="L281">
        <v>2</v>
      </c>
      <c r="M281">
        <v>0.86</v>
      </c>
      <c r="N281" t="s">
        <v>2314</v>
      </c>
      <c r="O281" s="1">
        <v>45409</v>
      </c>
      <c r="S281" t="s">
        <v>915</v>
      </c>
      <c r="T281" s="6" t="s">
        <v>946</v>
      </c>
      <c r="U281" s="6" t="s">
        <v>925</v>
      </c>
      <c r="V281" s="2" t="s">
        <v>952</v>
      </c>
      <c r="W281" t="str">
        <f t="shared" si="4"/>
        <v>2000023045_20214</v>
      </c>
      <c r="X281" s="2" t="s">
        <v>1616</v>
      </c>
    </row>
    <row r="282" spans="1:24" hidden="1" x14ac:dyDescent="0.35">
      <c r="B282">
        <v>2000023120</v>
      </c>
      <c r="C282" s="1">
        <v>43787</v>
      </c>
      <c r="D282" t="s">
        <v>3141</v>
      </c>
      <c r="F282" t="s">
        <v>43</v>
      </c>
      <c r="G282" t="s">
        <v>1606</v>
      </c>
      <c r="H282" t="s">
        <v>3142</v>
      </c>
      <c r="I282" t="s">
        <v>41</v>
      </c>
      <c r="J282">
        <v>0.82399999999999995</v>
      </c>
      <c r="N282" t="s">
        <v>2310</v>
      </c>
      <c r="O282" s="1">
        <v>44518</v>
      </c>
      <c r="S282" t="s">
        <v>915</v>
      </c>
      <c r="T282" s="6" t="s">
        <v>945</v>
      </c>
      <c r="U282" s="6" t="s">
        <v>930</v>
      </c>
      <c r="V282" s="2" t="s">
        <v>1618</v>
      </c>
      <c r="W282" t="str">
        <f t="shared" si="4"/>
        <v>2000023120_201911</v>
      </c>
      <c r="X282" s="2" t="s">
        <v>1616</v>
      </c>
    </row>
    <row r="283" spans="1:24" hidden="1" x14ac:dyDescent="0.35">
      <c r="B283">
        <v>2000023120</v>
      </c>
      <c r="C283" s="1">
        <v>44411</v>
      </c>
      <c r="D283" t="s">
        <v>3141</v>
      </c>
      <c r="F283" t="s">
        <v>43</v>
      </c>
      <c r="G283" t="s">
        <v>1606</v>
      </c>
      <c r="H283" t="s">
        <v>3143</v>
      </c>
      <c r="I283" t="s">
        <v>41</v>
      </c>
      <c r="J283">
        <v>0.86799999999999999</v>
      </c>
      <c r="K283">
        <v>2.6</v>
      </c>
      <c r="L283">
        <v>8</v>
      </c>
      <c r="M283">
        <v>0.93</v>
      </c>
      <c r="N283" t="s">
        <v>2310</v>
      </c>
      <c r="O283" s="1">
        <v>45141</v>
      </c>
      <c r="S283" t="s">
        <v>915</v>
      </c>
      <c r="T283" s="6" t="s">
        <v>940</v>
      </c>
      <c r="U283" s="6" t="s">
        <v>941</v>
      </c>
      <c r="V283" s="2" t="s">
        <v>952</v>
      </c>
      <c r="W283" t="str">
        <f t="shared" si="4"/>
        <v>2000023120_20218</v>
      </c>
      <c r="X283" s="2" t="s">
        <v>1616</v>
      </c>
    </row>
    <row r="284" spans="1:24" hidden="1" x14ac:dyDescent="0.35">
      <c r="B284">
        <v>2000023120</v>
      </c>
      <c r="C284" s="1">
        <v>45112</v>
      </c>
      <c r="D284" t="s">
        <v>3141</v>
      </c>
      <c r="F284" t="s">
        <v>43</v>
      </c>
      <c r="G284" t="s">
        <v>1606</v>
      </c>
      <c r="H284" t="s">
        <v>3144</v>
      </c>
      <c r="I284" t="s">
        <v>41</v>
      </c>
      <c r="J284">
        <v>0.93500000000000005</v>
      </c>
      <c r="K284">
        <v>3</v>
      </c>
      <c r="L284">
        <v>3</v>
      </c>
      <c r="M284">
        <v>0.96</v>
      </c>
      <c r="N284" t="s">
        <v>2314</v>
      </c>
      <c r="O284" s="1">
        <v>46208</v>
      </c>
      <c r="S284" t="s">
        <v>915</v>
      </c>
      <c r="T284" s="6" t="s">
        <v>936</v>
      </c>
      <c r="U284" s="6" t="s">
        <v>947</v>
      </c>
      <c r="V284" s="2" t="s">
        <v>955</v>
      </c>
      <c r="W284" t="str">
        <f t="shared" si="4"/>
        <v>2000023120_20237</v>
      </c>
      <c r="X284" s="2" t="s">
        <v>1616</v>
      </c>
    </row>
    <row r="285" spans="1:24" hidden="1" x14ac:dyDescent="0.35">
      <c r="B285">
        <v>2000023180</v>
      </c>
      <c r="C285" s="1">
        <v>44280</v>
      </c>
      <c r="D285" t="s">
        <v>3148</v>
      </c>
      <c r="F285" t="s">
        <v>39</v>
      </c>
      <c r="G285" t="s">
        <v>1603</v>
      </c>
      <c r="H285" t="s">
        <v>3149</v>
      </c>
      <c r="I285" t="s">
        <v>41</v>
      </c>
      <c r="J285">
        <v>0.77400000000000002</v>
      </c>
      <c r="K285">
        <v>2.7</v>
      </c>
      <c r="L285">
        <v>4</v>
      </c>
      <c r="M285">
        <v>0.69</v>
      </c>
      <c r="N285" t="s">
        <v>2361</v>
      </c>
      <c r="O285" s="1">
        <v>44645</v>
      </c>
      <c r="S285" t="s">
        <v>915</v>
      </c>
      <c r="T285" s="6" t="s">
        <v>941</v>
      </c>
      <c r="U285" s="6" t="s">
        <v>922</v>
      </c>
      <c r="V285" s="2" t="s">
        <v>952</v>
      </c>
      <c r="W285" t="str">
        <f t="shared" si="4"/>
        <v>2000023180_20213</v>
      </c>
      <c r="X285" s="2" t="s">
        <v>1616</v>
      </c>
    </row>
    <row r="286" spans="1:24" hidden="1" x14ac:dyDescent="0.35">
      <c r="B286">
        <v>2000023180</v>
      </c>
      <c r="C286" s="1">
        <v>44657</v>
      </c>
      <c r="D286" t="s">
        <v>3148</v>
      </c>
      <c r="F286" t="s">
        <v>39</v>
      </c>
      <c r="G286" t="s">
        <v>1603</v>
      </c>
      <c r="H286" t="s">
        <v>3150</v>
      </c>
      <c r="I286" t="s">
        <v>22</v>
      </c>
      <c r="J286">
        <v>0.95</v>
      </c>
      <c r="K286">
        <v>2.4</v>
      </c>
      <c r="L286">
        <v>2</v>
      </c>
      <c r="M286">
        <v>0.76</v>
      </c>
      <c r="N286" t="s">
        <v>2310</v>
      </c>
      <c r="O286" s="1">
        <v>45388</v>
      </c>
      <c r="S286" t="s">
        <v>915</v>
      </c>
      <c r="T286" s="6" t="s">
        <v>946</v>
      </c>
      <c r="U286" s="6" t="s">
        <v>927</v>
      </c>
      <c r="V286" s="2" t="s">
        <v>954</v>
      </c>
      <c r="W286" t="str">
        <f t="shared" si="4"/>
        <v>2000023180_20224</v>
      </c>
      <c r="X286" s="2" t="s">
        <v>1616</v>
      </c>
    </row>
    <row r="287" spans="1:24" hidden="1" x14ac:dyDescent="0.35">
      <c r="B287">
        <v>2000023299</v>
      </c>
      <c r="C287" s="1">
        <v>45204</v>
      </c>
      <c r="D287" t="s">
        <v>3151</v>
      </c>
      <c r="F287" t="s">
        <v>39</v>
      </c>
      <c r="G287" t="s">
        <v>1606</v>
      </c>
      <c r="H287" t="s">
        <v>3152</v>
      </c>
      <c r="I287" t="s">
        <v>22</v>
      </c>
      <c r="J287">
        <v>1</v>
      </c>
      <c r="K287">
        <v>3</v>
      </c>
      <c r="M287">
        <v>0.97</v>
      </c>
      <c r="N287" t="s">
        <v>2314</v>
      </c>
      <c r="O287" s="1">
        <v>46300</v>
      </c>
      <c r="S287" t="s">
        <v>915</v>
      </c>
      <c r="T287" s="6" t="s">
        <v>948</v>
      </c>
      <c r="U287" s="6" t="s">
        <v>947</v>
      </c>
      <c r="V287" s="2" t="s">
        <v>955</v>
      </c>
      <c r="W287" t="str">
        <f t="shared" si="4"/>
        <v>2000023299_202310</v>
      </c>
      <c r="X287" s="2" t="s">
        <v>1616</v>
      </c>
    </row>
    <row r="288" spans="1:24" hidden="1" x14ac:dyDescent="0.35">
      <c r="A288">
        <v>2</v>
      </c>
      <c r="B288">
        <v>2000023410</v>
      </c>
      <c r="C288" s="1">
        <v>44574</v>
      </c>
      <c r="D288" t="s">
        <v>350</v>
      </c>
      <c r="E288" t="s">
        <v>18</v>
      </c>
      <c r="F288" t="s">
        <v>148</v>
      </c>
      <c r="G288" t="s">
        <v>20</v>
      </c>
      <c r="H288" t="s">
        <v>351</v>
      </c>
      <c r="I288" t="s">
        <v>148</v>
      </c>
      <c r="J288">
        <v>0.85199999999999998</v>
      </c>
      <c r="K288">
        <v>2.75</v>
      </c>
      <c r="L288">
        <v>4</v>
      </c>
      <c r="M288">
        <v>0.93</v>
      </c>
      <c r="N288" t="s">
        <v>28</v>
      </c>
      <c r="O288" s="1">
        <v>45304</v>
      </c>
      <c r="Q288" t="s">
        <v>352</v>
      </c>
      <c r="S288" t="s">
        <v>915</v>
      </c>
      <c r="T288" s="6" t="s">
        <v>953</v>
      </c>
      <c r="U288" s="6" t="s">
        <v>950</v>
      </c>
      <c r="V288" s="2" t="s">
        <v>954</v>
      </c>
      <c r="W288" t="str">
        <f t="shared" si="4"/>
        <v>2000023410_20221</v>
      </c>
      <c r="X288" s="2" t="s">
        <v>1615</v>
      </c>
    </row>
    <row r="289" spans="1:24" hidden="1" x14ac:dyDescent="0.35">
      <c r="A289">
        <v>48</v>
      </c>
      <c r="B289">
        <v>2000023475</v>
      </c>
      <c r="C289" s="1">
        <v>44420</v>
      </c>
      <c r="D289" t="s">
        <v>242</v>
      </c>
      <c r="E289" t="s">
        <v>18</v>
      </c>
      <c r="F289" t="s">
        <v>148</v>
      </c>
      <c r="G289" t="s">
        <v>238</v>
      </c>
      <c r="H289" t="s">
        <v>243</v>
      </c>
      <c r="I289" t="s">
        <v>148</v>
      </c>
      <c r="J289">
        <v>0.78</v>
      </c>
      <c r="K289">
        <v>2.4500000000000002</v>
      </c>
      <c r="L289">
        <v>4</v>
      </c>
      <c r="M289">
        <v>0.51</v>
      </c>
      <c r="N289" t="s">
        <v>23</v>
      </c>
      <c r="O289" s="1">
        <v>44785</v>
      </c>
      <c r="S289" t="s">
        <v>915</v>
      </c>
      <c r="T289" s="6" t="s">
        <v>940</v>
      </c>
      <c r="U289" s="6" t="s">
        <v>949</v>
      </c>
      <c r="V289" s="2" t="s">
        <v>952</v>
      </c>
      <c r="W289" t="str">
        <f t="shared" si="4"/>
        <v>2000023475_20218</v>
      </c>
      <c r="X289" s="2" t="s">
        <v>1615</v>
      </c>
    </row>
    <row r="290" spans="1:24" hidden="1" x14ac:dyDescent="0.35">
      <c r="A290">
        <v>85</v>
      </c>
      <c r="B290">
        <v>2000023475</v>
      </c>
      <c r="C290" s="1">
        <v>44803</v>
      </c>
      <c r="D290" t="s">
        <v>242</v>
      </c>
      <c r="E290" t="s">
        <v>18</v>
      </c>
      <c r="F290" t="s">
        <v>148</v>
      </c>
      <c r="G290" t="s">
        <v>238</v>
      </c>
      <c r="H290" t="s">
        <v>502</v>
      </c>
      <c r="I290" t="s">
        <v>148</v>
      </c>
      <c r="J290">
        <v>0.81299999999999994</v>
      </c>
      <c r="K290">
        <v>2.7</v>
      </c>
      <c r="L290">
        <v>3</v>
      </c>
      <c r="M290">
        <v>0.56000000000000005</v>
      </c>
      <c r="N290" t="s">
        <v>28</v>
      </c>
      <c r="O290" s="1">
        <v>45534</v>
      </c>
      <c r="S290" t="s">
        <v>915</v>
      </c>
      <c r="T290" s="6" t="s">
        <v>940</v>
      </c>
      <c r="U290" s="6" t="s">
        <v>938</v>
      </c>
      <c r="V290" s="2" t="s">
        <v>954</v>
      </c>
      <c r="W290" t="str">
        <f t="shared" si="4"/>
        <v>2000023475_20228</v>
      </c>
      <c r="X290" s="2" t="s">
        <v>1615</v>
      </c>
    </row>
    <row r="291" spans="1:24" hidden="1" x14ac:dyDescent="0.35">
      <c r="A291">
        <v>10</v>
      </c>
      <c r="B291">
        <v>2000023476</v>
      </c>
      <c r="C291" s="1">
        <v>44286</v>
      </c>
      <c r="D291" t="s">
        <v>170</v>
      </c>
      <c r="E291" t="s">
        <v>18</v>
      </c>
      <c r="F291" t="s">
        <v>39</v>
      </c>
      <c r="G291" t="s">
        <v>168</v>
      </c>
      <c r="H291" t="s">
        <v>171</v>
      </c>
      <c r="I291" t="s">
        <v>41</v>
      </c>
      <c r="J291">
        <v>0.78300000000000003</v>
      </c>
      <c r="K291">
        <v>2.6</v>
      </c>
      <c r="L291">
        <v>5</v>
      </c>
      <c r="M291">
        <v>0.74</v>
      </c>
      <c r="N291" t="s">
        <v>23</v>
      </c>
      <c r="O291" s="1">
        <v>44651</v>
      </c>
      <c r="S291" t="s">
        <v>915</v>
      </c>
      <c r="T291" s="6" t="s">
        <v>941</v>
      </c>
      <c r="U291" s="6" t="s">
        <v>939</v>
      </c>
      <c r="V291" s="2" t="s">
        <v>952</v>
      </c>
      <c r="W291" t="str">
        <f t="shared" si="4"/>
        <v>2000023476_20213</v>
      </c>
      <c r="X291" s="2" t="s">
        <v>1615</v>
      </c>
    </row>
    <row r="292" spans="1:24" hidden="1" x14ac:dyDescent="0.35">
      <c r="A292">
        <v>44</v>
      </c>
      <c r="B292">
        <v>2000023559</v>
      </c>
      <c r="C292" s="1">
        <v>44417</v>
      </c>
      <c r="D292" t="s">
        <v>233</v>
      </c>
      <c r="E292" t="s">
        <v>18</v>
      </c>
      <c r="F292" t="s">
        <v>148</v>
      </c>
      <c r="G292" t="s">
        <v>20</v>
      </c>
      <c r="H292" t="s">
        <v>234</v>
      </c>
      <c r="I292" t="s">
        <v>148</v>
      </c>
      <c r="J292">
        <v>0.66700000000000004</v>
      </c>
      <c r="K292">
        <v>2.2999999999999998</v>
      </c>
      <c r="L292">
        <v>5</v>
      </c>
      <c r="M292">
        <v>0.5</v>
      </c>
      <c r="N292" t="s">
        <v>23</v>
      </c>
      <c r="O292" s="1">
        <v>44782</v>
      </c>
      <c r="S292" t="s">
        <v>915</v>
      </c>
      <c r="T292" s="6" t="s">
        <v>940</v>
      </c>
      <c r="U292" s="6" t="s">
        <v>942</v>
      </c>
      <c r="V292" s="2" t="s">
        <v>952</v>
      </c>
      <c r="W292" t="str">
        <f t="shared" si="4"/>
        <v>2000023559_20218</v>
      </c>
      <c r="X292" s="2" t="s">
        <v>1615</v>
      </c>
    </row>
    <row r="293" spans="1:24" hidden="1" x14ac:dyDescent="0.35">
      <c r="A293">
        <v>41</v>
      </c>
      <c r="B293">
        <v>2000071656</v>
      </c>
      <c r="C293" s="1">
        <v>44411</v>
      </c>
      <c r="D293" t="s">
        <v>4173</v>
      </c>
      <c r="E293" t="s">
        <v>18</v>
      </c>
      <c r="F293" t="s">
        <v>148</v>
      </c>
      <c r="G293" t="s">
        <v>73</v>
      </c>
      <c r="H293" t="s">
        <v>228</v>
      </c>
      <c r="I293" t="s">
        <v>148</v>
      </c>
      <c r="J293">
        <v>0.92600000000000005</v>
      </c>
      <c r="K293">
        <v>3</v>
      </c>
      <c r="L293">
        <v>1</v>
      </c>
      <c r="M293">
        <v>0.65</v>
      </c>
      <c r="N293" t="s">
        <v>368</v>
      </c>
      <c r="O293" s="1">
        <v>45507</v>
      </c>
      <c r="S293" t="s">
        <v>915</v>
      </c>
      <c r="T293" s="6" t="s">
        <v>940</v>
      </c>
      <c r="U293" s="6" t="s">
        <v>941</v>
      </c>
      <c r="V293" s="2" t="s">
        <v>952</v>
      </c>
      <c r="W293" t="str">
        <f t="shared" si="4"/>
        <v>2000071656_20218</v>
      </c>
      <c r="X293" s="2" t="s">
        <v>1615</v>
      </c>
    </row>
    <row r="294" spans="1:24" hidden="1" x14ac:dyDescent="0.35">
      <c r="B294">
        <v>2000023697</v>
      </c>
      <c r="C294" s="1">
        <v>44617</v>
      </c>
      <c r="D294" t="s">
        <v>3161</v>
      </c>
      <c r="F294" t="s">
        <v>39</v>
      </c>
      <c r="G294" t="s">
        <v>1606</v>
      </c>
      <c r="H294" t="s">
        <v>3162</v>
      </c>
      <c r="I294" t="s">
        <v>41</v>
      </c>
      <c r="J294">
        <v>0.91700000000000004</v>
      </c>
      <c r="K294">
        <v>3</v>
      </c>
      <c r="L294">
        <v>0</v>
      </c>
      <c r="M294">
        <v>0.78</v>
      </c>
      <c r="N294" t="s">
        <v>2314</v>
      </c>
      <c r="O294" s="1">
        <v>45713</v>
      </c>
      <c r="S294" t="s">
        <v>915</v>
      </c>
      <c r="T294" s="6" t="s">
        <v>921</v>
      </c>
      <c r="U294" s="6" t="s">
        <v>922</v>
      </c>
      <c r="V294" s="2" t="s">
        <v>954</v>
      </c>
      <c r="W294" t="str">
        <f t="shared" si="4"/>
        <v>2000023697_20222</v>
      </c>
      <c r="X294" s="2" t="s">
        <v>1616</v>
      </c>
    </row>
    <row r="295" spans="1:24" hidden="1" x14ac:dyDescent="0.35">
      <c r="A295">
        <v>124</v>
      </c>
      <c r="B295">
        <v>2000023735</v>
      </c>
      <c r="C295" s="1">
        <v>45562</v>
      </c>
      <c r="D295" t="s">
        <v>3219</v>
      </c>
      <c r="E295" t="s">
        <v>18</v>
      </c>
      <c r="F295" t="s">
        <v>1698</v>
      </c>
      <c r="G295" t="s">
        <v>1606</v>
      </c>
      <c r="H295" t="s">
        <v>3220</v>
      </c>
      <c r="I295" t="s">
        <v>41</v>
      </c>
      <c r="J295">
        <v>0.94399999999999995</v>
      </c>
      <c r="K295">
        <v>3</v>
      </c>
      <c r="L295">
        <v>2</v>
      </c>
      <c r="M295">
        <v>0.9</v>
      </c>
      <c r="N295" t="s">
        <v>368</v>
      </c>
      <c r="O295" s="1">
        <v>46657</v>
      </c>
      <c r="S295" t="s">
        <v>915</v>
      </c>
      <c r="T295" s="5" t="s">
        <v>942</v>
      </c>
      <c r="U295" s="5" t="s">
        <v>925</v>
      </c>
      <c r="V295" t="s">
        <v>956</v>
      </c>
      <c r="W295" t="str">
        <f t="shared" si="4"/>
        <v>2000023735_20249</v>
      </c>
      <c r="X295" t="s">
        <v>1616</v>
      </c>
    </row>
    <row r="296" spans="1:24" hidden="1" x14ac:dyDescent="0.35">
      <c r="A296">
        <v>44</v>
      </c>
      <c r="B296">
        <v>2000023836</v>
      </c>
      <c r="C296" s="1">
        <v>44693</v>
      </c>
      <c r="D296" t="s">
        <v>430</v>
      </c>
      <c r="E296" t="s">
        <v>18</v>
      </c>
      <c r="F296" t="s">
        <v>19</v>
      </c>
      <c r="G296" t="s">
        <v>20</v>
      </c>
      <c r="H296" t="s">
        <v>431</v>
      </c>
      <c r="I296" t="s">
        <v>22</v>
      </c>
      <c r="J296">
        <v>0.83199999999999996</v>
      </c>
      <c r="K296">
        <v>2</v>
      </c>
      <c r="L296">
        <v>8</v>
      </c>
      <c r="M296">
        <v>0.61</v>
      </c>
      <c r="N296" t="s">
        <v>23</v>
      </c>
      <c r="O296" s="1">
        <v>45058</v>
      </c>
      <c r="S296" t="s">
        <v>915</v>
      </c>
      <c r="T296" s="6" t="s">
        <v>947</v>
      </c>
      <c r="U296" s="6" t="s">
        <v>949</v>
      </c>
      <c r="V296" s="2" t="s">
        <v>954</v>
      </c>
      <c r="W296" t="str">
        <f t="shared" si="4"/>
        <v>2000023836_20225</v>
      </c>
      <c r="X296" s="2" t="s">
        <v>1615</v>
      </c>
    </row>
    <row r="297" spans="1:24" hidden="1" x14ac:dyDescent="0.35">
      <c r="A297">
        <v>40</v>
      </c>
      <c r="B297">
        <v>2000023859</v>
      </c>
      <c r="C297" s="1">
        <v>44690</v>
      </c>
      <c r="D297" t="s">
        <v>423</v>
      </c>
      <c r="E297" t="s">
        <v>18</v>
      </c>
      <c r="F297" t="s">
        <v>19</v>
      </c>
      <c r="G297" t="s">
        <v>20</v>
      </c>
      <c r="H297" t="s">
        <v>424</v>
      </c>
      <c r="I297" t="s">
        <v>22</v>
      </c>
      <c r="J297">
        <v>0.82099999999999995</v>
      </c>
      <c r="K297">
        <v>3</v>
      </c>
      <c r="L297">
        <v>2</v>
      </c>
      <c r="M297">
        <v>0.82</v>
      </c>
      <c r="N297" t="s">
        <v>28</v>
      </c>
      <c r="O297" s="1">
        <v>45421</v>
      </c>
      <c r="S297" t="s">
        <v>915</v>
      </c>
      <c r="T297" s="6" t="s">
        <v>947</v>
      </c>
      <c r="U297" s="6" t="s">
        <v>942</v>
      </c>
      <c r="V297" s="2" t="s">
        <v>954</v>
      </c>
      <c r="W297" t="str">
        <f t="shared" si="4"/>
        <v>2000023859_20225</v>
      </c>
      <c r="X297" s="2" t="s">
        <v>1615</v>
      </c>
    </row>
    <row r="298" spans="1:24" hidden="1" x14ac:dyDescent="0.35">
      <c r="A298">
        <v>33</v>
      </c>
      <c r="B298">
        <v>2000023859</v>
      </c>
      <c r="C298" s="1">
        <v>45429</v>
      </c>
      <c r="D298" t="s">
        <v>423</v>
      </c>
      <c r="E298" t="s">
        <v>18</v>
      </c>
      <c r="F298" t="s">
        <v>19</v>
      </c>
      <c r="G298" t="s">
        <v>20</v>
      </c>
      <c r="H298" t="s">
        <v>424</v>
      </c>
      <c r="I298" t="s">
        <v>22</v>
      </c>
      <c r="J298">
        <v>0.88</v>
      </c>
      <c r="K298">
        <v>2.6</v>
      </c>
      <c r="L298">
        <v>0</v>
      </c>
      <c r="M298">
        <v>0.89</v>
      </c>
      <c r="N298" t="s">
        <v>28</v>
      </c>
      <c r="O298" s="1">
        <v>46159</v>
      </c>
      <c r="Q298" t="s">
        <v>50</v>
      </c>
      <c r="S298" t="s">
        <v>915</v>
      </c>
      <c r="T298" s="6" t="s">
        <v>947</v>
      </c>
      <c r="U298" s="6" t="s">
        <v>929</v>
      </c>
      <c r="V298" s="2" t="s">
        <v>956</v>
      </c>
      <c r="W298" t="str">
        <f t="shared" si="4"/>
        <v>2000023859_20245</v>
      </c>
      <c r="X298" s="2" t="s">
        <v>1615</v>
      </c>
    </row>
    <row r="299" spans="1:24" hidden="1" x14ac:dyDescent="0.35">
      <c r="A299">
        <v>96</v>
      </c>
      <c r="B299">
        <v>2000024094</v>
      </c>
      <c r="C299" s="1">
        <v>44504</v>
      </c>
      <c r="D299" t="s">
        <v>338</v>
      </c>
      <c r="E299" t="s">
        <v>18</v>
      </c>
      <c r="F299" t="s">
        <v>148</v>
      </c>
      <c r="G299" t="s">
        <v>20</v>
      </c>
      <c r="H299" t="s">
        <v>339</v>
      </c>
      <c r="I299" t="s">
        <v>148</v>
      </c>
      <c r="J299">
        <v>0.54</v>
      </c>
      <c r="K299">
        <v>2</v>
      </c>
      <c r="L299">
        <v>10</v>
      </c>
      <c r="M299">
        <v>0.51</v>
      </c>
      <c r="N299" t="s">
        <v>916</v>
      </c>
      <c r="O299" s="1">
        <v>44685</v>
      </c>
      <c r="S299" t="s">
        <v>915</v>
      </c>
      <c r="T299" s="6" t="s">
        <v>945</v>
      </c>
      <c r="U299" s="6" t="s">
        <v>946</v>
      </c>
      <c r="V299" s="2" t="s">
        <v>952</v>
      </c>
      <c r="W299" t="str">
        <f t="shared" si="4"/>
        <v>2000024094_202111</v>
      </c>
      <c r="X299" s="2" t="s">
        <v>1615</v>
      </c>
    </row>
    <row r="300" spans="1:24" hidden="1" x14ac:dyDescent="0.35">
      <c r="A300">
        <v>31</v>
      </c>
      <c r="B300">
        <v>2000024221</v>
      </c>
      <c r="C300" s="1">
        <v>45427</v>
      </c>
      <c r="D300" t="s">
        <v>703</v>
      </c>
      <c r="E300" t="s">
        <v>18</v>
      </c>
      <c r="F300" t="s">
        <v>373</v>
      </c>
      <c r="G300" t="s">
        <v>20</v>
      </c>
      <c r="H300" t="s">
        <v>704</v>
      </c>
      <c r="I300" t="s">
        <v>41</v>
      </c>
      <c r="J300">
        <v>0.82399999999999995</v>
      </c>
      <c r="K300">
        <v>2.7</v>
      </c>
      <c r="L300">
        <v>2</v>
      </c>
      <c r="M300">
        <v>0.8</v>
      </c>
      <c r="N300" t="s">
        <v>28</v>
      </c>
      <c r="O300" s="1">
        <v>46157</v>
      </c>
      <c r="S300" t="s">
        <v>915</v>
      </c>
      <c r="T300" s="6" t="s">
        <v>947</v>
      </c>
      <c r="U300" s="6" t="s">
        <v>943</v>
      </c>
      <c r="V300" s="2" t="s">
        <v>956</v>
      </c>
      <c r="W300" t="str">
        <f t="shared" si="4"/>
        <v>2000024221_20245</v>
      </c>
      <c r="X300" s="2" t="s">
        <v>1615</v>
      </c>
    </row>
    <row r="301" spans="1:24" hidden="1" x14ac:dyDescent="0.35">
      <c r="B301">
        <v>2000024296</v>
      </c>
      <c r="C301" s="1">
        <v>44477</v>
      </c>
      <c r="D301" t="s">
        <v>3169</v>
      </c>
      <c r="F301" t="s">
        <v>32</v>
      </c>
      <c r="G301" t="s">
        <v>1606</v>
      </c>
      <c r="H301" t="s">
        <v>3170</v>
      </c>
      <c r="I301" t="s">
        <v>22</v>
      </c>
      <c r="J301">
        <v>0.90300000000000002</v>
      </c>
      <c r="K301">
        <v>2.8</v>
      </c>
      <c r="L301">
        <v>8</v>
      </c>
      <c r="M301">
        <v>0.83</v>
      </c>
      <c r="N301" t="s">
        <v>2310</v>
      </c>
      <c r="O301" s="1">
        <v>45207</v>
      </c>
      <c r="S301" t="s">
        <v>915</v>
      </c>
      <c r="T301" s="6" t="s">
        <v>948</v>
      </c>
      <c r="U301" s="6" t="s">
        <v>940</v>
      </c>
      <c r="V301" s="2" t="s">
        <v>952</v>
      </c>
      <c r="W301" t="str">
        <f t="shared" si="4"/>
        <v>2000024296_202110</v>
      </c>
      <c r="X301" s="2" t="s">
        <v>1616</v>
      </c>
    </row>
    <row r="302" spans="1:24" hidden="1" x14ac:dyDescent="0.35">
      <c r="B302">
        <v>2000024296</v>
      </c>
      <c r="C302" s="1">
        <v>45141</v>
      </c>
      <c r="D302" t="s">
        <v>3169</v>
      </c>
      <c r="F302" t="s">
        <v>39</v>
      </c>
      <c r="G302" t="s">
        <v>1687</v>
      </c>
      <c r="H302" t="s">
        <v>2432</v>
      </c>
      <c r="I302" t="s">
        <v>22</v>
      </c>
      <c r="J302">
        <v>1</v>
      </c>
      <c r="K302">
        <v>3</v>
      </c>
      <c r="M302">
        <v>0.95</v>
      </c>
      <c r="N302" t="s">
        <v>2314</v>
      </c>
      <c r="O302" s="1">
        <v>46237</v>
      </c>
      <c r="S302" t="s">
        <v>915</v>
      </c>
      <c r="T302" s="6" t="s">
        <v>940</v>
      </c>
      <c r="U302" s="6" t="s">
        <v>941</v>
      </c>
      <c r="V302" s="2" t="s">
        <v>955</v>
      </c>
      <c r="W302" t="str">
        <f t="shared" si="4"/>
        <v>2000024296_20238</v>
      </c>
      <c r="X302" s="2" t="s">
        <v>1616</v>
      </c>
    </row>
    <row r="303" spans="1:24" hidden="1" x14ac:dyDescent="0.35">
      <c r="B303">
        <v>2000024296</v>
      </c>
      <c r="C303" s="1">
        <v>43781</v>
      </c>
      <c r="D303" t="s">
        <v>3169</v>
      </c>
      <c r="F303" t="s">
        <v>32</v>
      </c>
      <c r="G303" t="s">
        <v>1753</v>
      </c>
      <c r="H303" t="s">
        <v>3215</v>
      </c>
      <c r="I303" t="s">
        <v>22</v>
      </c>
      <c r="J303">
        <v>0.81799999999999995</v>
      </c>
      <c r="K303">
        <v>2.4</v>
      </c>
      <c r="L303">
        <v>12</v>
      </c>
      <c r="N303" t="s">
        <v>2310</v>
      </c>
      <c r="O303" s="1">
        <v>44512</v>
      </c>
      <c r="S303" t="s">
        <v>915</v>
      </c>
      <c r="T303" s="6" t="s">
        <v>945</v>
      </c>
      <c r="U303" s="6" t="s">
        <v>949</v>
      </c>
      <c r="V303" s="2" t="s">
        <v>1618</v>
      </c>
      <c r="W303" t="str">
        <f t="shared" si="4"/>
        <v>2000024296_201911</v>
      </c>
      <c r="X303" s="2" t="s">
        <v>1616</v>
      </c>
    </row>
    <row r="304" spans="1:24" hidden="1" x14ac:dyDescent="0.35">
      <c r="A304">
        <v>25</v>
      </c>
      <c r="B304">
        <v>2000024304</v>
      </c>
      <c r="C304" s="1">
        <v>44308</v>
      </c>
      <c r="D304" t="s">
        <v>199</v>
      </c>
      <c r="E304" t="s">
        <v>18</v>
      </c>
      <c r="F304" t="s">
        <v>148</v>
      </c>
      <c r="G304" t="s">
        <v>20</v>
      </c>
      <c r="H304" t="s">
        <v>200</v>
      </c>
      <c r="I304" t="s">
        <v>41</v>
      </c>
      <c r="J304">
        <v>0.76900000000000002</v>
      </c>
      <c r="K304">
        <v>2.7</v>
      </c>
      <c r="L304">
        <v>7</v>
      </c>
      <c r="M304">
        <v>0.83</v>
      </c>
      <c r="N304" t="s">
        <v>23</v>
      </c>
      <c r="O304" s="1">
        <v>44673</v>
      </c>
      <c r="S304" t="s">
        <v>915</v>
      </c>
      <c r="T304" s="6" t="s">
        <v>946</v>
      </c>
      <c r="U304" s="6" t="s">
        <v>933</v>
      </c>
      <c r="V304" s="2" t="s">
        <v>952</v>
      </c>
      <c r="W304" t="str">
        <f t="shared" si="4"/>
        <v>2000024304_20214</v>
      </c>
      <c r="X304" s="2" t="s">
        <v>1615</v>
      </c>
    </row>
    <row r="305" spans="1:24" hidden="1" x14ac:dyDescent="0.35">
      <c r="A305">
        <v>7</v>
      </c>
      <c r="B305">
        <v>2000024305</v>
      </c>
      <c r="C305" s="1">
        <v>44614</v>
      </c>
      <c r="D305" t="s">
        <v>359</v>
      </c>
      <c r="E305" t="s">
        <v>18</v>
      </c>
      <c r="F305" t="s">
        <v>148</v>
      </c>
      <c r="G305" t="s">
        <v>20</v>
      </c>
      <c r="H305" t="s">
        <v>360</v>
      </c>
      <c r="I305" t="s">
        <v>148</v>
      </c>
      <c r="J305">
        <v>0.65900000000000003</v>
      </c>
      <c r="K305">
        <v>2.25</v>
      </c>
      <c r="L305">
        <v>6</v>
      </c>
      <c r="M305">
        <v>0.73</v>
      </c>
      <c r="N305" t="s">
        <v>23</v>
      </c>
      <c r="O305" s="1">
        <v>44979</v>
      </c>
      <c r="Q305" t="s">
        <v>323</v>
      </c>
      <c r="S305" t="s">
        <v>915</v>
      </c>
      <c r="T305" s="6" t="s">
        <v>921</v>
      </c>
      <c r="U305" s="6" t="s">
        <v>933</v>
      </c>
      <c r="V305" s="2" t="s">
        <v>954</v>
      </c>
      <c r="W305" t="str">
        <f t="shared" si="4"/>
        <v>2000024305_20222</v>
      </c>
      <c r="X305" s="2" t="s">
        <v>1615</v>
      </c>
    </row>
    <row r="306" spans="1:24" hidden="1" x14ac:dyDescent="0.35">
      <c r="B306">
        <v>2000024390</v>
      </c>
      <c r="C306" s="1">
        <v>44865</v>
      </c>
      <c r="D306" t="s">
        <v>3172</v>
      </c>
      <c r="F306" t="s">
        <v>43</v>
      </c>
      <c r="G306" t="s">
        <v>1609</v>
      </c>
      <c r="H306" t="s">
        <v>3173</v>
      </c>
      <c r="I306" t="s">
        <v>41</v>
      </c>
      <c r="J306">
        <v>1</v>
      </c>
      <c r="K306">
        <v>3</v>
      </c>
      <c r="L306">
        <v>0</v>
      </c>
      <c r="M306">
        <v>0.78</v>
      </c>
      <c r="N306" t="s">
        <v>2314</v>
      </c>
      <c r="O306" s="1">
        <v>45961</v>
      </c>
      <c r="S306" t="s">
        <v>915</v>
      </c>
      <c r="T306" s="6" t="s">
        <v>948</v>
      </c>
      <c r="U306" s="6" t="s">
        <v>939</v>
      </c>
      <c r="V306" s="2" t="s">
        <v>954</v>
      </c>
      <c r="W306" t="str">
        <f t="shared" si="4"/>
        <v>2000024390_202210</v>
      </c>
      <c r="X306" s="2" t="s">
        <v>1616</v>
      </c>
    </row>
    <row r="307" spans="1:24" hidden="1" x14ac:dyDescent="0.35">
      <c r="B307">
        <v>2000024446</v>
      </c>
      <c r="C307" s="1">
        <v>43997</v>
      </c>
      <c r="D307" t="s">
        <v>2789</v>
      </c>
      <c r="F307" t="s">
        <v>43</v>
      </c>
      <c r="G307" t="s">
        <v>1606</v>
      </c>
      <c r="H307" t="s">
        <v>2790</v>
      </c>
      <c r="I307" t="s">
        <v>41</v>
      </c>
      <c r="J307">
        <v>0.879</v>
      </c>
      <c r="K307">
        <v>2.7</v>
      </c>
      <c r="L307">
        <v>1</v>
      </c>
      <c r="M307">
        <v>0.91</v>
      </c>
      <c r="N307" t="s">
        <v>2310</v>
      </c>
      <c r="O307" s="1">
        <v>44727</v>
      </c>
      <c r="S307" t="s">
        <v>915</v>
      </c>
      <c r="T307" s="6" t="s">
        <v>927</v>
      </c>
      <c r="U307" s="6" t="s">
        <v>943</v>
      </c>
      <c r="V307" s="2" t="s">
        <v>923</v>
      </c>
      <c r="W307" t="str">
        <f t="shared" si="4"/>
        <v>2000024446_20206</v>
      </c>
      <c r="X307" s="2" t="s">
        <v>1616</v>
      </c>
    </row>
    <row r="308" spans="1:24" hidden="1" x14ac:dyDescent="0.35">
      <c r="B308">
        <v>2000024446</v>
      </c>
      <c r="C308" s="1">
        <v>44721</v>
      </c>
      <c r="D308" t="s">
        <v>2789</v>
      </c>
      <c r="F308" t="s">
        <v>43</v>
      </c>
      <c r="G308" t="s">
        <v>1606</v>
      </c>
      <c r="H308" t="s">
        <v>2791</v>
      </c>
      <c r="I308" t="s">
        <v>41</v>
      </c>
      <c r="J308">
        <v>1</v>
      </c>
      <c r="K308">
        <v>3</v>
      </c>
      <c r="L308">
        <v>0</v>
      </c>
      <c r="M308">
        <v>0.93</v>
      </c>
      <c r="N308" t="s">
        <v>2314</v>
      </c>
      <c r="O308" s="1">
        <v>45817</v>
      </c>
      <c r="S308" t="s">
        <v>915</v>
      </c>
      <c r="T308" s="6" t="s">
        <v>927</v>
      </c>
      <c r="U308" s="6" t="s">
        <v>942</v>
      </c>
      <c r="V308" s="2" t="s">
        <v>954</v>
      </c>
      <c r="W308" t="str">
        <f t="shared" si="4"/>
        <v>2000024446_20226</v>
      </c>
      <c r="X308" s="2" t="s">
        <v>1616</v>
      </c>
    </row>
    <row r="309" spans="1:24" hidden="1" x14ac:dyDescent="0.35">
      <c r="B309">
        <v>2000024482</v>
      </c>
      <c r="C309" s="1">
        <v>44618</v>
      </c>
      <c r="D309" t="s">
        <v>3174</v>
      </c>
      <c r="F309" t="s">
        <v>148</v>
      </c>
      <c r="G309" t="s">
        <v>1606</v>
      </c>
      <c r="H309" t="s">
        <v>3175</v>
      </c>
      <c r="I309" t="s">
        <v>148</v>
      </c>
      <c r="J309">
        <v>0.89600000000000002</v>
      </c>
      <c r="K309">
        <v>2.8</v>
      </c>
      <c r="L309">
        <v>2</v>
      </c>
      <c r="M309">
        <v>0.93</v>
      </c>
      <c r="N309" t="s">
        <v>2310</v>
      </c>
      <c r="O309" s="1">
        <v>45350</v>
      </c>
      <c r="S309" t="s">
        <v>915</v>
      </c>
      <c r="T309" s="6" t="s">
        <v>921</v>
      </c>
      <c r="U309" s="6" t="s">
        <v>924</v>
      </c>
      <c r="V309" s="2" t="s">
        <v>954</v>
      </c>
      <c r="W309" t="str">
        <f t="shared" si="4"/>
        <v>2000024482_20222</v>
      </c>
      <c r="X309" s="2" t="s">
        <v>1616</v>
      </c>
    </row>
    <row r="310" spans="1:24" hidden="1" x14ac:dyDescent="0.35">
      <c r="B310">
        <v>2000024487</v>
      </c>
      <c r="C310" s="1">
        <v>44699</v>
      </c>
      <c r="D310" t="s">
        <v>3176</v>
      </c>
      <c r="F310" t="s">
        <v>19</v>
      </c>
      <c r="G310" t="s">
        <v>1606</v>
      </c>
      <c r="H310" t="s">
        <v>1777</v>
      </c>
      <c r="I310" t="s">
        <v>22</v>
      </c>
      <c r="J310">
        <v>0.97599999999999998</v>
      </c>
      <c r="K310">
        <v>2.6</v>
      </c>
      <c r="L310">
        <v>5</v>
      </c>
      <c r="M310">
        <v>0.76</v>
      </c>
      <c r="N310" t="s">
        <v>2310</v>
      </c>
      <c r="O310" s="1">
        <v>45430</v>
      </c>
      <c r="S310" t="s">
        <v>915</v>
      </c>
      <c r="T310" s="6" t="s">
        <v>947</v>
      </c>
      <c r="U310" s="6" t="s">
        <v>930</v>
      </c>
      <c r="V310" s="2" t="s">
        <v>954</v>
      </c>
      <c r="W310" t="str">
        <f t="shared" si="4"/>
        <v>2000024487_20225</v>
      </c>
      <c r="X310" s="2" t="s">
        <v>1616</v>
      </c>
    </row>
    <row r="311" spans="1:24" hidden="1" x14ac:dyDescent="0.35">
      <c r="A311">
        <v>1</v>
      </c>
      <c r="B311">
        <v>2000032667</v>
      </c>
      <c r="C311" s="1">
        <v>45664</v>
      </c>
      <c r="D311" t="s">
        <v>3412</v>
      </c>
      <c r="E311" t="s">
        <v>18</v>
      </c>
      <c r="F311" t="s">
        <v>43</v>
      </c>
      <c r="G311" t="s">
        <v>1599</v>
      </c>
      <c r="H311" t="s">
        <v>1600</v>
      </c>
      <c r="I311" t="s">
        <v>22</v>
      </c>
      <c r="J311">
        <v>0.99199999999999999</v>
      </c>
      <c r="K311">
        <v>3</v>
      </c>
      <c r="L311">
        <v>0</v>
      </c>
      <c r="M311">
        <v>0.98</v>
      </c>
      <c r="N311" t="s">
        <v>368</v>
      </c>
      <c r="O311" s="1">
        <v>46759</v>
      </c>
      <c r="P311" t="s">
        <v>3413</v>
      </c>
      <c r="Q311" t="s">
        <v>3414</v>
      </c>
      <c r="S311" t="s">
        <v>915</v>
      </c>
      <c r="T311" s="5" t="s">
        <v>953</v>
      </c>
      <c r="U311" s="5" t="s">
        <v>936</v>
      </c>
      <c r="V311" t="s">
        <v>1650</v>
      </c>
      <c r="W311" t="str">
        <f t="shared" si="4"/>
        <v>2000032667_20251</v>
      </c>
      <c r="X311" t="s">
        <v>1616</v>
      </c>
    </row>
    <row r="312" spans="1:24" hidden="1" x14ac:dyDescent="0.35">
      <c r="A312">
        <v>94</v>
      </c>
      <c r="B312">
        <v>2000024732</v>
      </c>
      <c r="C312" s="1">
        <v>44501</v>
      </c>
      <c r="D312" t="s">
        <v>334</v>
      </c>
      <c r="E312" t="s">
        <v>18</v>
      </c>
      <c r="F312" t="s">
        <v>148</v>
      </c>
      <c r="G312" t="s">
        <v>20</v>
      </c>
      <c r="H312" t="s">
        <v>335</v>
      </c>
      <c r="I312" t="s">
        <v>148</v>
      </c>
      <c r="J312">
        <v>0.74099999999999999</v>
      </c>
      <c r="K312">
        <v>2</v>
      </c>
      <c r="L312">
        <v>9</v>
      </c>
      <c r="M312">
        <v>0.71</v>
      </c>
      <c r="N312" t="s">
        <v>23</v>
      </c>
      <c r="O312" s="1">
        <v>44866</v>
      </c>
      <c r="S312" t="s">
        <v>915</v>
      </c>
      <c r="T312" s="6" t="s">
        <v>945</v>
      </c>
      <c r="U312" s="6" t="s">
        <v>953</v>
      </c>
      <c r="V312" s="2" t="s">
        <v>952</v>
      </c>
      <c r="W312" t="str">
        <f t="shared" si="4"/>
        <v>2000024732_202111</v>
      </c>
      <c r="X312" s="2" t="s">
        <v>1615</v>
      </c>
    </row>
    <row r="313" spans="1:24" hidden="1" x14ac:dyDescent="0.35">
      <c r="A313">
        <v>39</v>
      </c>
      <c r="B313">
        <v>2000024736</v>
      </c>
      <c r="C313" s="1">
        <v>44680</v>
      </c>
      <c r="D313" t="s">
        <v>421</v>
      </c>
      <c r="E313" t="s">
        <v>18</v>
      </c>
      <c r="F313" t="s">
        <v>148</v>
      </c>
      <c r="G313" t="s">
        <v>116</v>
      </c>
      <c r="H313" t="s">
        <v>422</v>
      </c>
      <c r="I313" t="s">
        <v>148</v>
      </c>
      <c r="J313">
        <v>0.7</v>
      </c>
      <c r="K313">
        <v>2</v>
      </c>
      <c r="L313">
        <v>6</v>
      </c>
      <c r="M313">
        <v>0.59</v>
      </c>
      <c r="N313" t="s">
        <v>23</v>
      </c>
      <c r="O313" s="1">
        <v>45045</v>
      </c>
      <c r="S313" t="s">
        <v>915</v>
      </c>
      <c r="T313" s="6" t="s">
        <v>946</v>
      </c>
      <c r="U313" s="6" t="s">
        <v>937</v>
      </c>
      <c r="V313" s="2" t="s">
        <v>954</v>
      </c>
      <c r="W313" t="str">
        <f t="shared" si="4"/>
        <v>2000024736_20224</v>
      </c>
      <c r="X313" s="2" t="s">
        <v>1615</v>
      </c>
    </row>
    <row r="314" spans="1:24" hidden="1" x14ac:dyDescent="0.35">
      <c r="A314">
        <v>6</v>
      </c>
      <c r="B314">
        <v>2000024766</v>
      </c>
      <c r="C314" s="1">
        <v>44580</v>
      </c>
      <c r="D314" t="s">
        <v>357</v>
      </c>
      <c r="E314" t="s">
        <v>18</v>
      </c>
      <c r="F314" t="s">
        <v>148</v>
      </c>
      <c r="G314" t="s">
        <v>97</v>
      </c>
      <c r="H314" t="s">
        <v>358</v>
      </c>
      <c r="I314" t="s">
        <v>148</v>
      </c>
      <c r="J314">
        <v>0.74</v>
      </c>
      <c r="K314">
        <v>2.75</v>
      </c>
      <c r="L314">
        <v>5</v>
      </c>
      <c r="M314">
        <v>0.66</v>
      </c>
      <c r="N314" t="s">
        <v>23</v>
      </c>
      <c r="O314" s="1">
        <v>44945</v>
      </c>
      <c r="S314" t="s">
        <v>915</v>
      </c>
      <c r="T314" s="6" t="s">
        <v>953</v>
      </c>
      <c r="U314" s="6" t="s">
        <v>931</v>
      </c>
      <c r="V314" s="2" t="s">
        <v>954</v>
      </c>
      <c r="W314" t="str">
        <f t="shared" si="4"/>
        <v>2000024766_20221</v>
      </c>
      <c r="X314" s="2" t="s">
        <v>1615</v>
      </c>
    </row>
    <row r="315" spans="1:24" hidden="1" x14ac:dyDescent="0.35">
      <c r="A315">
        <v>55</v>
      </c>
      <c r="B315">
        <v>2000024797</v>
      </c>
      <c r="C315" s="1">
        <v>44711</v>
      </c>
      <c r="D315" t="s">
        <v>452</v>
      </c>
      <c r="E315" t="s">
        <v>18</v>
      </c>
      <c r="F315" t="s">
        <v>148</v>
      </c>
      <c r="G315" t="s">
        <v>116</v>
      </c>
      <c r="H315" t="s">
        <v>453</v>
      </c>
      <c r="I315" t="s">
        <v>148</v>
      </c>
      <c r="J315">
        <v>0.71699999999999997</v>
      </c>
      <c r="K315">
        <v>2</v>
      </c>
      <c r="L315">
        <v>9</v>
      </c>
      <c r="M315">
        <v>0.54</v>
      </c>
      <c r="N315" t="s">
        <v>23</v>
      </c>
      <c r="O315" s="1">
        <v>45076</v>
      </c>
      <c r="S315" t="s">
        <v>915</v>
      </c>
      <c r="T315" s="6" t="s">
        <v>947</v>
      </c>
      <c r="U315" s="6" t="s">
        <v>938</v>
      </c>
      <c r="V315" s="2" t="s">
        <v>954</v>
      </c>
      <c r="W315" t="str">
        <f t="shared" si="4"/>
        <v>2000024797_20225</v>
      </c>
      <c r="X315" s="2" t="s">
        <v>1615</v>
      </c>
    </row>
    <row r="316" spans="1:24" hidden="1" x14ac:dyDescent="0.35">
      <c r="B316">
        <v>2000024866</v>
      </c>
      <c r="C316" s="1">
        <v>44658</v>
      </c>
      <c r="D316" t="s">
        <v>3184</v>
      </c>
      <c r="F316" t="s">
        <v>148</v>
      </c>
      <c r="G316" t="s">
        <v>1599</v>
      </c>
      <c r="H316" t="s">
        <v>3185</v>
      </c>
      <c r="I316" t="s">
        <v>148</v>
      </c>
      <c r="J316">
        <v>0.81</v>
      </c>
      <c r="K316">
        <v>2.7</v>
      </c>
      <c r="L316">
        <v>2</v>
      </c>
      <c r="M316">
        <v>0.91</v>
      </c>
      <c r="N316" t="s">
        <v>2310</v>
      </c>
      <c r="O316" s="1">
        <v>45389</v>
      </c>
      <c r="S316" t="s">
        <v>915</v>
      </c>
      <c r="T316" s="6" t="s">
        <v>946</v>
      </c>
      <c r="U316" s="6" t="s">
        <v>936</v>
      </c>
      <c r="V316" s="2" t="s">
        <v>954</v>
      </c>
      <c r="W316" t="str">
        <f t="shared" si="4"/>
        <v>2000024866_20224</v>
      </c>
      <c r="X316" s="2" t="s">
        <v>1616</v>
      </c>
    </row>
    <row r="317" spans="1:24" hidden="1" x14ac:dyDescent="0.35">
      <c r="A317">
        <v>98</v>
      </c>
      <c r="B317">
        <v>2000025172</v>
      </c>
      <c r="C317" s="1">
        <v>45273</v>
      </c>
      <c r="D317" t="s">
        <v>659</v>
      </c>
      <c r="E317" t="s">
        <v>18</v>
      </c>
      <c r="F317" t="s">
        <v>39</v>
      </c>
      <c r="G317" t="s">
        <v>20</v>
      </c>
      <c r="H317" t="s">
        <v>660</v>
      </c>
      <c r="I317" t="s">
        <v>41</v>
      </c>
      <c r="J317">
        <v>0.86699999999999999</v>
      </c>
      <c r="K317">
        <v>2.2999999999999998</v>
      </c>
      <c r="L317">
        <v>1</v>
      </c>
      <c r="M317">
        <v>0.78</v>
      </c>
      <c r="N317" t="s">
        <v>28</v>
      </c>
      <c r="O317" s="1">
        <v>46004</v>
      </c>
      <c r="S317" t="s">
        <v>915</v>
      </c>
      <c r="T317" s="6" t="s">
        <v>949</v>
      </c>
      <c r="U317" s="6" t="s">
        <v>950</v>
      </c>
      <c r="V317" s="2" t="s">
        <v>955</v>
      </c>
      <c r="W317" t="str">
        <f t="shared" si="4"/>
        <v>2000025172_202312</v>
      </c>
      <c r="X317" s="2" t="s">
        <v>1615</v>
      </c>
    </row>
    <row r="318" spans="1:24" hidden="1" x14ac:dyDescent="0.35">
      <c r="A318">
        <v>52</v>
      </c>
      <c r="B318">
        <v>2000025615</v>
      </c>
      <c r="C318" s="1">
        <v>44426</v>
      </c>
      <c r="D318" t="s">
        <v>3850</v>
      </c>
      <c r="E318" t="s">
        <v>18</v>
      </c>
      <c r="F318" t="s">
        <v>148</v>
      </c>
      <c r="G318" t="s">
        <v>238</v>
      </c>
      <c r="H318" t="s">
        <v>252</v>
      </c>
      <c r="I318" t="s">
        <v>148</v>
      </c>
      <c r="J318">
        <v>0.81</v>
      </c>
      <c r="K318">
        <v>2.75</v>
      </c>
      <c r="L318">
        <v>2</v>
      </c>
      <c r="M318">
        <v>0.6</v>
      </c>
      <c r="N318" t="s">
        <v>28</v>
      </c>
      <c r="O318" s="1">
        <v>45156</v>
      </c>
      <c r="S318" t="s">
        <v>915</v>
      </c>
      <c r="T318" s="6" t="s">
        <v>940</v>
      </c>
      <c r="U318" s="6" t="s">
        <v>930</v>
      </c>
      <c r="V318" s="2" t="s">
        <v>952</v>
      </c>
      <c r="W318" t="str">
        <f t="shared" si="4"/>
        <v>2000025615_20218</v>
      </c>
      <c r="X318" s="2" t="s">
        <v>1615</v>
      </c>
    </row>
    <row r="319" spans="1:24" hidden="1" x14ac:dyDescent="0.35">
      <c r="A319">
        <v>53</v>
      </c>
      <c r="B319">
        <v>2000025615</v>
      </c>
      <c r="C319" s="1">
        <v>45146</v>
      </c>
      <c r="D319" t="s">
        <v>3850</v>
      </c>
      <c r="E319" t="s">
        <v>18</v>
      </c>
      <c r="F319" t="s">
        <v>148</v>
      </c>
      <c r="G319" t="s">
        <v>238</v>
      </c>
      <c r="H319" t="s">
        <v>597</v>
      </c>
      <c r="I319" t="s">
        <v>148</v>
      </c>
      <c r="J319">
        <v>0.92900000000000005</v>
      </c>
      <c r="K319">
        <v>2.75</v>
      </c>
      <c r="L319">
        <v>1</v>
      </c>
      <c r="M319">
        <v>0.68</v>
      </c>
      <c r="N319" t="s">
        <v>28</v>
      </c>
      <c r="O319" s="1">
        <v>45877</v>
      </c>
      <c r="S319" t="s">
        <v>915</v>
      </c>
      <c r="T319" s="6" t="s">
        <v>940</v>
      </c>
      <c r="U319" s="6" t="s">
        <v>940</v>
      </c>
      <c r="V319" s="2" t="s">
        <v>955</v>
      </c>
      <c r="W319" t="str">
        <f t="shared" si="4"/>
        <v>2000025615_20238</v>
      </c>
      <c r="X319" s="2" t="s">
        <v>1615</v>
      </c>
    </row>
    <row r="320" spans="1:24" hidden="1" x14ac:dyDescent="0.35">
      <c r="A320">
        <v>96</v>
      </c>
      <c r="B320">
        <v>2000026230</v>
      </c>
      <c r="C320" s="1">
        <v>44833</v>
      </c>
      <c r="D320" t="s">
        <v>513</v>
      </c>
      <c r="E320" t="s">
        <v>18</v>
      </c>
      <c r="F320" t="s">
        <v>148</v>
      </c>
      <c r="G320" t="s">
        <v>514</v>
      </c>
      <c r="H320" t="s">
        <v>515</v>
      </c>
      <c r="I320" t="s">
        <v>148</v>
      </c>
      <c r="J320">
        <v>0.75</v>
      </c>
      <c r="K320">
        <v>2.2999999999999998</v>
      </c>
      <c r="L320">
        <v>7</v>
      </c>
      <c r="M320">
        <v>0.56999999999999995</v>
      </c>
      <c r="N320" t="s">
        <v>23</v>
      </c>
      <c r="O320" s="1">
        <v>45198</v>
      </c>
      <c r="S320" t="s">
        <v>915</v>
      </c>
      <c r="T320" s="6" t="s">
        <v>942</v>
      </c>
      <c r="U320" s="6" t="s">
        <v>937</v>
      </c>
      <c r="V320" s="2" t="s">
        <v>954</v>
      </c>
      <c r="W320" t="str">
        <f t="shared" si="4"/>
        <v>2000026230_20229</v>
      </c>
      <c r="X320" s="2" t="s">
        <v>1615</v>
      </c>
    </row>
    <row r="321" spans="1:24" hidden="1" x14ac:dyDescent="0.35">
      <c r="A321">
        <v>82</v>
      </c>
      <c r="B321">
        <v>2000026770</v>
      </c>
      <c r="C321" s="1">
        <v>44799</v>
      </c>
      <c r="D321" t="s">
        <v>496</v>
      </c>
      <c r="E321" t="s">
        <v>18</v>
      </c>
      <c r="F321" t="s">
        <v>148</v>
      </c>
      <c r="G321" t="s">
        <v>149</v>
      </c>
      <c r="H321" t="s">
        <v>497</v>
      </c>
      <c r="I321" t="s">
        <v>148</v>
      </c>
      <c r="J321">
        <v>0.77300000000000002</v>
      </c>
      <c r="K321">
        <v>2.2999999999999998</v>
      </c>
      <c r="L321">
        <v>8</v>
      </c>
      <c r="M321">
        <v>0.57999999999999996</v>
      </c>
      <c r="N321" t="s">
        <v>23</v>
      </c>
      <c r="O321" s="1">
        <v>45164</v>
      </c>
      <c r="S321" t="s">
        <v>915</v>
      </c>
      <c r="T321" s="6" t="s">
        <v>940</v>
      </c>
      <c r="U321" s="6" t="s">
        <v>924</v>
      </c>
      <c r="V321" s="2" t="s">
        <v>954</v>
      </c>
      <c r="W321" t="str">
        <f t="shared" si="4"/>
        <v>2000026770_20228</v>
      </c>
      <c r="X321" s="2" t="s">
        <v>1615</v>
      </c>
    </row>
    <row r="322" spans="1:24" hidden="1" x14ac:dyDescent="0.35">
      <c r="B322">
        <v>2000027708</v>
      </c>
      <c r="C322" s="1">
        <v>44389</v>
      </c>
      <c r="D322" t="s">
        <v>1806</v>
      </c>
      <c r="F322" t="s">
        <v>148</v>
      </c>
      <c r="G322" t="s">
        <v>1603</v>
      </c>
      <c r="H322" t="s">
        <v>2402</v>
      </c>
      <c r="I322" t="s">
        <v>22</v>
      </c>
      <c r="J322">
        <v>0.92900000000000005</v>
      </c>
      <c r="K322">
        <v>3</v>
      </c>
      <c r="L322">
        <v>1</v>
      </c>
      <c r="M322">
        <v>0.9</v>
      </c>
      <c r="N322" t="s">
        <v>2314</v>
      </c>
      <c r="O322" s="1">
        <v>45485</v>
      </c>
      <c r="S322" t="s">
        <v>915</v>
      </c>
      <c r="T322" s="6" t="s">
        <v>936</v>
      </c>
      <c r="U322" s="6" t="s">
        <v>949</v>
      </c>
      <c r="V322" s="2" t="s">
        <v>952</v>
      </c>
      <c r="W322" t="str">
        <f t="shared" ref="W322:W385" si="5">CONCATENATE(B322,"_",V322,T322)</f>
        <v>2000027708_20217</v>
      </c>
      <c r="X322" s="2" t="s">
        <v>1616</v>
      </c>
    </row>
    <row r="323" spans="1:24" hidden="1" x14ac:dyDescent="0.35">
      <c r="A323">
        <v>67</v>
      </c>
      <c r="B323">
        <v>2000027708</v>
      </c>
      <c r="C323" s="1">
        <v>45474</v>
      </c>
      <c r="D323" t="s">
        <v>1806</v>
      </c>
      <c r="E323" t="s">
        <v>18</v>
      </c>
      <c r="F323" t="s">
        <v>148</v>
      </c>
      <c r="G323" t="s">
        <v>1687</v>
      </c>
      <c r="H323" t="s">
        <v>1807</v>
      </c>
      <c r="I323" t="s">
        <v>148</v>
      </c>
      <c r="J323">
        <v>1</v>
      </c>
      <c r="K323">
        <v>3</v>
      </c>
      <c r="L323">
        <v>0</v>
      </c>
      <c r="M323">
        <v>0.97</v>
      </c>
      <c r="N323" t="s">
        <v>368</v>
      </c>
      <c r="O323" s="1">
        <v>46569</v>
      </c>
      <c r="Q323" t="s">
        <v>1808</v>
      </c>
      <c r="R323" t="s">
        <v>1723</v>
      </c>
      <c r="S323" t="s">
        <v>915</v>
      </c>
      <c r="T323" s="5" t="s">
        <v>936</v>
      </c>
      <c r="U323" s="5" t="s">
        <v>953</v>
      </c>
      <c r="V323" t="s">
        <v>956</v>
      </c>
      <c r="W323" t="str">
        <f t="shared" si="5"/>
        <v>2000027708_20247</v>
      </c>
      <c r="X323" s="2" t="s">
        <v>1616</v>
      </c>
    </row>
    <row r="324" spans="1:24" hidden="1" x14ac:dyDescent="0.35">
      <c r="A324">
        <v>20</v>
      </c>
      <c r="B324">
        <v>2000028524</v>
      </c>
      <c r="C324" s="1">
        <v>44643</v>
      </c>
      <c r="D324" t="s">
        <v>385</v>
      </c>
      <c r="E324" t="s">
        <v>18</v>
      </c>
      <c r="F324" t="s">
        <v>39</v>
      </c>
      <c r="G324" t="s">
        <v>245</v>
      </c>
      <c r="H324" t="s">
        <v>386</v>
      </c>
      <c r="I324" t="s">
        <v>41</v>
      </c>
      <c r="J324">
        <v>0.9</v>
      </c>
      <c r="K324">
        <v>2.4</v>
      </c>
      <c r="L324">
        <v>2</v>
      </c>
      <c r="M324">
        <v>0.64</v>
      </c>
      <c r="N324" t="s">
        <v>28</v>
      </c>
      <c r="O324" s="1">
        <v>45374</v>
      </c>
      <c r="S324" t="s">
        <v>915</v>
      </c>
      <c r="T324" s="6" t="s">
        <v>941</v>
      </c>
      <c r="U324" s="6" t="s">
        <v>934</v>
      </c>
      <c r="V324" s="2" t="s">
        <v>954</v>
      </c>
      <c r="W324" t="str">
        <f t="shared" si="5"/>
        <v>2000028524_20223</v>
      </c>
      <c r="X324" s="2" t="s">
        <v>1615</v>
      </c>
    </row>
    <row r="325" spans="1:24" hidden="1" x14ac:dyDescent="0.35">
      <c r="A325">
        <v>81</v>
      </c>
      <c r="B325">
        <v>2000029061</v>
      </c>
      <c r="C325" s="1">
        <v>44798</v>
      </c>
      <c r="D325" t="s">
        <v>494</v>
      </c>
      <c r="E325" t="s">
        <v>18</v>
      </c>
      <c r="F325" t="s">
        <v>39</v>
      </c>
      <c r="G325" t="s">
        <v>168</v>
      </c>
      <c r="H325" t="s">
        <v>495</v>
      </c>
      <c r="I325" t="s">
        <v>22</v>
      </c>
      <c r="J325">
        <v>0.88600000000000001</v>
      </c>
      <c r="K325">
        <v>2.4</v>
      </c>
      <c r="L325">
        <v>5</v>
      </c>
      <c r="M325">
        <v>0.84</v>
      </c>
      <c r="N325" t="s">
        <v>28</v>
      </c>
      <c r="O325" s="1">
        <v>45529</v>
      </c>
      <c r="S325" t="s">
        <v>915</v>
      </c>
      <c r="T325" s="6" t="s">
        <v>940</v>
      </c>
      <c r="U325" s="6" t="s">
        <v>922</v>
      </c>
      <c r="V325" s="2" t="s">
        <v>954</v>
      </c>
      <c r="W325" t="str">
        <f t="shared" si="5"/>
        <v>2000029061_20228</v>
      </c>
      <c r="X325" s="2" t="s">
        <v>1615</v>
      </c>
    </row>
    <row r="326" spans="1:24" hidden="1" x14ac:dyDescent="0.35">
      <c r="A326">
        <v>87</v>
      </c>
      <c r="B326">
        <v>2000029818</v>
      </c>
      <c r="C326" s="1">
        <v>44805</v>
      </c>
      <c r="D326" t="s">
        <v>505</v>
      </c>
      <c r="E326" t="s">
        <v>18</v>
      </c>
      <c r="F326" t="s">
        <v>39</v>
      </c>
      <c r="G326" t="s">
        <v>396</v>
      </c>
      <c r="H326" t="s">
        <v>506</v>
      </c>
      <c r="I326" t="s">
        <v>22</v>
      </c>
      <c r="J326">
        <v>0.71</v>
      </c>
      <c r="K326">
        <v>2</v>
      </c>
      <c r="L326">
        <v>9</v>
      </c>
      <c r="M326">
        <v>0.81</v>
      </c>
      <c r="N326" t="s">
        <v>23</v>
      </c>
      <c r="O326" s="1">
        <v>45170</v>
      </c>
      <c r="S326" t="s">
        <v>915</v>
      </c>
      <c r="T326" s="6" t="s">
        <v>942</v>
      </c>
      <c r="U326" s="6" t="s">
        <v>953</v>
      </c>
      <c r="V326" s="2" t="s">
        <v>954</v>
      </c>
      <c r="W326" t="str">
        <f t="shared" si="5"/>
        <v>2000029818_20229</v>
      </c>
      <c r="X326" s="2" t="s">
        <v>1615</v>
      </c>
    </row>
    <row r="327" spans="1:24" hidden="1" x14ac:dyDescent="0.35">
      <c r="A327">
        <v>91</v>
      </c>
      <c r="B327">
        <v>2000030534</v>
      </c>
      <c r="C327" s="1">
        <v>45267</v>
      </c>
      <c r="D327" t="s">
        <v>643</v>
      </c>
      <c r="E327" t="s">
        <v>18</v>
      </c>
      <c r="F327" t="s">
        <v>19</v>
      </c>
      <c r="G327" t="s">
        <v>20</v>
      </c>
      <c r="H327" t="s">
        <v>644</v>
      </c>
      <c r="I327" t="s">
        <v>41</v>
      </c>
      <c r="J327">
        <v>0.66</v>
      </c>
      <c r="K327">
        <v>2.2999999999999998</v>
      </c>
      <c r="L327">
        <v>5</v>
      </c>
      <c r="M327">
        <v>0.64</v>
      </c>
      <c r="N327" t="s">
        <v>23</v>
      </c>
      <c r="O327" s="1">
        <v>45633</v>
      </c>
      <c r="S327" t="s">
        <v>915</v>
      </c>
      <c r="T327" s="6" t="s">
        <v>949</v>
      </c>
      <c r="U327" s="6" t="s">
        <v>936</v>
      </c>
      <c r="V327" s="2" t="s">
        <v>955</v>
      </c>
      <c r="W327" t="str">
        <f t="shared" si="5"/>
        <v>2000030534_202312</v>
      </c>
      <c r="X327" s="2" t="s">
        <v>1615</v>
      </c>
    </row>
    <row r="328" spans="1:24" hidden="1" x14ac:dyDescent="0.35">
      <c r="A328">
        <v>86</v>
      </c>
      <c r="B328" t="s">
        <v>635</v>
      </c>
      <c r="C328" s="1">
        <v>45252</v>
      </c>
      <c r="D328" t="s">
        <v>636</v>
      </c>
      <c r="E328" t="s">
        <v>18</v>
      </c>
      <c r="F328" t="s">
        <v>39</v>
      </c>
      <c r="G328" t="s">
        <v>542</v>
      </c>
      <c r="H328" t="s">
        <v>637</v>
      </c>
      <c r="I328" t="s">
        <v>41</v>
      </c>
      <c r="J328">
        <v>0.85299999999999998</v>
      </c>
      <c r="K328">
        <v>2.7</v>
      </c>
      <c r="L328">
        <v>5</v>
      </c>
      <c r="M328">
        <v>0.97</v>
      </c>
      <c r="N328" t="s">
        <v>28</v>
      </c>
      <c r="O328" s="1">
        <v>45983</v>
      </c>
      <c r="S328" t="s">
        <v>915</v>
      </c>
      <c r="T328" s="6" t="s">
        <v>945</v>
      </c>
      <c r="U328" s="6" t="s">
        <v>933</v>
      </c>
      <c r="V328" s="2" t="s">
        <v>955</v>
      </c>
      <c r="W328" t="str">
        <f t="shared" si="5"/>
        <v>2000031059_202311</v>
      </c>
      <c r="X328" s="2" t="s">
        <v>1615</v>
      </c>
    </row>
    <row r="329" spans="1:24" hidden="1" x14ac:dyDescent="0.35">
      <c r="B329">
        <v>2000031482</v>
      </c>
      <c r="C329" s="1">
        <v>44476</v>
      </c>
      <c r="D329" t="s">
        <v>2695</v>
      </c>
      <c r="F329" t="s">
        <v>39</v>
      </c>
      <c r="G329" t="s">
        <v>1606</v>
      </c>
      <c r="H329" t="s">
        <v>2696</v>
      </c>
      <c r="I329" t="s">
        <v>41</v>
      </c>
      <c r="J329">
        <v>0.93500000000000005</v>
      </c>
      <c r="K329">
        <v>2.7</v>
      </c>
      <c r="L329">
        <v>7</v>
      </c>
      <c r="M329">
        <v>0.97</v>
      </c>
      <c r="N329" t="s">
        <v>2310</v>
      </c>
      <c r="O329" s="1">
        <v>45206</v>
      </c>
      <c r="S329" t="s">
        <v>915</v>
      </c>
      <c r="T329" s="6" t="s">
        <v>948</v>
      </c>
      <c r="U329" s="6" t="s">
        <v>936</v>
      </c>
      <c r="V329" s="2" t="s">
        <v>952</v>
      </c>
      <c r="W329" t="str">
        <f t="shared" si="5"/>
        <v>2000031482_202110</v>
      </c>
      <c r="X329" s="2" t="s">
        <v>1616</v>
      </c>
    </row>
    <row r="330" spans="1:24" hidden="1" x14ac:dyDescent="0.35">
      <c r="B330">
        <v>2000031482</v>
      </c>
      <c r="C330" s="1">
        <v>45077</v>
      </c>
      <c r="D330" t="s">
        <v>2695</v>
      </c>
      <c r="F330" t="s">
        <v>39</v>
      </c>
      <c r="G330" t="s">
        <v>1606</v>
      </c>
      <c r="H330" t="s">
        <v>2697</v>
      </c>
      <c r="I330" t="s">
        <v>41</v>
      </c>
      <c r="J330">
        <v>0.96899999999999997</v>
      </c>
      <c r="K330">
        <v>3</v>
      </c>
      <c r="L330">
        <v>1</v>
      </c>
      <c r="M330">
        <v>1</v>
      </c>
      <c r="N330" t="s">
        <v>2314</v>
      </c>
      <c r="O330" s="1">
        <v>46173</v>
      </c>
      <c r="S330" t="s">
        <v>915</v>
      </c>
      <c r="T330" s="6" t="s">
        <v>947</v>
      </c>
      <c r="U330" s="6" t="s">
        <v>939</v>
      </c>
      <c r="V330" s="2" t="s">
        <v>955</v>
      </c>
      <c r="W330" t="str">
        <f t="shared" si="5"/>
        <v>2000031482_20235</v>
      </c>
      <c r="X330" s="2" t="s">
        <v>1616</v>
      </c>
    </row>
    <row r="331" spans="1:24" hidden="1" x14ac:dyDescent="0.35">
      <c r="A331">
        <v>6</v>
      </c>
      <c r="B331" t="s">
        <v>545</v>
      </c>
      <c r="C331" s="1">
        <v>44981</v>
      </c>
      <c r="D331" t="s">
        <v>546</v>
      </c>
      <c r="E331" t="s">
        <v>18</v>
      </c>
      <c r="F331" t="s">
        <v>148</v>
      </c>
      <c r="G331" t="s">
        <v>542</v>
      </c>
      <c r="H331" t="s">
        <v>547</v>
      </c>
      <c r="I331" t="s">
        <v>148</v>
      </c>
      <c r="J331">
        <v>0.67500000000000004</v>
      </c>
      <c r="K331">
        <v>2.2999999999999998</v>
      </c>
      <c r="L331">
        <v>8</v>
      </c>
      <c r="M331">
        <v>0.69</v>
      </c>
      <c r="N331" t="s">
        <v>23</v>
      </c>
      <c r="O331" s="1">
        <v>45346</v>
      </c>
      <c r="S331" t="s">
        <v>915</v>
      </c>
      <c r="T331" s="6" t="s">
        <v>921</v>
      </c>
      <c r="U331" s="6" t="s">
        <v>935</v>
      </c>
      <c r="V331" s="2" t="s">
        <v>955</v>
      </c>
      <c r="W331" t="str">
        <f t="shared" si="5"/>
        <v>2000031670_20232</v>
      </c>
      <c r="X331" s="2" t="s">
        <v>1615</v>
      </c>
    </row>
    <row r="332" spans="1:24" hidden="1" x14ac:dyDescent="0.35">
      <c r="B332">
        <v>2000031714</v>
      </c>
      <c r="C332" s="1">
        <v>45223</v>
      </c>
      <c r="D332" t="s">
        <v>3195</v>
      </c>
      <c r="F332" t="s">
        <v>1602</v>
      </c>
      <c r="G332" t="s">
        <v>1606</v>
      </c>
      <c r="H332" t="s">
        <v>3196</v>
      </c>
      <c r="I332" t="s">
        <v>22</v>
      </c>
      <c r="J332">
        <v>0.85499999999999998</v>
      </c>
      <c r="K332">
        <v>3</v>
      </c>
      <c r="M332">
        <v>0.96</v>
      </c>
      <c r="N332" t="s">
        <v>2310</v>
      </c>
      <c r="O332" s="1">
        <v>45954</v>
      </c>
      <c r="S332" t="s">
        <v>915</v>
      </c>
      <c r="T332" s="6" t="s">
        <v>948</v>
      </c>
      <c r="U332" s="6" t="s">
        <v>935</v>
      </c>
      <c r="V332" s="2" t="s">
        <v>955</v>
      </c>
      <c r="W332" t="str">
        <f t="shared" si="5"/>
        <v>2000031714_202310</v>
      </c>
      <c r="X332" s="2" t="s">
        <v>1616</v>
      </c>
    </row>
    <row r="333" spans="1:24" hidden="1" x14ac:dyDescent="0.35">
      <c r="A333">
        <v>92</v>
      </c>
      <c r="B333">
        <v>2000033257</v>
      </c>
      <c r="C333" s="1">
        <v>45267</v>
      </c>
      <c r="D333" t="s">
        <v>645</v>
      </c>
      <c r="E333" t="s">
        <v>18</v>
      </c>
      <c r="F333" t="s">
        <v>39</v>
      </c>
      <c r="G333" t="s">
        <v>20</v>
      </c>
      <c r="H333" t="s">
        <v>646</v>
      </c>
      <c r="I333" t="s">
        <v>41</v>
      </c>
      <c r="J333">
        <v>0.73499999999999999</v>
      </c>
      <c r="K333">
        <v>2.2999999999999998</v>
      </c>
      <c r="L333">
        <v>7</v>
      </c>
      <c r="M333">
        <v>0.84</v>
      </c>
      <c r="N333" t="s">
        <v>23</v>
      </c>
      <c r="O333" s="1">
        <v>45633</v>
      </c>
      <c r="S333" t="s">
        <v>915</v>
      </c>
      <c r="T333" s="6" t="s">
        <v>949</v>
      </c>
      <c r="U333" s="6" t="s">
        <v>936</v>
      </c>
      <c r="V333" s="2" t="s">
        <v>955</v>
      </c>
      <c r="W333" t="str">
        <f t="shared" si="5"/>
        <v>2000033257_202312</v>
      </c>
      <c r="X333" s="2" t="s">
        <v>1615</v>
      </c>
    </row>
    <row r="334" spans="1:24" hidden="1" x14ac:dyDescent="0.35">
      <c r="A334">
        <v>62</v>
      </c>
      <c r="B334">
        <v>2000033275</v>
      </c>
      <c r="C334" s="1">
        <v>45156</v>
      </c>
      <c r="D334" t="s">
        <v>608</v>
      </c>
      <c r="E334" t="s">
        <v>18</v>
      </c>
      <c r="F334" t="s">
        <v>148</v>
      </c>
      <c r="G334" t="s">
        <v>245</v>
      </c>
      <c r="H334" t="s">
        <v>609</v>
      </c>
      <c r="I334" t="s">
        <v>41</v>
      </c>
      <c r="J334">
        <v>0.71399999999999997</v>
      </c>
      <c r="K334">
        <v>2</v>
      </c>
      <c r="L334">
        <v>7</v>
      </c>
      <c r="M334">
        <v>0.88</v>
      </c>
      <c r="N334" t="s">
        <v>23</v>
      </c>
      <c r="O334" s="1">
        <v>45522</v>
      </c>
      <c r="S334" t="s">
        <v>915</v>
      </c>
      <c r="T334" s="6" t="s">
        <v>940</v>
      </c>
      <c r="U334" s="6" t="s">
        <v>930</v>
      </c>
      <c r="V334" s="2" t="s">
        <v>955</v>
      </c>
      <c r="W334" t="str">
        <f t="shared" si="5"/>
        <v>2000033275_20238</v>
      </c>
      <c r="X334" s="2" t="s">
        <v>1615</v>
      </c>
    </row>
    <row r="335" spans="1:24" hidden="1" x14ac:dyDescent="0.35">
      <c r="B335">
        <v>2000033693</v>
      </c>
      <c r="C335" s="1">
        <v>45189</v>
      </c>
      <c r="D335" t="s">
        <v>2911</v>
      </c>
      <c r="F335" t="s">
        <v>376</v>
      </c>
      <c r="G335" t="s">
        <v>1606</v>
      </c>
      <c r="H335" t="s">
        <v>2912</v>
      </c>
      <c r="I335" t="s">
        <v>41</v>
      </c>
      <c r="J335">
        <v>0.91300000000000003</v>
      </c>
      <c r="K335">
        <v>3</v>
      </c>
      <c r="M335">
        <v>0.88</v>
      </c>
      <c r="N335" t="s">
        <v>2314</v>
      </c>
      <c r="O335" s="1">
        <v>46285</v>
      </c>
      <c r="S335" t="s">
        <v>915</v>
      </c>
      <c r="T335" s="6" t="s">
        <v>942</v>
      </c>
      <c r="U335" s="6" t="s">
        <v>932</v>
      </c>
      <c r="V335" s="2" t="s">
        <v>955</v>
      </c>
      <c r="W335" t="str">
        <f t="shared" si="5"/>
        <v>2000033693_20239</v>
      </c>
      <c r="X335" s="2" t="s">
        <v>1616</v>
      </c>
    </row>
    <row r="336" spans="1:24" hidden="1" x14ac:dyDescent="0.35">
      <c r="A336">
        <v>95</v>
      </c>
      <c r="B336">
        <v>2000033989</v>
      </c>
      <c r="C336" s="1">
        <v>45510</v>
      </c>
      <c r="D336" t="s">
        <v>1874</v>
      </c>
      <c r="E336" t="s">
        <v>18</v>
      </c>
      <c r="F336" t="s">
        <v>39</v>
      </c>
      <c r="G336" t="s">
        <v>1606</v>
      </c>
      <c r="H336" t="s">
        <v>1875</v>
      </c>
      <c r="I336" t="s">
        <v>41</v>
      </c>
      <c r="J336">
        <v>1</v>
      </c>
      <c r="K336">
        <v>3</v>
      </c>
      <c r="L336">
        <v>2</v>
      </c>
      <c r="M336">
        <v>0.91</v>
      </c>
      <c r="N336" t="s">
        <v>368</v>
      </c>
      <c r="O336" s="1">
        <v>46605</v>
      </c>
      <c r="S336" t="s">
        <v>915</v>
      </c>
      <c r="T336" s="5" t="s">
        <v>940</v>
      </c>
      <c r="U336" s="5" t="s">
        <v>927</v>
      </c>
      <c r="V336" t="s">
        <v>956</v>
      </c>
      <c r="W336" t="str">
        <f t="shared" si="5"/>
        <v>2000033989_20248</v>
      </c>
      <c r="X336" s="2" t="s">
        <v>1616</v>
      </c>
    </row>
    <row r="337" spans="1:24" hidden="1" x14ac:dyDescent="0.35">
      <c r="A337">
        <v>1</v>
      </c>
      <c r="B337">
        <v>2000035025</v>
      </c>
      <c r="C337" s="1">
        <v>45309</v>
      </c>
      <c r="D337" t="s">
        <v>664</v>
      </c>
      <c r="E337" t="s">
        <v>18</v>
      </c>
      <c r="F337" t="s">
        <v>32</v>
      </c>
      <c r="G337" t="s">
        <v>26</v>
      </c>
      <c r="H337" t="s">
        <v>665</v>
      </c>
      <c r="I337" t="s">
        <v>22</v>
      </c>
      <c r="J337">
        <v>0.96199999999999997</v>
      </c>
      <c r="K337">
        <v>2.8</v>
      </c>
      <c r="L337">
        <v>4</v>
      </c>
      <c r="M337">
        <v>0.91</v>
      </c>
      <c r="N337" t="s">
        <v>28</v>
      </c>
      <c r="O337" s="1">
        <v>46040</v>
      </c>
      <c r="S337" t="s">
        <v>915</v>
      </c>
      <c r="T337" s="6" t="s">
        <v>953</v>
      </c>
      <c r="U337" s="6" t="s">
        <v>930</v>
      </c>
      <c r="V337" s="2" t="s">
        <v>956</v>
      </c>
      <c r="W337" t="str">
        <f t="shared" si="5"/>
        <v>2000035025_20241</v>
      </c>
      <c r="X337" s="2" t="s">
        <v>1615</v>
      </c>
    </row>
    <row r="338" spans="1:24" hidden="1" x14ac:dyDescent="0.35">
      <c r="B338">
        <v>2000035171</v>
      </c>
      <c r="C338" s="1">
        <v>43682</v>
      </c>
      <c r="D338" t="s">
        <v>1876</v>
      </c>
      <c r="F338" t="s">
        <v>19</v>
      </c>
      <c r="G338" t="s">
        <v>1606</v>
      </c>
      <c r="H338" t="s">
        <v>2778</v>
      </c>
      <c r="I338" t="s">
        <v>22</v>
      </c>
      <c r="J338">
        <v>1</v>
      </c>
      <c r="K338">
        <v>3</v>
      </c>
      <c r="L338">
        <v>0</v>
      </c>
      <c r="N338" t="s">
        <v>2310</v>
      </c>
      <c r="O338" s="1">
        <v>44413</v>
      </c>
      <c r="S338" t="s">
        <v>915</v>
      </c>
      <c r="T338" s="6" t="s">
        <v>940</v>
      </c>
      <c r="U338" s="6" t="s">
        <v>947</v>
      </c>
      <c r="V338" s="2" t="s">
        <v>1618</v>
      </c>
      <c r="W338" t="str">
        <f t="shared" si="5"/>
        <v>2000035171_20198</v>
      </c>
      <c r="X338" s="2" t="s">
        <v>1616</v>
      </c>
    </row>
    <row r="339" spans="1:24" hidden="1" x14ac:dyDescent="0.35">
      <c r="B339">
        <v>2000035171</v>
      </c>
      <c r="C339" s="1">
        <v>44491</v>
      </c>
      <c r="D339" t="s">
        <v>1876</v>
      </c>
      <c r="F339" t="s">
        <v>19</v>
      </c>
      <c r="G339" t="s">
        <v>1603</v>
      </c>
      <c r="H339" t="s">
        <v>2779</v>
      </c>
      <c r="I339" t="s">
        <v>22</v>
      </c>
      <c r="J339">
        <v>1</v>
      </c>
      <c r="K339">
        <v>3</v>
      </c>
      <c r="L339">
        <v>0</v>
      </c>
      <c r="M339">
        <v>1</v>
      </c>
      <c r="N339" t="s">
        <v>2314</v>
      </c>
      <c r="O339" s="1">
        <v>45587</v>
      </c>
      <c r="S339" t="s">
        <v>915</v>
      </c>
      <c r="T339" s="6" t="s">
        <v>948</v>
      </c>
      <c r="U339" s="6" t="s">
        <v>933</v>
      </c>
      <c r="V339" s="2" t="s">
        <v>952</v>
      </c>
      <c r="W339" t="str">
        <f t="shared" si="5"/>
        <v>2000035171_202110</v>
      </c>
      <c r="X339" s="2" t="s">
        <v>1616</v>
      </c>
    </row>
    <row r="340" spans="1:24" hidden="1" x14ac:dyDescent="0.35">
      <c r="A340">
        <v>96</v>
      </c>
      <c r="B340">
        <v>2000035171</v>
      </c>
      <c r="C340" s="1">
        <v>45513</v>
      </c>
      <c r="D340" t="s">
        <v>1876</v>
      </c>
      <c r="E340" t="s">
        <v>18</v>
      </c>
      <c r="F340" t="s">
        <v>43</v>
      </c>
      <c r="G340" t="s">
        <v>1687</v>
      </c>
      <c r="H340" t="s">
        <v>1877</v>
      </c>
      <c r="I340" t="s">
        <v>22</v>
      </c>
      <c r="J340">
        <v>1</v>
      </c>
      <c r="K340">
        <v>3</v>
      </c>
      <c r="L340">
        <v>0</v>
      </c>
      <c r="M340">
        <v>1</v>
      </c>
      <c r="N340" t="s">
        <v>368</v>
      </c>
      <c r="O340" s="1">
        <v>46608</v>
      </c>
      <c r="P340" t="s">
        <v>1878</v>
      </c>
      <c r="Q340" t="s">
        <v>1667</v>
      </c>
      <c r="R340" t="s">
        <v>1723</v>
      </c>
      <c r="S340" t="s">
        <v>915</v>
      </c>
      <c r="T340" s="5" t="s">
        <v>940</v>
      </c>
      <c r="U340" s="5" t="s">
        <v>942</v>
      </c>
      <c r="V340" t="s">
        <v>956</v>
      </c>
      <c r="W340" t="str">
        <f t="shared" si="5"/>
        <v>2000035171_20248</v>
      </c>
      <c r="X340" s="2" t="s">
        <v>1616</v>
      </c>
    </row>
    <row r="341" spans="1:24" hidden="1" x14ac:dyDescent="0.35">
      <c r="A341">
        <v>5</v>
      </c>
      <c r="B341">
        <v>2000059541</v>
      </c>
      <c r="C341" s="1">
        <v>45705</v>
      </c>
      <c r="D341" t="s">
        <v>537</v>
      </c>
      <c r="E341" t="s">
        <v>18</v>
      </c>
      <c r="F341" t="s">
        <v>39</v>
      </c>
      <c r="G341" t="s">
        <v>538</v>
      </c>
      <c r="H341" t="s">
        <v>539</v>
      </c>
      <c r="I341" t="s">
        <v>22</v>
      </c>
      <c r="J341">
        <v>0.82499999999999996</v>
      </c>
      <c r="K341">
        <v>3</v>
      </c>
      <c r="L341">
        <v>1</v>
      </c>
      <c r="M341">
        <v>0.76</v>
      </c>
      <c r="N341" t="s">
        <v>28</v>
      </c>
      <c r="O341" s="1">
        <v>46435</v>
      </c>
      <c r="S341" t="s">
        <v>915</v>
      </c>
      <c r="T341" s="5" t="s">
        <v>921</v>
      </c>
      <c r="U341" s="5" t="s">
        <v>929</v>
      </c>
      <c r="V341" t="s">
        <v>1650</v>
      </c>
      <c r="W341" t="str">
        <f t="shared" si="5"/>
        <v>2000059541_20252</v>
      </c>
      <c r="X341" t="s">
        <v>1615</v>
      </c>
    </row>
    <row r="342" spans="1:24" hidden="1" x14ac:dyDescent="0.35">
      <c r="B342">
        <v>2000035946</v>
      </c>
      <c r="C342" s="1">
        <v>43916</v>
      </c>
      <c r="D342" t="s">
        <v>2321</v>
      </c>
      <c r="F342" t="s">
        <v>39</v>
      </c>
      <c r="G342" t="s">
        <v>1609</v>
      </c>
      <c r="H342" t="s">
        <v>2322</v>
      </c>
      <c r="I342" t="s">
        <v>22</v>
      </c>
      <c r="J342">
        <v>0.88300000000000001</v>
      </c>
      <c r="K342">
        <v>2.4</v>
      </c>
      <c r="L342">
        <v>5</v>
      </c>
      <c r="M342">
        <v>0.87</v>
      </c>
      <c r="N342" t="s">
        <v>2310</v>
      </c>
      <c r="O342" s="1">
        <v>44646</v>
      </c>
      <c r="S342" t="s">
        <v>915</v>
      </c>
      <c r="T342" s="6" t="s">
        <v>941</v>
      </c>
      <c r="U342" s="6" t="s">
        <v>924</v>
      </c>
      <c r="V342" s="2" t="s">
        <v>923</v>
      </c>
      <c r="W342" t="str">
        <f t="shared" si="5"/>
        <v>2000035946_20203</v>
      </c>
      <c r="X342" s="2" t="s">
        <v>1616</v>
      </c>
    </row>
    <row r="343" spans="1:24" hidden="1" x14ac:dyDescent="0.35">
      <c r="B343">
        <v>2000035946</v>
      </c>
      <c r="C343" s="1">
        <v>44565</v>
      </c>
      <c r="D343" t="s">
        <v>2321</v>
      </c>
      <c r="F343" t="s">
        <v>39</v>
      </c>
      <c r="G343" t="s">
        <v>1609</v>
      </c>
      <c r="H343" t="s">
        <v>2323</v>
      </c>
      <c r="I343" t="s">
        <v>22</v>
      </c>
      <c r="J343">
        <v>0.90500000000000003</v>
      </c>
      <c r="K343">
        <v>3</v>
      </c>
      <c r="L343">
        <v>3</v>
      </c>
      <c r="M343">
        <v>1</v>
      </c>
      <c r="N343" t="s">
        <v>2314</v>
      </c>
      <c r="O343" s="1">
        <v>45661</v>
      </c>
      <c r="S343" t="s">
        <v>915</v>
      </c>
      <c r="T343" s="6" t="s">
        <v>953</v>
      </c>
      <c r="U343" s="6" t="s">
        <v>946</v>
      </c>
      <c r="V343" s="2" t="s">
        <v>954</v>
      </c>
      <c r="W343" t="str">
        <f t="shared" si="5"/>
        <v>2000035946_20221</v>
      </c>
      <c r="X343" s="2" t="s">
        <v>1616</v>
      </c>
    </row>
    <row r="344" spans="1:24" hidden="1" x14ac:dyDescent="0.35">
      <c r="A344">
        <v>2</v>
      </c>
      <c r="B344">
        <v>2000035946</v>
      </c>
      <c r="C344" s="1">
        <v>45665</v>
      </c>
      <c r="D344" t="s">
        <v>2321</v>
      </c>
      <c r="E344" t="s">
        <v>18</v>
      </c>
      <c r="F344" t="s">
        <v>39</v>
      </c>
      <c r="G344" t="s">
        <v>1603</v>
      </c>
      <c r="H344" t="s">
        <v>1604</v>
      </c>
      <c r="I344" t="s">
        <v>22</v>
      </c>
      <c r="J344">
        <v>1</v>
      </c>
      <c r="K344">
        <v>3</v>
      </c>
      <c r="L344">
        <v>0</v>
      </c>
      <c r="M344">
        <v>1</v>
      </c>
      <c r="N344" t="s">
        <v>368</v>
      </c>
      <c r="O344" s="1">
        <v>46760</v>
      </c>
      <c r="S344" t="s">
        <v>915</v>
      </c>
      <c r="T344" s="5" t="s">
        <v>953</v>
      </c>
      <c r="U344" s="5" t="s">
        <v>940</v>
      </c>
      <c r="V344" t="s">
        <v>1650</v>
      </c>
      <c r="W344" t="str">
        <f t="shared" si="5"/>
        <v>2000035946_20251</v>
      </c>
      <c r="X344" t="s">
        <v>1616</v>
      </c>
    </row>
    <row r="345" spans="1:24" hidden="1" x14ac:dyDescent="0.35">
      <c r="A345">
        <v>2</v>
      </c>
      <c r="B345">
        <v>2000036719</v>
      </c>
      <c r="C345" s="1">
        <v>45302</v>
      </c>
      <c r="D345" t="s">
        <v>1601</v>
      </c>
      <c r="E345" t="s">
        <v>18</v>
      </c>
      <c r="F345" t="s">
        <v>1602</v>
      </c>
      <c r="G345" t="s">
        <v>1603</v>
      </c>
      <c r="H345" t="s">
        <v>1604</v>
      </c>
      <c r="I345" t="s">
        <v>22</v>
      </c>
      <c r="J345">
        <v>0.9</v>
      </c>
      <c r="K345">
        <v>3</v>
      </c>
      <c r="L345">
        <v>2</v>
      </c>
      <c r="M345">
        <v>0.84</v>
      </c>
      <c r="N345" t="s">
        <v>368</v>
      </c>
      <c r="O345" s="1">
        <v>46398</v>
      </c>
      <c r="S345" t="s">
        <v>915</v>
      </c>
      <c r="T345" s="5" t="s">
        <v>953</v>
      </c>
      <c r="U345" s="5" t="s">
        <v>945</v>
      </c>
      <c r="V345" t="s">
        <v>956</v>
      </c>
      <c r="W345" t="str">
        <f t="shared" si="5"/>
        <v>2000036719_20241</v>
      </c>
      <c r="X345" s="2" t="s">
        <v>1616</v>
      </c>
    </row>
    <row r="346" spans="1:24" hidden="1" x14ac:dyDescent="0.35">
      <c r="B346">
        <v>2000038211</v>
      </c>
      <c r="C346" s="1">
        <v>44858</v>
      </c>
      <c r="D346" t="s">
        <v>3165</v>
      </c>
      <c r="F346" t="s">
        <v>43</v>
      </c>
      <c r="G346" t="s">
        <v>1606</v>
      </c>
      <c r="H346" t="s">
        <v>3166</v>
      </c>
      <c r="I346" t="s">
        <v>22</v>
      </c>
      <c r="J346">
        <v>0.96399999999999997</v>
      </c>
      <c r="K346">
        <v>3</v>
      </c>
      <c r="L346">
        <v>1</v>
      </c>
      <c r="M346">
        <v>0.82</v>
      </c>
      <c r="N346" t="s">
        <v>2314</v>
      </c>
      <c r="O346" s="1">
        <v>45954</v>
      </c>
      <c r="S346" t="s">
        <v>915</v>
      </c>
      <c r="T346" s="6" t="s">
        <v>948</v>
      </c>
      <c r="U346" s="6" t="s">
        <v>935</v>
      </c>
      <c r="V346" s="2" t="s">
        <v>954</v>
      </c>
      <c r="W346" t="str">
        <f t="shared" si="5"/>
        <v>2000038211_202210</v>
      </c>
      <c r="X346" s="2" t="s">
        <v>1616</v>
      </c>
    </row>
    <row r="347" spans="1:24" hidden="1" x14ac:dyDescent="0.35">
      <c r="B347">
        <v>2000038830</v>
      </c>
      <c r="C347" s="1">
        <v>44161</v>
      </c>
      <c r="D347" t="s">
        <v>2485</v>
      </c>
      <c r="F347" t="s">
        <v>43</v>
      </c>
      <c r="G347" t="s">
        <v>1606</v>
      </c>
      <c r="H347" t="s">
        <v>2486</v>
      </c>
      <c r="I347" t="s">
        <v>41</v>
      </c>
      <c r="J347">
        <v>0.96299999999999997</v>
      </c>
      <c r="K347">
        <v>2.7</v>
      </c>
      <c r="L347">
        <v>0</v>
      </c>
      <c r="M347">
        <v>0.93</v>
      </c>
      <c r="N347" t="s">
        <v>2310</v>
      </c>
      <c r="O347" s="1">
        <v>44891</v>
      </c>
      <c r="S347" t="s">
        <v>915</v>
      </c>
      <c r="T347" s="6" t="s">
        <v>945</v>
      </c>
      <c r="U347" s="6" t="s">
        <v>924</v>
      </c>
      <c r="V347" s="2" t="s">
        <v>923</v>
      </c>
      <c r="W347" t="str">
        <f t="shared" si="5"/>
        <v>2000038830_202011</v>
      </c>
      <c r="X347" s="2" t="s">
        <v>1616</v>
      </c>
    </row>
    <row r="348" spans="1:24" hidden="1" x14ac:dyDescent="0.35">
      <c r="B348">
        <v>2000038830</v>
      </c>
      <c r="C348" s="1">
        <v>44762</v>
      </c>
      <c r="D348" t="s">
        <v>2487</v>
      </c>
      <c r="F348" t="s">
        <v>43</v>
      </c>
      <c r="G348" t="s">
        <v>1606</v>
      </c>
      <c r="H348" t="s">
        <v>2488</v>
      </c>
      <c r="I348" t="s">
        <v>41</v>
      </c>
      <c r="J348">
        <v>1</v>
      </c>
      <c r="K348">
        <v>3</v>
      </c>
      <c r="L348">
        <v>0</v>
      </c>
      <c r="M348">
        <v>0.93</v>
      </c>
      <c r="N348" t="s">
        <v>2314</v>
      </c>
      <c r="O348" s="1">
        <v>45858</v>
      </c>
      <c r="S348" t="s">
        <v>915</v>
      </c>
      <c r="T348" s="6" t="s">
        <v>936</v>
      </c>
      <c r="U348" s="6" t="s">
        <v>932</v>
      </c>
      <c r="V348" s="2" t="s">
        <v>954</v>
      </c>
      <c r="W348" t="str">
        <f t="shared" si="5"/>
        <v>2000038830_20227</v>
      </c>
      <c r="X348" s="2" t="s">
        <v>1616</v>
      </c>
    </row>
    <row r="349" spans="1:24" hidden="1" x14ac:dyDescent="0.35">
      <c r="A349">
        <v>3</v>
      </c>
      <c r="B349">
        <v>2000057898</v>
      </c>
      <c r="C349" s="1">
        <v>45666</v>
      </c>
      <c r="D349" t="s">
        <v>3415</v>
      </c>
      <c r="E349" t="s">
        <v>18</v>
      </c>
      <c r="F349" t="s">
        <v>1602</v>
      </c>
      <c r="G349" t="s">
        <v>1606</v>
      </c>
      <c r="H349" t="s">
        <v>1607</v>
      </c>
      <c r="I349" t="s">
        <v>41</v>
      </c>
      <c r="J349">
        <v>1</v>
      </c>
      <c r="K349">
        <v>3</v>
      </c>
      <c r="L349">
        <v>0</v>
      </c>
      <c r="M349">
        <v>0.77</v>
      </c>
      <c r="N349" t="s">
        <v>368</v>
      </c>
      <c r="O349" s="1">
        <v>46761</v>
      </c>
      <c r="S349" t="s">
        <v>915</v>
      </c>
      <c r="T349" s="5" t="s">
        <v>953</v>
      </c>
      <c r="U349" s="5" t="s">
        <v>942</v>
      </c>
      <c r="V349" t="s">
        <v>1650</v>
      </c>
      <c r="W349" t="str">
        <f t="shared" si="5"/>
        <v>2000057898_20251</v>
      </c>
      <c r="X349" t="s">
        <v>1616</v>
      </c>
    </row>
    <row r="350" spans="1:24" hidden="1" x14ac:dyDescent="0.35">
      <c r="B350">
        <v>2000039107</v>
      </c>
      <c r="C350" s="1">
        <v>43587</v>
      </c>
      <c r="D350" t="s">
        <v>1831</v>
      </c>
      <c r="F350" t="s">
        <v>39</v>
      </c>
      <c r="G350" t="s">
        <v>2341</v>
      </c>
      <c r="H350" t="s">
        <v>2839</v>
      </c>
      <c r="I350" t="s">
        <v>41</v>
      </c>
      <c r="J350">
        <v>0.85</v>
      </c>
      <c r="K350">
        <v>2.6</v>
      </c>
      <c r="L350">
        <v>6</v>
      </c>
      <c r="N350" t="s">
        <v>2310</v>
      </c>
      <c r="O350" s="1">
        <v>44318</v>
      </c>
      <c r="S350" t="s">
        <v>915</v>
      </c>
      <c r="T350" s="6" t="s">
        <v>947</v>
      </c>
      <c r="U350" s="6" t="s">
        <v>921</v>
      </c>
      <c r="V350" s="2" t="s">
        <v>1618</v>
      </c>
      <c r="W350" t="str">
        <f t="shared" si="5"/>
        <v>2000039107_20195</v>
      </c>
      <c r="X350" s="2" t="s">
        <v>1616</v>
      </c>
    </row>
    <row r="351" spans="1:24" hidden="1" x14ac:dyDescent="0.35">
      <c r="B351">
        <v>2000039107</v>
      </c>
      <c r="C351" s="1">
        <v>44390</v>
      </c>
      <c r="D351" t="s">
        <v>1831</v>
      </c>
      <c r="F351" t="s">
        <v>39</v>
      </c>
      <c r="G351" t="s">
        <v>1606</v>
      </c>
      <c r="H351" t="s">
        <v>1832</v>
      </c>
      <c r="I351" t="s">
        <v>41</v>
      </c>
      <c r="J351">
        <v>0.96299999999999997</v>
      </c>
      <c r="K351">
        <v>3</v>
      </c>
      <c r="L351">
        <v>3</v>
      </c>
      <c r="M351">
        <v>0.88</v>
      </c>
      <c r="N351" t="s">
        <v>2314</v>
      </c>
      <c r="O351" s="1">
        <v>45486</v>
      </c>
      <c r="S351" t="s">
        <v>915</v>
      </c>
      <c r="T351" s="6" t="s">
        <v>936</v>
      </c>
      <c r="U351" s="6" t="s">
        <v>950</v>
      </c>
      <c r="V351" s="2" t="s">
        <v>952</v>
      </c>
      <c r="W351" t="str">
        <f t="shared" si="5"/>
        <v>2000039107_20217</v>
      </c>
      <c r="X351" s="2" t="s">
        <v>1616</v>
      </c>
    </row>
    <row r="352" spans="1:24" hidden="1" x14ac:dyDescent="0.35">
      <c r="A352">
        <v>77</v>
      </c>
      <c r="B352">
        <v>2000039107</v>
      </c>
      <c r="C352" s="1">
        <v>45485</v>
      </c>
      <c r="D352" t="s">
        <v>1831</v>
      </c>
      <c r="E352" t="s">
        <v>18</v>
      </c>
      <c r="F352" t="s">
        <v>39</v>
      </c>
      <c r="G352" t="s">
        <v>1606</v>
      </c>
      <c r="H352" t="s">
        <v>1832</v>
      </c>
      <c r="I352" t="s">
        <v>41</v>
      </c>
      <c r="J352">
        <v>0.97899999999999998</v>
      </c>
      <c r="K352">
        <v>3</v>
      </c>
      <c r="L352">
        <v>1</v>
      </c>
      <c r="M352">
        <v>0.91</v>
      </c>
      <c r="N352" t="s">
        <v>368</v>
      </c>
      <c r="O352" s="1">
        <v>46580</v>
      </c>
      <c r="S352" t="s">
        <v>915</v>
      </c>
      <c r="T352" s="5" t="s">
        <v>936</v>
      </c>
      <c r="U352" s="5" t="s">
        <v>949</v>
      </c>
      <c r="V352" t="s">
        <v>956</v>
      </c>
      <c r="W352" t="str">
        <f t="shared" si="5"/>
        <v>2000039107_20247</v>
      </c>
      <c r="X352" s="2" t="s">
        <v>1616</v>
      </c>
    </row>
    <row r="353" spans="1:24" hidden="1" x14ac:dyDescent="0.35">
      <c r="A353">
        <v>4</v>
      </c>
      <c r="B353">
        <v>2000055440</v>
      </c>
      <c r="C353" s="1">
        <v>45667</v>
      </c>
      <c r="D353" t="s">
        <v>2455</v>
      </c>
      <c r="E353" t="s">
        <v>18</v>
      </c>
      <c r="F353" t="s">
        <v>19</v>
      </c>
      <c r="G353" t="s">
        <v>1609</v>
      </c>
      <c r="H353" t="s">
        <v>1610</v>
      </c>
      <c r="I353" t="s">
        <v>22</v>
      </c>
      <c r="J353">
        <v>0.8</v>
      </c>
      <c r="K353">
        <v>3</v>
      </c>
      <c r="L353">
        <v>0</v>
      </c>
      <c r="M353">
        <v>0.88</v>
      </c>
      <c r="N353" t="s">
        <v>28</v>
      </c>
      <c r="O353" s="1">
        <v>46397</v>
      </c>
      <c r="Q353" t="s">
        <v>50</v>
      </c>
      <c r="S353" t="s">
        <v>915</v>
      </c>
      <c r="T353" s="5" t="s">
        <v>953</v>
      </c>
      <c r="U353" s="5" t="s">
        <v>948</v>
      </c>
      <c r="V353" t="s">
        <v>1650</v>
      </c>
      <c r="W353" t="str">
        <f t="shared" si="5"/>
        <v>2000055440_20251</v>
      </c>
      <c r="X353" t="s">
        <v>1616</v>
      </c>
    </row>
    <row r="354" spans="1:24" hidden="1" x14ac:dyDescent="0.35">
      <c r="B354">
        <v>2000039709</v>
      </c>
      <c r="C354" s="1">
        <v>43672</v>
      </c>
      <c r="D354" t="s">
        <v>1734</v>
      </c>
      <c r="F354" t="s">
        <v>52</v>
      </c>
      <c r="G354" t="s">
        <v>2032</v>
      </c>
      <c r="H354" t="s">
        <v>2956</v>
      </c>
      <c r="I354" t="s">
        <v>41</v>
      </c>
      <c r="J354">
        <v>0.67600000000000005</v>
      </c>
      <c r="K354">
        <v>2</v>
      </c>
      <c r="L354">
        <v>7</v>
      </c>
      <c r="N354" t="s">
        <v>23</v>
      </c>
      <c r="O354" s="1">
        <v>44038</v>
      </c>
      <c r="S354" t="s">
        <v>915</v>
      </c>
      <c r="T354" s="6" t="s">
        <v>936</v>
      </c>
      <c r="U354" s="6" t="s">
        <v>924</v>
      </c>
      <c r="V354" s="2" t="s">
        <v>1618</v>
      </c>
      <c r="W354" t="str">
        <f t="shared" si="5"/>
        <v>2000039709_20197</v>
      </c>
      <c r="X354" s="2" t="s">
        <v>1616</v>
      </c>
    </row>
    <row r="355" spans="1:24" hidden="1" x14ac:dyDescent="0.35">
      <c r="B355">
        <v>2000039709</v>
      </c>
      <c r="C355" s="1">
        <v>44673</v>
      </c>
      <c r="D355" t="s">
        <v>1734</v>
      </c>
      <c r="F355" t="s">
        <v>52</v>
      </c>
      <c r="G355" t="s">
        <v>1735</v>
      </c>
      <c r="H355" t="s">
        <v>2957</v>
      </c>
      <c r="I355" t="s">
        <v>22</v>
      </c>
      <c r="J355">
        <v>0.83299999999999996</v>
      </c>
      <c r="K355">
        <v>2.8</v>
      </c>
      <c r="L355">
        <v>2</v>
      </c>
      <c r="M355">
        <v>0.81</v>
      </c>
      <c r="N355" t="s">
        <v>2310</v>
      </c>
      <c r="O355" s="1">
        <v>45404</v>
      </c>
      <c r="S355" t="s">
        <v>915</v>
      </c>
      <c r="T355" s="6" t="s">
        <v>946</v>
      </c>
      <c r="U355" s="6" t="s">
        <v>933</v>
      </c>
      <c r="V355" s="2" t="s">
        <v>954</v>
      </c>
      <c r="W355" t="str">
        <f t="shared" si="5"/>
        <v>2000039709_20224</v>
      </c>
      <c r="X355" s="2" t="s">
        <v>1616</v>
      </c>
    </row>
    <row r="356" spans="1:24" hidden="1" x14ac:dyDescent="0.35">
      <c r="A356">
        <v>38</v>
      </c>
      <c r="B356">
        <v>2000039709</v>
      </c>
      <c r="C356" s="1">
        <v>45426</v>
      </c>
      <c r="D356" t="s">
        <v>1734</v>
      </c>
      <c r="E356" t="s">
        <v>18</v>
      </c>
      <c r="F356" t="s">
        <v>52</v>
      </c>
      <c r="G356" t="s">
        <v>1735</v>
      </c>
      <c r="H356" t="s">
        <v>1736</v>
      </c>
      <c r="I356" t="s">
        <v>22</v>
      </c>
      <c r="J356">
        <v>1</v>
      </c>
      <c r="K356">
        <v>3</v>
      </c>
      <c r="L356">
        <v>0</v>
      </c>
      <c r="M356">
        <v>0.81</v>
      </c>
      <c r="N356" t="s">
        <v>368</v>
      </c>
      <c r="O356" s="1">
        <v>46521</v>
      </c>
      <c r="R356" t="s">
        <v>1613</v>
      </c>
      <c r="S356" t="s">
        <v>915</v>
      </c>
      <c r="T356" s="5" t="s">
        <v>947</v>
      </c>
      <c r="U356" s="5" t="s">
        <v>951</v>
      </c>
      <c r="V356" t="s">
        <v>956</v>
      </c>
      <c r="W356" t="str">
        <f t="shared" si="5"/>
        <v>2000039709_20245</v>
      </c>
      <c r="X356" s="2" t="s">
        <v>1616</v>
      </c>
    </row>
    <row r="357" spans="1:24" hidden="1" x14ac:dyDescent="0.35">
      <c r="A357">
        <v>52</v>
      </c>
      <c r="B357">
        <v>2000040349</v>
      </c>
      <c r="C357" s="1">
        <v>45442</v>
      </c>
      <c r="D357" t="s">
        <v>1774</v>
      </c>
      <c r="E357" t="s">
        <v>18</v>
      </c>
      <c r="F357" t="s">
        <v>43</v>
      </c>
      <c r="G357" t="s">
        <v>1599</v>
      </c>
      <c r="H357" t="s">
        <v>1775</v>
      </c>
      <c r="I357" t="s">
        <v>41</v>
      </c>
      <c r="J357">
        <v>1</v>
      </c>
      <c r="K357">
        <v>3</v>
      </c>
      <c r="L357">
        <v>0</v>
      </c>
      <c r="M357">
        <v>1</v>
      </c>
      <c r="N357" t="s">
        <v>368</v>
      </c>
      <c r="O357" s="1">
        <v>46537</v>
      </c>
      <c r="R357" t="s">
        <v>1613</v>
      </c>
      <c r="S357" t="s">
        <v>915</v>
      </c>
      <c r="T357" s="5" t="s">
        <v>947</v>
      </c>
      <c r="U357" s="5" t="s">
        <v>938</v>
      </c>
      <c r="V357" t="s">
        <v>956</v>
      </c>
      <c r="W357" t="str">
        <f t="shared" si="5"/>
        <v>2000040349_20245</v>
      </c>
      <c r="X357" s="2" t="s">
        <v>1616</v>
      </c>
    </row>
    <row r="358" spans="1:24" hidden="1" x14ac:dyDescent="0.35">
      <c r="B358">
        <v>2000040664</v>
      </c>
      <c r="C358" s="1">
        <v>44035</v>
      </c>
      <c r="D358" t="s">
        <v>2828</v>
      </c>
      <c r="F358" t="s">
        <v>43</v>
      </c>
      <c r="G358" t="s">
        <v>1609</v>
      </c>
      <c r="H358" t="s">
        <v>2829</v>
      </c>
      <c r="I358" t="s">
        <v>22</v>
      </c>
      <c r="J358">
        <v>0.96499999999999997</v>
      </c>
      <c r="K358">
        <v>2.6</v>
      </c>
      <c r="L358">
        <v>1</v>
      </c>
      <c r="M358">
        <v>0.86</v>
      </c>
      <c r="N358" t="s">
        <v>2310</v>
      </c>
      <c r="O358" s="1">
        <v>44765</v>
      </c>
      <c r="S358" t="s">
        <v>915</v>
      </c>
      <c r="T358" s="6" t="s">
        <v>936</v>
      </c>
      <c r="U358" s="6" t="s">
        <v>934</v>
      </c>
      <c r="V358" s="2" t="s">
        <v>923</v>
      </c>
      <c r="W358" t="str">
        <f t="shared" si="5"/>
        <v>2000040664_20207</v>
      </c>
      <c r="X358" s="2" t="s">
        <v>1616</v>
      </c>
    </row>
    <row r="359" spans="1:24" hidden="1" x14ac:dyDescent="0.35">
      <c r="B359">
        <v>2000040664</v>
      </c>
      <c r="C359" s="1">
        <v>44746</v>
      </c>
      <c r="D359" t="s">
        <v>2828</v>
      </c>
      <c r="F359" t="s">
        <v>43</v>
      </c>
      <c r="G359" t="s">
        <v>1609</v>
      </c>
      <c r="H359" t="s">
        <v>2830</v>
      </c>
      <c r="I359" t="s">
        <v>22</v>
      </c>
      <c r="J359">
        <v>1</v>
      </c>
      <c r="K359">
        <v>3</v>
      </c>
      <c r="L359">
        <v>0</v>
      </c>
      <c r="M359">
        <v>0.98</v>
      </c>
      <c r="N359" t="s">
        <v>2314</v>
      </c>
      <c r="O359" s="1">
        <v>45842</v>
      </c>
      <c r="S359" t="s">
        <v>915</v>
      </c>
      <c r="T359" s="6" t="s">
        <v>936</v>
      </c>
      <c r="U359" s="6" t="s">
        <v>946</v>
      </c>
      <c r="V359" s="2" t="s">
        <v>954</v>
      </c>
      <c r="W359" t="str">
        <f t="shared" si="5"/>
        <v>2000040664_20227</v>
      </c>
      <c r="X359" s="2" t="s">
        <v>1616</v>
      </c>
    </row>
    <row r="360" spans="1:24" hidden="1" x14ac:dyDescent="0.35">
      <c r="A360">
        <v>44</v>
      </c>
      <c r="B360">
        <v>2000040770</v>
      </c>
      <c r="C360" s="1">
        <v>44141</v>
      </c>
      <c r="D360" t="s">
        <v>3884</v>
      </c>
      <c r="E360" t="s">
        <v>18</v>
      </c>
      <c r="F360" t="s">
        <v>39</v>
      </c>
      <c r="G360" t="s">
        <v>20</v>
      </c>
      <c r="H360" t="s">
        <v>124</v>
      </c>
      <c r="I360" t="s">
        <v>41</v>
      </c>
      <c r="J360">
        <v>0.79</v>
      </c>
      <c r="K360">
        <v>2.8</v>
      </c>
      <c r="L360">
        <v>5</v>
      </c>
      <c r="M360">
        <v>0.78</v>
      </c>
      <c r="N360" t="s">
        <v>28</v>
      </c>
      <c r="O360" s="1">
        <v>44871</v>
      </c>
      <c r="S360" t="s">
        <v>915</v>
      </c>
      <c r="T360" s="6" t="s">
        <v>945</v>
      </c>
      <c r="U360" s="6" t="s">
        <v>927</v>
      </c>
      <c r="V360" s="2" t="s">
        <v>923</v>
      </c>
      <c r="W360" t="str">
        <f t="shared" si="5"/>
        <v>2000040770_202011</v>
      </c>
      <c r="X360" s="2" t="s">
        <v>1615</v>
      </c>
    </row>
    <row r="361" spans="1:24" hidden="1" x14ac:dyDescent="0.35">
      <c r="A361">
        <v>79</v>
      </c>
      <c r="B361">
        <v>2000040770</v>
      </c>
      <c r="C361" s="1">
        <v>45219</v>
      </c>
      <c r="D361" t="s">
        <v>3884</v>
      </c>
      <c r="E361" t="s">
        <v>18</v>
      </c>
      <c r="F361" t="s">
        <v>39</v>
      </c>
      <c r="G361" t="s">
        <v>20</v>
      </c>
      <c r="H361" t="s">
        <v>526</v>
      </c>
      <c r="I361" t="s">
        <v>41</v>
      </c>
      <c r="J361">
        <v>0.94399999999999995</v>
      </c>
      <c r="K361">
        <v>2.8</v>
      </c>
      <c r="L361">
        <v>1</v>
      </c>
      <c r="M361">
        <v>0.86</v>
      </c>
      <c r="N361" t="s">
        <v>28</v>
      </c>
      <c r="O361" s="1">
        <v>45950</v>
      </c>
      <c r="S361" t="s">
        <v>915</v>
      </c>
      <c r="T361" s="6" t="s">
        <v>948</v>
      </c>
      <c r="U361" s="6" t="s">
        <v>932</v>
      </c>
      <c r="V361" s="2" t="s">
        <v>955</v>
      </c>
      <c r="W361" t="str">
        <f t="shared" si="5"/>
        <v>2000040770_202310</v>
      </c>
      <c r="X361" s="2" t="s">
        <v>1615</v>
      </c>
    </row>
    <row r="362" spans="1:24" hidden="1" x14ac:dyDescent="0.35">
      <c r="A362">
        <v>108</v>
      </c>
      <c r="B362">
        <v>2000040770</v>
      </c>
      <c r="C362" s="1">
        <v>44858</v>
      </c>
      <c r="D362" t="s">
        <v>3884</v>
      </c>
      <c r="E362" t="s">
        <v>18</v>
      </c>
      <c r="F362" t="s">
        <v>39</v>
      </c>
      <c r="G362" t="s">
        <v>20</v>
      </c>
      <c r="H362" t="s">
        <v>526</v>
      </c>
      <c r="I362" t="s">
        <v>41</v>
      </c>
      <c r="J362">
        <v>0.85</v>
      </c>
      <c r="K362">
        <v>2</v>
      </c>
      <c r="L362">
        <v>8</v>
      </c>
      <c r="M362">
        <v>0.84</v>
      </c>
      <c r="N362" t="s">
        <v>23</v>
      </c>
      <c r="O362" s="1">
        <v>45223</v>
      </c>
      <c r="S362" t="s">
        <v>915</v>
      </c>
      <c r="T362" s="6" t="s">
        <v>948</v>
      </c>
      <c r="U362" s="6" t="s">
        <v>935</v>
      </c>
      <c r="V362" s="2" t="s">
        <v>954</v>
      </c>
      <c r="W362" t="str">
        <f t="shared" si="5"/>
        <v>2000040770_202210</v>
      </c>
      <c r="X362" s="2" t="s">
        <v>1615</v>
      </c>
    </row>
    <row r="363" spans="1:24" hidden="1" x14ac:dyDescent="0.35">
      <c r="A363">
        <v>5</v>
      </c>
      <c r="B363">
        <v>2000059541</v>
      </c>
      <c r="C363" s="1">
        <v>45705</v>
      </c>
      <c r="D363" t="s">
        <v>537</v>
      </c>
      <c r="E363" t="s">
        <v>18</v>
      </c>
      <c r="F363" t="s">
        <v>39</v>
      </c>
      <c r="G363" t="s">
        <v>538</v>
      </c>
      <c r="H363" t="s">
        <v>539</v>
      </c>
      <c r="I363" t="s">
        <v>22</v>
      </c>
      <c r="J363">
        <v>0.82499999999999996</v>
      </c>
      <c r="K363">
        <v>3</v>
      </c>
      <c r="L363">
        <v>1</v>
      </c>
      <c r="M363">
        <v>0.76</v>
      </c>
      <c r="N363" t="s">
        <v>28</v>
      </c>
      <c r="O363" s="1">
        <v>46435</v>
      </c>
      <c r="S363" t="s">
        <v>915</v>
      </c>
      <c r="T363" s="5" t="s">
        <v>921</v>
      </c>
      <c r="U363" s="5" t="s">
        <v>929</v>
      </c>
      <c r="V363" t="s">
        <v>1650</v>
      </c>
      <c r="W363" t="str">
        <f t="shared" si="5"/>
        <v>2000059541_20252</v>
      </c>
      <c r="X363" t="s">
        <v>1615</v>
      </c>
    </row>
    <row r="364" spans="1:24" hidden="1" x14ac:dyDescent="0.35">
      <c r="B364">
        <v>2000042042</v>
      </c>
      <c r="C364" s="1">
        <v>44034</v>
      </c>
      <c r="D364" t="s">
        <v>3010</v>
      </c>
      <c r="F364" t="s">
        <v>39</v>
      </c>
      <c r="G364" t="s">
        <v>1606</v>
      </c>
      <c r="H364" t="s">
        <v>3011</v>
      </c>
      <c r="I364" t="s">
        <v>41</v>
      </c>
      <c r="J364">
        <v>0.8</v>
      </c>
      <c r="K364">
        <v>2.7</v>
      </c>
      <c r="L364">
        <v>3</v>
      </c>
      <c r="M364">
        <v>0.9</v>
      </c>
      <c r="N364" t="s">
        <v>2310</v>
      </c>
      <c r="O364" s="1">
        <v>44764</v>
      </c>
      <c r="S364" t="s">
        <v>915</v>
      </c>
      <c r="T364" s="6" t="s">
        <v>936</v>
      </c>
      <c r="U364" s="6" t="s">
        <v>933</v>
      </c>
      <c r="V364" s="2" t="s">
        <v>923</v>
      </c>
      <c r="W364" t="str">
        <f t="shared" si="5"/>
        <v>2000042042_20207</v>
      </c>
      <c r="X364" s="2" t="s">
        <v>1616</v>
      </c>
    </row>
    <row r="365" spans="1:24" hidden="1" x14ac:dyDescent="0.35">
      <c r="B365">
        <v>2000042042</v>
      </c>
      <c r="C365" s="1">
        <v>44755</v>
      </c>
      <c r="D365" t="s">
        <v>3010</v>
      </c>
      <c r="F365" t="s">
        <v>39</v>
      </c>
      <c r="G365" t="s">
        <v>1606</v>
      </c>
      <c r="H365" t="s">
        <v>3012</v>
      </c>
      <c r="I365" t="s">
        <v>41</v>
      </c>
      <c r="J365">
        <v>1</v>
      </c>
      <c r="K365">
        <v>3</v>
      </c>
      <c r="L365">
        <v>0</v>
      </c>
      <c r="M365">
        <v>0.9</v>
      </c>
      <c r="N365" t="s">
        <v>2314</v>
      </c>
      <c r="O365" s="1">
        <v>45851</v>
      </c>
      <c r="S365" t="s">
        <v>915</v>
      </c>
      <c r="T365" s="6" t="s">
        <v>936</v>
      </c>
      <c r="U365" s="6" t="s">
        <v>950</v>
      </c>
      <c r="V365" s="2" t="s">
        <v>954</v>
      </c>
      <c r="W365" t="str">
        <f t="shared" si="5"/>
        <v>2000042042_20227</v>
      </c>
      <c r="X365" s="2" t="s">
        <v>1616</v>
      </c>
    </row>
    <row r="366" spans="1:24" hidden="1" x14ac:dyDescent="0.35">
      <c r="B366">
        <v>2000042893</v>
      </c>
      <c r="C366" s="1">
        <v>44874</v>
      </c>
      <c r="D366" t="s">
        <v>3983</v>
      </c>
      <c r="F366" t="s">
        <v>1859</v>
      </c>
      <c r="G366" t="s">
        <v>1720</v>
      </c>
      <c r="H366" t="s">
        <v>2840</v>
      </c>
      <c r="I366" t="s">
        <v>22</v>
      </c>
      <c r="J366">
        <v>1</v>
      </c>
      <c r="K366">
        <v>3</v>
      </c>
      <c r="L366">
        <v>0</v>
      </c>
      <c r="M366">
        <v>0.94</v>
      </c>
      <c r="N366" t="s">
        <v>2314</v>
      </c>
      <c r="O366" s="1">
        <v>45970</v>
      </c>
      <c r="S366" t="s">
        <v>915</v>
      </c>
      <c r="T366" s="6" t="s">
        <v>945</v>
      </c>
      <c r="U366" s="6" t="s">
        <v>942</v>
      </c>
      <c r="V366" s="2" t="s">
        <v>954</v>
      </c>
      <c r="W366" t="str">
        <f t="shared" si="5"/>
        <v>2000042893_202211</v>
      </c>
      <c r="X366" s="2" t="s">
        <v>1616</v>
      </c>
    </row>
    <row r="367" spans="1:24" hidden="1" x14ac:dyDescent="0.35">
      <c r="B367">
        <v>2000043120</v>
      </c>
      <c r="C367" s="1">
        <v>44694</v>
      </c>
      <c r="D367" t="s">
        <v>3179</v>
      </c>
      <c r="F367" t="s">
        <v>148</v>
      </c>
      <c r="G367" t="s">
        <v>1911</v>
      </c>
      <c r="H367" t="s">
        <v>3180</v>
      </c>
      <c r="I367" t="s">
        <v>148</v>
      </c>
      <c r="J367">
        <v>0.89500000000000002</v>
      </c>
      <c r="K367">
        <v>3</v>
      </c>
      <c r="L367">
        <v>1</v>
      </c>
      <c r="M367">
        <v>0.66</v>
      </c>
      <c r="N367" t="s">
        <v>2310</v>
      </c>
      <c r="O367" s="1">
        <v>45425</v>
      </c>
      <c r="S367" t="s">
        <v>915</v>
      </c>
      <c r="T367" s="6" t="s">
        <v>947</v>
      </c>
      <c r="U367" s="6" t="s">
        <v>950</v>
      </c>
      <c r="V367" s="2" t="s">
        <v>954</v>
      </c>
      <c r="W367" t="str">
        <f t="shared" si="5"/>
        <v>2000043120_20225</v>
      </c>
      <c r="X367" s="2" t="s">
        <v>1616</v>
      </c>
    </row>
    <row r="368" spans="1:24" hidden="1" x14ac:dyDescent="0.35">
      <c r="A368">
        <v>28</v>
      </c>
      <c r="B368">
        <v>2000043120</v>
      </c>
      <c r="C368" s="1">
        <v>45406</v>
      </c>
      <c r="D368" t="s">
        <v>3179</v>
      </c>
      <c r="E368" t="s">
        <v>18</v>
      </c>
      <c r="F368" t="s">
        <v>148</v>
      </c>
      <c r="G368" t="s">
        <v>1708</v>
      </c>
      <c r="H368" t="s">
        <v>1709</v>
      </c>
      <c r="I368" t="s">
        <v>148</v>
      </c>
      <c r="J368">
        <v>1</v>
      </c>
      <c r="K368">
        <v>3</v>
      </c>
      <c r="L368">
        <v>0</v>
      </c>
      <c r="M368">
        <v>0.84</v>
      </c>
      <c r="N368" t="s">
        <v>368</v>
      </c>
      <c r="O368" s="1">
        <v>46501</v>
      </c>
      <c r="S368" t="s">
        <v>915</v>
      </c>
      <c r="T368" s="5" t="s">
        <v>946</v>
      </c>
      <c r="U368" s="5" t="s">
        <v>935</v>
      </c>
      <c r="V368" t="s">
        <v>956</v>
      </c>
      <c r="W368" t="str">
        <f t="shared" si="5"/>
        <v>2000043120_20244</v>
      </c>
      <c r="X368" s="2" t="s">
        <v>1616</v>
      </c>
    </row>
    <row r="369" spans="1:24" hidden="1" x14ac:dyDescent="0.35">
      <c r="B369">
        <v>2000043294</v>
      </c>
      <c r="C369" s="1">
        <v>43397</v>
      </c>
      <c r="D369" t="s">
        <v>2538</v>
      </c>
      <c r="F369" t="s">
        <v>43</v>
      </c>
      <c r="G369" t="s">
        <v>1817</v>
      </c>
      <c r="H369" t="s">
        <v>2539</v>
      </c>
      <c r="I369" t="s">
        <v>22</v>
      </c>
      <c r="J369">
        <v>0.97</v>
      </c>
      <c r="K369">
        <v>2.6</v>
      </c>
      <c r="L369">
        <v>2</v>
      </c>
      <c r="N369" t="str">
        <f>IF(K369&gt;=2.1,"2 years",IF(K369&gt;=1.1,"1 Years","06 Months"))</f>
        <v>2 years</v>
      </c>
      <c r="O369" s="1">
        <f>C369+(365*2)</f>
        <v>44127</v>
      </c>
      <c r="S369" t="s">
        <v>915</v>
      </c>
      <c r="T369" s="6" t="s">
        <v>948</v>
      </c>
      <c r="U369" s="6" t="s">
        <v>935</v>
      </c>
      <c r="V369" s="2" t="s">
        <v>2475</v>
      </c>
      <c r="W369" t="str">
        <f t="shared" si="5"/>
        <v>2000043294_201810</v>
      </c>
      <c r="X369" s="2" t="s">
        <v>1616</v>
      </c>
    </row>
    <row r="370" spans="1:24" hidden="1" x14ac:dyDescent="0.35">
      <c r="B370">
        <v>2000043294</v>
      </c>
      <c r="C370" s="1">
        <v>44110</v>
      </c>
      <c r="D370" t="s">
        <v>2538</v>
      </c>
      <c r="F370" t="s">
        <v>43</v>
      </c>
      <c r="G370" t="s">
        <v>1609</v>
      </c>
      <c r="H370" t="s">
        <v>2540</v>
      </c>
      <c r="I370" t="s">
        <v>22</v>
      </c>
      <c r="J370">
        <v>0.97399999999999998</v>
      </c>
      <c r="K370">
        <v>3</v>
      </c>
      <c r="L370">
        <v>0</v>
      </c>
      <c r="M370">
        <v>0.96</v>
      </c>
      <c r="N370" t="s">
        <v>2310</v>
      </c>
      <c r="O370" s="1">
        <v>44840</v>
      </c>
      <c r="S370" t="s">
        <v>915</v>
      </c>
      <c r="T370" s="6" t="s">
        <v>948</v>
      </c>
      <c r="U370" s="6" t="s">
        <v>927</v>
      </c>
      <c r="V370" s="2" t="s">
        <v>923</v>
      </c>
      <c r="W370" t="str">
        <f t="shared" si="5"/>
        <v>2000043294_202010</v>
      </c>
      <c r="X370" s="2" t="s">
        <v>1616</v>
      </c>
    </row>
    <row r="371" spans="1:24" hidden="1" x14ac:dyDescent="0.35">
      <c r="B371">
        <v>2000043294</v>
      </c>
      <c r="C371" s="1">
        <v>44727</v>
      </c>
      <c r="D371" t="s">
        <v>2538</v>
      </c>
      <c r="F371" t="s">
        <v>43</v>
      </c>
      <c r="G371" t="s">
        <v>1609</v>
      </c>
      <c r="H371" t="s">
        <v>2541</v>
      </c>
      <c r="I371" t="s">
        <v>22</v>
      </c>
      <c r="J371">
        <v>0.98399999999999999</v>
      </c>
      <c r="K371">
        <v>3</v>
      </c>
      <c r="L371">
        <v>0</v>
      </c>
      <c r="M371">
        <v>0.92</v>
      </c>
      <c r="N371" t="s">
        <v>2314</v>
      </c>
      <c r="O371" s="1">
        <v>45823</v>
      </c>
      <c r="S371" t="s">
        <v>915</v>
      </c>
      <c r="T371" s="6" t="s">
        <v>927</v>
      </c>
      <c r="U371" s="6" t="s">
        <v>943</v>
      </c>
      <c r="V371" s="2" t="s">
        <v>954</v>
      </c>
      <c r="W371" t="str">
        <f t="shared" si="5"/>
        <v>2000043294_20226</v>
      </c>
      <c r="X371" s="2" t="s">
        <v>1616</v>
      </c>
    </row>
    <row r="372" spans="1:24" hidden="1" x14ac:dyDescent="0.35">
      <c r="A372">
        <v>5</v>
      </c>
      <c r="B372">
        <v>2000056014</v>
      </c>
      <c r="C372" s="1">
        <v>45670</v>
      </c>
      <c r="D372" t="s">
        <v>3416</v>
      </c>
      <c r="E372" t="s">
        <v>18</v>
      </c>
      <c r="F372" t="s">
        <v>1602</v>
      </c>
      <c r="G372" t="s">
        <v>1603</v>
      </c>
      <c r="H372" t="s">
        <v>1612</v>
      </c>
      <c r="I372" t="s">
        <v>41</v>
      </c>
      <c r="J372">
        <v>0.96</v>
      </c>
      <c r="K372">
        <v>3</v>
      </c>
      <c r="L372">
        <v>1</v>
      </c>
      <c r="M372">
        <v>0.94</v>
      </c>
      <c r="N372" t="s">
        <v>368</v>
      </c>
      <c r="O372" s="1">
        <v>46765</v>
      </c>
      <c r="S372" t="s">
        <v>915</v>
      </c>
      <c r="T372" s="5" t="s">
        <v>953</v>
      </c>
      <c r="U372" s="5" t="s">
        <v>950</v>
      </c>
      <c r="V372" t="s">
        <v>1650</v>
      </c>
      <c r="W372" t="str">
        <f t="shared" si="5"/>
        <v>2000056014_20251</v>
      </c>
      <c r="X372" t="s">
        <v>1616</v>
      </c>
    </row>
    <row r="373" spans="1:24" hidden="1" x14ac:dyDescent="0.35">
      <c r="B373">
        <v>2000044192</v>
      </c>
      <c r="C373" s="1">
        <v>44867</v>
      </c>
      <c r="D373" t="s">
        <v>3945</v>
      </c>
      <c r="F373" t="s">
        <v>1859</v>
      </c>
      <c r="G373" t="s">
        <v>1609</v>
      </c>
      <c r="H373" t="s">
        <v>3153</v>
      </c>
      <c r="I373" t="s">
        <v>41</v>
      </c>
      <c r="J373">
        <v>1</v>
      </c>
      <c r="K373">
        <v>3</v>
      </c>
      <c r="L373">
        <v>0</v>
      </c>
      <c r="M373">
        <v>0.89</v>
      </c>
      <c r="N373" t="s">
        <v>2314</v>
      </c>
      <c r="O373" s="1">
        <v>45963</v>
      </c>
      <c r="S373" t="s">
        <v>915</v>
      </c>
      <c r="T373" s="6" t="s">
        <v>945</v>
      </c>
      <c r="U373" s="6" t="s">
        <v>921</v>
      </c>
      <c r="V373" s="2" t="s">
        <v>954</v>
      </c>
      <c r="W373" t="str">
        <f t="shared" si="5"/>
        <v>2000044192_202211</v>
      </c>
      <c r="X373" s="2" t="s">
        <v>1616</v>
      </c>
    </row>
    <row r="374" spans="1:24" hidden="1" x14ac:dyDescent="0.35">
      <c r="B374">
        <v>2000045041</v>
      </c>
      <c r="C374" s="1">
        <v>43908</v>
      </c>
      <c r="D374" t="s">
        <v>3109</v>
      </c>
      <c r="F374" t="s">
        <v>19</v>
      </c>
      <c r="G374" t="s">
        <v>1609</v>
      </c>
      <c r="H374" t="s">
        <v>3110</v>
      </c>
      <c r="I374" t="s">
        <v>22</v>
      </c>
      <c r="J374">
        <v>0.95689999999999997</v>
      </c>
      <c r="K374">
        <v>2.4</v>
      </c>
      <c r="L374">
        <v>2</v>
      </c>
      <c r="M374">
        <v>0.9</v>
      </c>
      <c r="N374" t="s">
        <v>2310</v>
      </c>
      <c r="O374" s="1">
        <v>44638</v>
      </c>
      <c r="S374" t="s">
        <v>915</v>
      </c>
      <c r="T374" s="6" t="s">
        <v>941</v>
      </c>
      <c r="U374" s="6" t="s">
        <v>930</v>
      </c>
      <c r="V374" s="2" t="s">
        <v>923</v>
      </c>
      <c r="W374" t="str">
        <f t="shared" si="5"/>
        <v>2000045041_20203</v>
      </c>
      <c r="X374" s="2" t="s">
        <v>1616</v>
      </c>
    </row>
    <row r="375" spans="1:24" hidden="1" x14ac:dyDescent="0.35">
      <c r="B375">
        <v>2000045041</v>
      </c>
      <c r="C375" s="1">
        <v>44630</v>
      </c>
      <c r="D375" t="s">
        <v>3109</v>
      </c>
      <c r="F375" t="s">
        <v>19</v>
      </c>
      <c r="G375" t="s">
        <v>1609</v>
      </c>
      <c r="H375" t="s">
        <v>3110</v>
      </c>
      <c r="I375" t="s">
        <v>22</v>
      </c>
      <c r="J375">
        <v>0.95199999999999996</v>
      </c>
      <c r="K375">
        <v>3</v>
      </c>
      <c r="L375">
        <v>1</v>
      </c>
      <c r="M375">
        <v>0.98</v>
      </c>
      <c r="N375" t="s">
        <v>2314</v>
      </c>
      <c r="O375" s="1">
        <v>45726</v>
      </c>
      <c r="S375" t="s">
        <v>915</v>
      </c>
      <c r="T375" s="6" t="s">
        <v>941</v>
      </c>
      <c r="U375" s="6" t="s">
        <v>948</v>
      </c>
      <c r="V375" s="2" t="s">
        <v>954</v>
      </c>
      <c r="W375" t="str">
        <f t="shared" si="5"/>
        <v>2000045041_20223</v>
      </c>
      <c r="X375" s="2" t="s">
        <v>1616</v>
      </c>
    </row>
    <row r="376" spans="1:24" hidden="1" x14ac:dyDescent="0.35">
      <c r="A376">
        <v>6</v>
      </c>
      <c r="B376">
        <v>2000055051</v>
      </c>
      <c r="C376" s="1">
        <v>45671</v>
      </c>
      <c r="D376" t="s">
        <v>2311</v>
      </c>
      <c r="E376" t="s">
        <v>18</v>
      </c>
      <c r="F376" t="s">
        <v>43</v>
      </c>
      <c r="G376" t="s">
        <v>1606</v>
      </c>
      <c r="H376" t="s">
        <v>1652</v>
      </c>
      <c r="I376" t="s">
        <v>22</v>
      </c>
      <c r="J376">
        <v>1</v>
      </c>
      <c r="K376">
        <v>3</v>
      </c>
      <c r="L376">
        <v>0</v>
      </c>
      <c r="M376">
        <v>0.95</v>
      </c>
      <c r="N376" t="s">
        <v>368</v>
      </c>
      <c r="O376" s="1">
        <v>46766</v>
      </c>
      <c r="P376" t="s">
        <v>279</v>
      </c>
      <c r="Q376" t="s">
        <v>3417</v>
      </c>
      <c r="S376" t="s">
        <v>915</v>
      </c>
      <c r="T376" s="5" t="s">
        <v>953</v>
      </c>
      <c r="U376" s="5" t="s">
        <v>951</v>
      </c>
      <c r="V376" t="s">
        <v>1650</v>
      </c>
      <c r="W376" t="str">
        <f t="shared" si="5"/>
        <v>2000055051_20251</v>
      </c>
      <c r="X376" t="s">
        <v>1616</v>
      </c>
    </row>
    <row r="377" spans="1:24" hidden="1" x14ac:dyDescent="0.35">
      <c r="B377">
        <v>2000045857</v>
      </c>
      <c r="C377" s="1">
        <v>44823</v>
      </c>
      <c r="D377" t="s">
        <v>2679</v>
      </c>
      <c r="F377" t="s">
        <v>1859</v>
      </c>
      <c r="G377" t="s">
        <v>1606</v>
      </c>
      <c r="H377" t="s">
        <v>2680</v>
      </c>
      <c r="I377" t="s">
        <v>22</v>
      </c>
      <c r="J377">
        <v>0.98899999999999999</v>
      </c>
      <c r="K377">
        <v>3</v>
      </c>
      <c r="L377">
        <v>1</v>
      </c>
      <c r="M377">
        <v>0.97</v>
      </c>
      <c r="N377" t="s">
        <v>2314</v>
      </c>
      <c r="O377" s="1">
        <v>45919</v>
      </c>
      <c r="S377" t="s">
        <v>915</v>
      </c>
      <c r="T377" s="6" t="s">
        <v>942</v>
      </c>
      <c r="U377" s="6" t="s">
        <v>931</v>
      </c>
      <c r="V377" s="2" t="s">
        <v>954</v>
      </c>
      <c r="W377" t="str">
        <f t="shared" si="5"/>
        <v>2000045857_20229</v>
      </c>
      <c r="X377" s="2" t="s">
        <v>1616</v>
      </c>
    </row>
    <row r="378" spans="1:24" hidden="1" x14ac:dyDescent="0.35">
      <c r="A378">
        <v>18</v>
      </c>
      <c r="B378">
        <v>2000047814</v>
      </c>
      <c r="C378" s="1">
        <v>45378</v>
      </c>
      <c r="D378" t="s">
        <v>1682</v>
      </c>
      <c r="E378" t="s">
        <v>18</v>
      </c>
      <c r="F378" t="s">
        <v>148</v>
      </c>
      <c r="G378" t="s">
        <v>1606</v>
      </c>
      <c r="H378" t="s">
        <v>1683</v>
      </c>
      <c r="I378" t="s">
        <v>148</v>
      </c>
      <c r="J378">
        <v>1</v>
      </c>
      <c r="K378">
        <v>3</v>
      </c>
      <c r="L378">
        <v>0</v>
      </c>
      <c r="M378">
        <v>1</v>
      </c>
      <c r="N378" t="s">
        <v>368</v>
      </c>
      <c r="O378" s="1">
        <v>46473</v>
      </c>
      <c r="Q378" t="s">
        <v>50</v>
      </c>
      <c r="S378" t="s">
        <v>915</v>
      </c>
      <c r="T378" s="5" t="s">
        <v>941</v>
      </c>
      <c r="U378" s="5" t="s">
        <v>925</v>
      </c>
      <c r="V378" t="s">
        <v>956</v>
      </c>
      <c r="W378" t="str">
        <f t="shared" si="5"/>
        <v>2000047814_20243</v>
      </c>
      <c r="X378" s="2" t="s">
        <v>1616</v>
      </c>
    </row>
    <row r="379" spans="1:24" hidden="1" x14ac:dyDescent="0.35">
      <c r="B379">
        <v>2000047814</v>
      </c>
      <c r="C379" s="1">
        <v>44293</v>
      </c>
      <c r="D379" t="s">
        <v>1682</v>
      </c>
      <c r="F379" t="s">
        <v>148</v>
      </c>
      <c r="G379" t="s">
        <v>1606</v>
      </c>
      <c r="H379" t="s">
        <v>1683</v>
      </c>
      <c r="I379" t="s">
        <v>148</v>
      </c>
      <c r="J379">
        <v>0.95</v>
      </c>
      <c r="K379">
        <v>3</v>
      </c>
      <c r="L379">
        <v>2</v>
      </c>
      <c r="M379">
        <v>0.96</v>
      </c>
      <c r="N379" t="s">
        <v>2314</v>
      </c>
      <c r="O379" s="1">
        <v>45389</v>
      </c>
      <c r="S379" t="s">
        <v>915</v>
      </c>
      <c r="T379" s="6" t="s">
        <v>946</v>
      </c>
      <c r="U379" s="6" t="s">
        <v>936</v>
      </c>
      <c r="V379" s="2" t="s">
        <v>952</v>
      </c>
      <c r="W379" t="str">
        <f t="shared" si="5"/>
        <v>2000047814_20214</v>
      </c>
      <c r="X379" s="2" t="s">
        <v>1616</v>
      </c>
    </row>
    <row r="380" spans="1:24" hidden="1" x14ac:dyDescent="0.35">
      <c r="A380">
        <v>64</v>
      </c>
      <c r="B380">
        <v>2000049419</v>
      </c>
      <c r="C380" s="1">
        <v>45175</v>
      </c>
      <c r="D380" t="s">
        <v>612</v>
      </c>
      <c r="E380" t="s">
        <v>18</v>
      </c>
      <c r="F380" t="s">
        <v>473</v>
      </c>
      <c r="G380" t="s">
        <v>82</v>
      </c>
      <c r="H380" t="s">
        <v>613</v>
      </c>
      <c r="I380" t="s">
        <v>22</v>
      </c>
      <c r="J380">
        <v>0.97599999999999998</v>
      </c>
      <c r="K380">
        <v>3</v>
      </c>
      <c r="L380">
        <v>1</v>
      </c>
      <c r="M380">
        <v>0.99</v>
      </c>
      <c r="N380" t="s">
        <v>368</v>
      </c>
      <c r="O380" s="1">
        <v>46271</v>
      </c>
      <c r="Q380" t="s">
        <v>614</v>
      </c>
      <c r="S380" t="s">
        <v>915</v>
      </c>
      <c r="T380" s="6" t="s">
        <v>942</v>
      </c>
      <c r="U380" s="6" t="s">
        <v>927</v>
      </c>
      <c r="V380" s="2" t="s">
        <v>955</v>
      </c>
      <c r="W380" t="str">
        <f t="shared" si="5"/>
        <v>2000049419_20239</v>
      </c>
      <c r="X380" s="2" t="s">
        <v>1615</v>
      </c>
    </row>
    <row r="381" spans="1:24" hidden="1" x14ac:dyDescent="0.35">
      <c r="B381">
        <v>2000049910</v>
      </c>
      <c r="C381" s="1">
        <v>43901</v>
      </c>
      <c r="D381" t="s">
        <v>2765</v>
      </c>
      <c r="F381" t="s">
        <v>43</v>
      </c>
      <c r="G381" t="s">
        <v>1606</v>
      </c>
      <c r="H381" t="s">
        <v>2766</v>
      </c>
      <c r="I381" t="s">
        <v>22</v>
      </c>
      <c r="J381">
        <v>0.97460000000000002</v>
      </c>
      <c r="K381">
        <v>3</v>
      </c>
      <c r="L381">
        <v>3</v>
      </c>
      <c r="M381">
        <v>0.9</v>
      </c>
      <c r="N381" t="s">
        <v>2310</v>
      </c>
      <c r="O381" s="1">
        <v>44631</v>
      </c>
      <c r="S381" t="s">
        <v>915</v>
      </c>
      <c r="T381" s="6" t="s">
        <v>941</v>
      </c>
      <c r="U381" s="6" t="s">
        <v>945</v>
      </c>
      <c r="V381" s="2" t="s">
        <v>923</v>
      </c>
      <c r="W381" t="str">
        <f t="shared" si="5"/>
        <v>2000049910_20203</v>
      </c>
      <c r="X381" s="2" t="s">
        <v>1616</v>
      </c>
    </row>
    <row r="382" spans="1:24" hidden="1" x14ac:dyDescent="0.35">
      <c r="B382">
        <v>2000049910</v>
      </c>
      <c r="C382" s="1">
        <v>44614</v>
      </c>
      <c r="D382" t="s">
        <v>2765</v>
      </c>
      <c r="F382" t="s">
        <v>43</v>
      </c>
      <c r="G382" t="s">
        <v>1606</v>
      </c>
      <c r="H382" t="s">
        <v>2767</v>
      </c>
      <c r="I382" t="s">
        <v>22</v>
      </c>
      <c r="J382">
        <v>0.96199999999999997</v>
      </c>
      <c r="K382">
        <v>3</v>
      </c>
      <c r="L382">
        <v>5</v>
      </c>
      <c r="M382">
        <v>0.98</v>
      </c>
      <c r="N382" t="s">
        <v>2314</v>
      </c>
      <c r="O382" s="1">
        <v>45710</v>
      </c>
      <c r="S382" t="s">
        <v>915</v>
      </c>
      <c r="T382" s="6" t="s">
        <v>921</v>
      </c>
      <c r="U382" s="6" t="s">
        <v>933</v>
      </c>
      <c r="V382" s="2" t="s">
        <v>954</v>
      </c>
      <c r="W382" t="str">
        <f t="shared" si="5"/>
        <v>2000049910_20222</v>
      </c>
      <c r="X382" s="2" t="s">
        <v>1616</v>
      </c>
    </row>
    <row r="383" spans="1:24" hidden="1" x14ac:dyDescent="0.35">
      <c r="A383">
        <v>7</v>
      </c>
      <c r="B383">
        <v>2000056203</v>
      </c>
      <c r="C383" s="1">
        <v>45671</v>
      </c>
      <c r="D383" t="s">
        <v>3418</v>
      </c>
      <c r="E383" t="s">
        <v>18</v>
      </c>
      <c r="F383" t="s">
        <v>148</v>
      </c>
      <c r="G383" t="s">
        <v>1606</v>
      </c>
      <c r="H383" t="s">
        <v>1654</v>
      </c>
      <c r="I383" t="s">
        <v>22</v>
      </c>
      <c r="J383">
        <v>0.91300000000000003</v>
      </c>
      <c r="K383">
        <v>3</v>
      </c>
      <c r="L383">
        <v>3</v>
      </c>
      <c r="M383">
        <v>0.75</v>
      </c>
      <c r="N383" t="s">
        <v>368</v>
      </c>
      <c r="O383" s="1">
        <v>46766</v>
      </c>
      <c r="S383" t="s">
        <v>915</v>
      </c>
      <c r="T383" s="5" t="s">
        <v>953</v>
      </c>
      <c r="U383" s="5" t="s">
        <v>951</v>
      </c>
      <c r="V383" t="s">
        <v>1650</v>
      </c>
      <c r="W383" t="str">
        <f t="shared" si="5"/>
        <v>2000056203_20251</v>
      </c>
      <c r="X383" t="s">
        <v>1616</v>
      </c>
    </row>
    <row r="384" spans="1:24" hidden="1" x14ac:dyDescent="0.35">
      <c r="A384">
        <v>88</v>
      </c>
      <c r="B384">
        <v>2000050020</v>
      </c>
      <c r="C384" s="1">
        <v>45254</v>
      </c>
      <c r="D384" t="s">
        <v>4001</v>
      </c>
      <c r="E384" t="s">
        <v>18</v>
      </c>
      <c r="F384" t="s">
        <v>52</v>
      </c>
      <c r="G384" t="s">
        <v>33</v>
      </c>
      <c r="H384" t="s">
        <v>639</v>
      </c>
      <c r="I384" t="s">
        <v>41</v>
      </c>
      <c r="J384">
        <v>0.85299999999999998</v>
      </c>
      <c r="K384">
        <v>2.7</v>
      </c>
      <c r="L384">
        <v>4</v>
      </c>
      <c r="M384">
        <v>0.74</v>
      </c>
      <c r="N384" t="s">
        <v>28</v>
      </c>
      <c r="O384" s="1">
        <v>45985</v>
      </c>
      <c r="S384" t="s">
        <v>915</v>
      </c>
      <c r="T384" s="6" t="s">
        <v>945</v>
      </c>
      <c r="U384" s="6" t="s">
        <v>935</v>
      </c>
      <c r="V384" s="2" t="s">
        <v>955</v>
      </c>
      <c r="W384" t="str">
        <f t="shared" si="5"/>
        <v>2000050020_202311</v>
      </c>
      <c r="X384" s="2" t="s">
        <v>1615</v>
      </c>
    </row>
    <row r="385" spans="1:24" hidden="1" x14ac:dyDescent="0.35">
      <c r="B385">
        <v>2000051237</v>
      </c>
      <c r="C385" s="1">
        <v>44748</v>
      </c>
      <c r="D385" t="s">
        <v>1746</v>
      </c>
      <c r="F385" t="s">
        <v>19</v>
      </c>
      <c r="G385" t="s">
        <v>1747</v>
      </c>
      <c r="H385" t="s">
        <v>3147</v>
      </c>
      <c r="I385" t="s">
        <v>22</v>
      </c>
      <c r="J385">
        <v>0.82799999999999996</v>
      </c>
      <c r="K385">
        <v>3</v>
      </c>
      <c r="L385">
        <v>0</v>
      </c>
      <c r="M385">
        <v>1</v>
      </c>
      <c r="N385" t="s">
        <v>2310</v>
      </c>
      <c r="O385" s="1">
        <v>45479</v>
      </c>
      <c r="S385" t="s">
        <v>915</v>
      </c>
      <c r="T385" s="6" t="s">
        <v>936</v>
      </c>
      <c r="U385" s="6" t="s">
        <v>927</v>
      </c>
      <c r="V385" s="2" t="s">
        <v>954</v>
      </c>
      <c r="W385" t="str">
        <f t="shared" si="5"/>
        <v>2000051237_20227</v>
      </c>
      <c r="X385" s="2" t="s">
        <v>1616</v>
      </c>
    </row>
    <row r="386" spans="1:24" hidden="1" x14ac:dyDescent="0.35">
      <c r="A386">
        <v>42</v>
      </c>
      <c r="B386">
        <v>2000051237</v>
      </c>
      <c r="C386" s="1">
        <v>45428</v>
      </c>
      <c r="D386" t="s">
        <v>1746</v>
      </c>
      <c r="E386" t="s">
        <v>18</v>
      </c>
      <c r="F386" t="s">
        <v>19</v>
      </c>
      <c r="G386" t="s">
        <v>1747</v>
      </c>
      <c r="H386" t="s">
        <v>1748</v>
      </c>
      <c r="I386" t="s">
        <v>22</v>
      </c>
      <c r="J386">
        <v>0.99199999999999999</v>
      </c>
      <c r="K386">
        <v>3</v>
      </c>
      <c r="L386">
        <v>0</v>
      </c>
      <c r="M386">
        <v>1</v>
      </c>
      <c r="N386" t="s">
        <v>368</v>
      </c>
      <c r="O386" s="1">
        <v>46523</v>
      </c>
      <c r="P386" t="s">
        <v>566</v>
      </c>
      <c r="Q386" t="s">
        <v>30</v>
      </c>
      <c r="R386" t="s">
        <v>1613</v>
      </c>
      <c r="S386" t="s">
        <v>915</v>
      </c>
      <c r="T386" s="5" t="s">
        <v>947</v>
      </c>
      <c r="U386" s="5" t="s">
        <v>928</v>
      </c>
      <c r="V386" t="s">
        <v>956</v>
      </c>
      <c r="W386" t="str">
        <f t="shared" ref="W386:W449" si="6">CONCATENATE(B386,"_",V386,T386)</f>
        <v>2000051237_20245</v>
      </c>
      <c r="X386" s="2" t="s">
        <v>1616</v>
      </c>
    </row>
    <row r="387" spans="1:24" hidden="1" x14ac:dyDescent="0.35">
      <c r="A387">
        <v>65</v>
      </c>
      <c r="B387">
        <v>2000053325</v>
      </c>
      <c r="C387" s="1">
        <v>44455</v>
      </c>
      <c r="D387" t="s">
        <v>275</v>
      </c>
      <c r="E387" t="s">
        <v>18</v>
      </c>
      <c r="F387" t="s">
        <v>39</v>
      </c>
      <c r="G387" t="s">
        <v>20</v>
      </c>
      <c r="H387" t="s">
        <v>276</v>
      </c>
      <c r="I387" t="s">
        <v>41</v>
      </c>
      <c r="J387">
        <v>0.76300000000000001</v>
      </c>
      <c r="K387">
        <v>2.7</v>
      </c>
      <c r="L387">
        <v>2</v>
      </c>
      <c r="M387">
        <v>0.74</v>
      </c>
      <c r="N387" t="s">
        <v>23</v>
      </c>
      <c r="O387" s="1">
        <v>44820</v>
      </c>
      <c r="S387" t="s">
        <v>915</v>
      </c>
      <c r="T387" s="6" t="s">
        <v>942</v>
      </c>
      <c r="U387" s="6" t="s">
        <v>928</v>
      </c>
      <c r="V387" s="2" t="s">
        <v>952</v>
      </c>
      <c r="W387" t="str">
        <f t="shared" si="6"/>
        <v>2000053325_20219</v>
      </c>
      <c r="X387" s="2" t="s">
        <v>1615</v>
      </c>
    </row>
    <row r="388" spans="1:24" hidden="1" x14ac:dyDescent="0.35">
      <c r="A388">
        <v>90</v>
      </c>
      <c r="B388">
        <v>2000053325</v>
      </c>
      <c r="C388" s="1">
        <v>44826</v>
      </c>
      <c r="D388" t="s">
        <v>275</v>
      </c>
      <c r="E388" t="s">
        <v>18</v>
      </c>
      <c r="F388" t="s">
        <v>373</v>
      </c>
      <c r="G388" t="s">
        <v>20</v>
      </c>
      <c r="H388" t="s">
        <v>509</v>
      </c>
      <c r="I388" t="s">
        <v>41</v>
      </c>
      <c r="J388">
        <v>0.86099999999999999</v>
      </c>
      <c r="K388">
        <v>2.6</v>
      </c>
      <c r="L388">
        <v>3</v>
      </c>
      <c r="M388">
        <v>0.75</v>
      </c>
      <c r="N388" t="s">
        <v>28</v>
      </c>
      <c r="O388" s="1">
        <v>45557</v>
      </c>
      <c r="S388" t="s">
        <v>915</v>
      </c>
      <c r="T388" s="6" t="s">
        <v>942</v>
      </c>
      <c r="U388" s="6" t="s">
        <v>933</v>
      </c>
      <c r="V388" s="2" t="s">
        <v>954</v>
      </c>
      <c r="W388" t="str">
        <f t="shared" si="6"/>
        <v>2000053325_20229</v>
      </c>
      <c r="X388" s="2" t="s">
        <v>1615</v>
      </c>
    </row>
    <row r="389" spans="1:24" hidden="1" x14ac:dyDescent="0.35">
      <c r="A389">
        <v>67</v>
      </c>
      <c r="B389">
        <v>2000053325</v>
      </c>
      <c r="C389" s="1">
        <v>45552</v>
      </c>
      <c r="D389" t="s">
        <v>275</v>
      </c>
      <c r="E389" t="s">
        <v>18</v>
      </c>
      <c r="F389" t="s">
        <v>52</v>
      </c>
      <c r="G389" t="s">
        <v>26</v>
      </c>
      <c r="H389" t="s">
        <v>508</v>
      </c>
      <c r="I389" t="s">
        <v>43</v>
      </c>
      <c r="J389">
        <v>0.83299999999999996</v>
      </c>
      <c r="K389">
        <v>2.7</v>
      </c>
      <c r="L389">
        <v>1</v>
      </c>
      <c r="M389">
        <v>0.56000000000000005</v>
      </c>
      <c r="N389" t="s">
        <v>28</v>
      </c>
      <c r="O389" s="1">
        <v>46282</v>
      </c>
      <c r="S389" t="s">
        <v>915</v>
      </c>
      <c r="T389" s="6" t="s">
        <v>942</v>
      </c>
      <c r="U389" s="6" t="s">
        <v>929</v>
      </c>
      <c r="V389" s="2" t="s">
        <v>956</v>
      </c>
      <c r="W389" t="str">
        <f t="shared" si="6"/>
        <v>2000053325_20249</v>
      </c>
      <c r="X389" s="2" t="s">
        <v>1615</v>
      </c>
    </row>
    <row r="390" spans="1:24" hidden="1" x14ac:dyDescent="0.35">
      <c r="A390">
        <v>26</v>
      </c>
      <c r="B390">
        <v>2000055043</v>
      </c>
      <c r="C390" s="1">
        <v>45399</v>
      </c>
      <c r="D390" t="s">
        <v>1703</v>
      </c>
      <c r="E390" t="s">
        <v>18</v>
      </c>
      <c r="F390" t="s">
        <v>376</v>
      </c>
      <c r="G390" t="s">
        <v>1687</v>
      </c>
      <c r="H390" t="s">
        <v>1704</v>
      </c>
      <c r="I390" t="s">
        <v>41</v>
      </c>
      <c r="J390">
        <v>0.98099999999999998</v>
      </c>
      <c r="K390">
        <v>3</v>
      </c>
      <c r="L390">
        <v>0</v>
      </c>
      <c r="M390">
        <v>1</v>
      </c>
      <c r="N390" t="s">
        <v>368</v>
      </c>
      <c r="O390" s="1">
        <v>46494</v>
      </c>
      <c r="S390" t="s">
        <v>915</v>
      </c>
      <c r="T390" s="5" t="s">
        <v>946</v>
      </c>
      <c r="U390" s="5" t="s">
        <v>929</v>
      </c>
      <c r="V390" t="s">
        <v>956</v>
      </c>
      <c r="W390" t="str">
        <f t="shared" si="6"/>
        <v>2000055043_20244</v>
      </c>
      <c r="X390" s="2" t="s">
        <v>1616</v>
      </c>
    </row>
    <row r="391" spans="1:24" hidden="1" x14ac:dyDescent="0.35">
      <c r="B391">
        <v>2000055051</v>
      </c>
      <c r="C391" s="1">
        <v>43881</v>
      </c>
      <c r="D391" t="s">
        <v>2311</v>
      </c>
      <c r="F391" t="s">
        <v>43</v>
      </c>
      <c r="G391" t="s">
        <v>1603</v>
      </c>
      <c r="H391" t="s">
        <v>2312</v>
      </c>
      <c r="I391" t="s">
        <v>22</v>
      </c>
      <c r="J391">
        <v>0.98360000000000003</v>
      </c>
      <c r="K391">
        <v>3</v>
      </c>
      <c r="L391">
        <v>0</v>
      </c>
      <c r="M391">
        <v>0.96</v>
      </c>
      <c r="N391" t="s">
        <v>2310</v>
      </c>
      <c r="O391" s="1">
        <v>44612</v>
      </c>
      <c r="S391" t="s">
        <v>915</v>
      </c>
      <c r="T391" s="6" t="s">
        <v>921</v>
      </c>
      <c r="U391" s="6" t="s">
        <v>932</v>
      </c>
      <c r="V391" s="2" t="s">
        <v>923</v>
      </c>
      <c r="W391" t="str">
        <f t="shared" si="6"/>
        <v>2000055051_20202</v>
      </c>
      <c r="X391" s="2" t="s">
        <v>1616</v>
      </c>
    </row>
    <row r="392" spans="1:24" hidden="1" x14ac:dyDescent="0.35">
      <c r="B392">
        <v>2000055051</v>
      </c>
      <c r="C392" s="1">
        <v>44566</v>
      </c>
      <c r="D392" t="s">
        <v>2311</v>
      </c>
      <c r="F392" t="s">
        <v>43</v>
      </c>
      <c r="G392" t="s">
        <v>1603</v>
      </c>
      <c r="H392" t="s">
        <v>2313</v>
      </c>
      <c r="I392" t="s">
        <v>22</v>
      </c>
      <c r="J392">
        <v>0.92200000000000004</v>
      </c>
      <c r="K392">
        <v>3</v>
      </c>
      <c r="L392">
        <v>4</v>
      </c>
      <c r="M392">
        <v>0.84</v>
      </c>
      <c r="N392" t="s">
        <v>2314</v>
      </c>
      <c r="O392" s="1">
        <v>45662</v>
      </c>
      <c r="S392" t="s">
        <v>915</v>
      </c>
      <c r="T392" s="6" t="s">
        <v>953</v>
      </c>
      <c r="U392" s="6" t="s">
        <v>947</v>
      </c>
      <c r="V392" s="2" t="s">
        <v>954</v>
      </c>
      <c r="W392" t="str">
        <f t="shared" si="6"/>
        <v>2000055051_20221</v>
      </c>
      <c r="X392" s="2" t="s">
        <v>1616</v>
      </c>
    </row>
    <row r="393" spans="1:24" hidden="1" x14ac:dyDescent="0.35">
      <c r="A393">
        <v>8</v>
      </c>
      <c r="B393">
        <v>2000059823</v>
      </c>
      <c r="C393" s="1">
        <v>45672</v>
      </c>
      <c r="D393" t="s">
        <v>3419</v>
      </c>
      <c r="E393" t="s">
        <v>18</v>
      </c>
      <c r="F393" t="s">
        <v>43</v>
      </c>
      <c r="G393" t="s">
        <v>1657</v>
      </c>
      <c r="H393" t="s">
        <v>1658</v>
      </c>
      <c r="I393" t="s">
        <v>41</v>
      </c>
      <c r="J393">
        <v>0.98399999999999999</v>
      </c>
      <c r="K393">
        <v>3</v>
      </c>
      <c r="L393">
        <v>0</v>
      </c>
      <c r="M393">
        <v>0.88</v>
      </c>
      <c r="N393" t="s">
        <v>368</v>
      </c>
      <c r="O393" s="1">
        <v>46767</v>
      </c>
      <c r="S393" t="s">
        <v>915</v>
      </c>
      <c r="T393" s="5" t="s">
        <v>953</v>
      </c>
      <c r="U393" s="5" t="s">
        <v>943</v>
      </c>
      <c r="V393" t="s">
        <v>1650</v>
      </c>
      <c r="W393" t="str">
        <f t="shared" si="6"/>
        <v>2000059823_20251</v>
      </c>
      <c r="X393" t="s">
        <v>1616</v>
      </c>
    </row>
    <row r="394" spans="1:24" hidden="1" x14ac:dyDescent="0.35">
      <c r="B394">
        <v>2000055055</v>
      </c>
      <c r="C394" s="1">
        <v>43948</v>
      </c>
      <c r="D394" t="s">
        <v>2315</v>
      </c>
      <c r="F394" t="s">
        <v>32</v>
      </c>
      <c r="G394" t="s">
        <v>1603</v>
      </c>
      <c r="H394" t="s">
        <v>2316</v>
      </c>
      <c r="I394" t="s">
        <v>41</v>
      </c>
      <c r="J394">
        <v>0.72729999999999995</v>
      </c>
      <c r="K394">
        <v>2.6</v>
      </c>
      <c r="L394">
        <v>3</v>
      </c>
      <c r="M394">
        <v>0.93</v>
      </c>
      <c r="N394" t="s">
        <v>2310</v>
      </c>
      <c r="O394" s="1">
        <v>44678</v>
      </c>
      <c r="S394" t="s">
        <v>915</v>
      </c>
      <c r="T394" s="6" t="s">
        <v>946</v>
      </c>
      <c r="U394" s="6" t="s">
        <v>925</v>
      </c>
      <c r="V394" s="2" t="s">
        <v>923</v>
      </c>
      <c r="W394" t="str">
        <f t="shared" si="6"/>
        <v>2000055055_20204</v>
      </c>
      <c r="X394" s="2" t="s">
        <v>1616</v>
      </c>
    </row>
    <row r="395" spans="1:24" hidden="1" x14ac:dyDescent="0.35">
      <c r="B395">
        <v>2000055055</v>
      </c>
      <c r="C395" s="1">
        <v>44719</v>
      </c>
      <c r="D395" t="s">
        <v>2315</v>
      </c>
      <c r="F395" t="s">
        <v>32</v>
      </c>
      <c r="G395" t="s">
        <v>1603</v>
      </c>
      <c r="H395" t="s">
        <v>2317</v>
      </c>
      <c r="I395" t="s">
        <v>41</v>
      </c>
      <c r="J395">
        <v>0.9</v>
      </c>
      <c r="K395">
        <v>3</v>
      </c>
      <c r="L395">
        <v>1</v>
      </c>
      <c r="M395">
        <v>0.95</v>
      </c>
      <c r="N395" t="s">
        <v>2314</v>
      </c>
      <c r="O395" s="1">
        <v>45815</v>
      </c>
      <c r="S395" t="s">
        <v>915</v>
      </c>
      <c r="T395" s="6" t="s">
        <v>927</v>
      </c>
      <c r="U395" s="6" t="s">
        <v>936</v>
      </c>
      <c r="V395" s="2" t="s">
        <v>954</v>
      </c>
      <c r="W395" t="str">
        <f t="shared" si="6"/>
        <v>2000055055_20226</v>
      </c>
      <c r="X395" s="2" t="s">
        <v>1616</v>
      </c>
    </row>
    <row r="396" spans="1:24" hidden="1" x14ac:dyDescent="0.35">
      <c r="B396">
        <v>2000055070</v>
      </c>
      <c r="C396" s="1">
        <v>44112</v>
      </c>
      <c r="D396" t="s">
        <v>2318</v>
      </c>
      <c r="F396" t="s">
        <v>43</v>
      </c>
      <c r="G396" t="s">
        <v>1609</v>
      </c>
      <c r="H396" t="s">
        <v>2319</v>
      </c>
      <c r="I396" t="s">
        <v>22</v>
      </c>
      <c r="J396">
        <v>0.94199999999999995</v>
      </c>
      <c r="K396">
        <v>3</v>
      </c>
      <c r="L396">
        <v>1</v>
      </c>
      <c r="M396">
        <v>1</v>
      </c>
      <c r="N396" t="s">
        <v>2310</v>
      </c>
      <c r="O396" s="1">
        <v>44842</v>
      </c>
      <c r="S396" t="s">
        <v>915</v>
      </c>
      <c r="T396" s="6" t="s">
        <v>948</v>
      </c>
      <c r="U396" s="6" t="s">
        <v>940</v>
      </c>
      <c r="V396" s="2" t="s">
        <v>923</v>
      </c>
      <c r="W396" t="str">
        <f t="shared" si="6"/>
        <v>2000055070_202010</v>
      </c>
      <c r="X396" s="2" t="s">
        <v>1616</v>
      </c>
    </row>
    <row r="397" spans="1:24" hidden="1" x14ac:dyDescent="0.35">
      <c r="B397">
        <v>2000055070</v>
      </c>
      <c r="C397" s="1">
        <v>44770</v>
      </c>
      <c r="D397" t="s">
        <v>2318</v>
      </c>
      <c r="F397" t="s">
        <v>43</v>
      </c>
      <c r="G397" t="s">
        <v>1609</v>
      </c>
      <c r="H397" t="s">
        <v>2320</v>
      </c>
      <c r="I397" t="s">
        <v>22</v>
      </c>
      <c r="J397">
        <v>1</v>
      </c>
      <c r="K397">
        <v>3</v>
      </c>
      <c r="L397">
        <v>0</v>
      </c>
      <c r="M397">
        <v>0.93</v>
      </c>
      <c r="N397" t="s">
        <v>2314</v>
      </c>
      <c r="O397" s="1">
        <v>45866</v>
      </c>
      <c r="S397" t="s">
        <v>915</v>
      </c>
      <c r="T397" s="6" t="s">
        <v>936</v>
      </c>
      <c r="U397" s="6" t="s">
        <v>926</v>
      </c>
      <c r="V397" s="2" t="s">
        <v>954</v>
      </c>
      <c r="W397" t="str">
        <f t="shared" si="6"/>
        <v>2000055070_20227</v>
      </c>
      <c r="X397" s="2" t="s">
        <v>1616</v>
      </c>
    </row>
    <row r="398" spans="1:24" hidden="1" x14ac:dyDescent="0.35">
      <c r="A398">
        <v>9</v>
      </c>
      <c r="B398">
        <v>2000055362</v>
      </c>
      <c r="C398" s="1">
        <v>45673</v>
      </c>
      <c r="D398" t="s">
        <v>2406</v>
      </c>
      <c r="E398" t="s">
        <v>18</v>
      </c>
      <c r="F398" t="s">
        <v>39</v>
      </c>
      <c r="G398" t="s">
        <v>1657</v>
      </c>
      <c r="H398" t="s">
        <v>1660</v>
      </c>
      <c r="I398" t="s">
        <v>41</v>
      </c>
      <c r="J398">
        <v>0.95799999999999996</v>
      </c>
      <c r="K398">
        <v>3</v>
      </c>
      <c r="L398">
        <v>1</v>
      </c>
      <c r="M398">
        <v>0.94</v>
      </c>
      <c r="N398" t="s">
        <v>368</v>
      </c>
      <c r="O398" s="1">
        <v>46768</v>
      </c>
      <c r="S398" t="s">
        <v>915</v>
      </c>
      <c r="T398" s="5" t="s">
        <v>953</v>
      </c>
      <c r="U398" s="5" t="s">
        <v>928</v>
      </c>
      <c r="V398" t="s">
        <v>1650</v>
      </c>
      <c r="W398" t="str">
        <f t="shared" si="6"/>
        <v>2000055362_20251</v>
      </c>
      <c r="X398" t="s">
        <v>1616</v>
      </c>
    </row>
    <row r="399" spans="1:24" hidden="1" x14ac:dyDescent="0.35">
      <c r="A399">
        <v>39</v>
      </c>
      <c r="B399">
        <v>2000055087</v>
      </c>
      <c r="C399" s="1">
        <v>44405</v>
      </c>
      <c r="D399" t="s">
        <v>224</v>
      </c>
      <c r="E399" t="s">
        <v>18</v>
      </c>
      <c r="F399" t="s">
        <v>52</v>
      </c>
      <c r="G399" t="s">
        <v>20</v>
      </c>
      <c r="H399" t="s">
        <v>225</v>
      </c>
      <c r="I399" t="s">
        <v>41</v>
      </c>
      <c r="J399">
        <v>0.96599999999999997</v>
      </c>
      <c r="K399">
        <v>3</v>
      </c>
      <c r="L399">
        <v>2</v>
      </c>
      <c r="M399">
        <v>0.97</v>
      </c>
      <c r="N399" t="s">
        <v>368</v>
      </c>
      <c r="O399" s="1">
        <v>45501</v>
      </c>
      <c r="R399" t="s">
        <v>24</v>
      </c>
      <c r="S399" t="s">
        <v>915</v>
      </c>
      <c r="T399" s="6" t="s">
        <v>936</v>
      </c>
      <c r="U399" s="6" t="s">
        <v>926</v>
      </c>
      <c r="V399" s="2" t="s">
        <v>952</v>
      </c>
      <c r="W399" t="str">
        <f t="shared" si="6"/>
        <v>2000055087_20217</v>
      </c>
      <c r="X399" s="2" t="s">
        <v>1615</v>
      </c>
    </row>
    <row r="400" spans="1:24" hidden="1" x14ac:dyDescent="0.35">
      <c r="A400">
        <v>73</v>
      </c>
      <c r="B400">
        <v>2000055087</v>
      </c>
      <c r="C400" s="1">
        <v>43746</v>
      </c>
      <c r="D400" t="s">
        <v>224</v>
      </c>
      <c r="E400" t="s">
        <v>18</v>
      </c>
      <c r="F400" t="s">
        <v>52</v>
      </c>
      <c r="G400" t="s">
        <v>1636</v>
      </c>
      <c r="H400" t="s">
        <v>1639</v>
      </c>
      <c r="I400" t="s">
        <v>41</v>
      </c>
      <c r="J400">
        <v>0.92500000000000004</v>
      </c>
      <c r="K400">
        <v>2.6</v>
      </c>
      <c r="L400">
        <v>3</v>
      </c>
      <c r="N400" t="s">
        <v>28</v>
      </c>
      <c r="O400" s="1">
        <v>44477</v>
      </c>
      <c r="S400" t="s">
        <v>915</v>
      </c>
      <c r="T400" s="5" t="s">
        <v>948</v>
      </c>
      <c r="U400" s="5">
        <v>8</v>
      </c>
      <c r="V400" t="s">
        <v>1618</v>
      </c>
      <c r="W400" t="str">
        <f t="shared" si="6"/>
        <v>2000055087_201910</v>
      </c>
      <c r="X400" s="2" t="s">
        <v>1615</v>
      </c>
    </row>
    <row r="401" spans="1:24" hidden="1" x14ac:dyDescent="0.35">
      <c r="A401">
        <v>53</v>
      </c>
      <c r="B401">
        <v>2000055087</v>
      </c>
      <c r="C401" s="1">
        <v>45488</v>
      </c>
      <c r="D401" t="s">
        <v>224</v>
      </c>
      <c r="E401" t="s">
        <v>18</v>
      </c>
      <c r="F401" t="s">
        <v>52</v>
      </c>
      <c r="G401" t="s">
        <v>20</v>
      </c>
      <c r="H401" t="s">
        <v>721</v>
      </c>
      <c r="I401" t="s">
        <v>41</v>
      </c>
      <c r="J401">
        <v>0.86799999999999999</v>
      </c>
      <c r="K401">
        <v>2.7</v>
      </c>
      <c r="L401">
        <v>2</v>
      </c>
      <c r="M401">
        <v>0.92</v>
      </c>
      <c r="N401" t="s">
        <v>28</v>
      </c>
      <c r="O401" s="1">
        <v>46218</v>
      </c>
      <c r="S401" t="s">
        <v>915</v>
      </c>
      <c r="T401" s="6" t="s">
        <v>936</v>
      </c>
      <c r="U401" s="6" t="s">
        <v>943</v>
      </c>
      <c r="V401" s="2" t="s">
        <v>956</v>
      </c>
      <c r="W401" t="str">
        <f t="shared" si="6"/>
        <v>2000055087_20247</v>
      </c>
      <c r="X401" s="2" t="s">
        <v>1615</v>
      </c>
    </row>
    <row r="402" spans="1:24" hidden="1" x14ac:dyDescent="0.35">
      <c r="A402">
        <v>87</v>
      </c>
      <c r="B402">
        <v>2000055088</v>
      </c>
      <c r="C402" s="1">
        <v>44489</v>
      </c>
      <c r="D402" t="s">
        <v>319</v>
      </c>
      <c r="E402" t="s">
        <v>18</v>
      </c>
      <c r="F402" t="s">
        <v>52</v>
      </c>
      <c r="G402" t="s">
        <v>20</v>
      </c>
      <c r="H402" t="s">
        <v>320</v>
      </c>
      <c r="I402" t="s">
        <v>41</v>
      </c>
      <c r="J402">
        <v>0.76900000000000002</v>
      </c>
      <c r="K402">
        <v>2.6</v>
      </c>
      <c r="L402">
        <v>4</v>
      </c>
      <c r="M402">
        <v>0.84</v>
      </c>
      <c r="N402" t="s">
        <v>23</v>
      </c>
      <c r="O402" s="1">
        <v>44854</v>
      </c>
      <c r="S402" t="s">
        <v>915</v>
      </c>
      <c r="T402" s="6" t="s">
        <v>948</v>
      </c>
      <c r="U402" s="6" t="s">
        <v>932</v>
      </c>
      <c r="V402" s="2" t="s">
        <v>952</v>
      </c>
      <c r="W402" t="str">
        <f t="shared" si="6"/>
        <v>2000055088_202110</v>
      </c>
      <c r="X402" s="2" t="s">
        <v>1615</v>
      </c>
    </row>
    <row r="403" spans="1:24" hidden="1" x14ac:dyDescent="0.35">
      <c r="A403">
        <v>109</v>
      </c>
      <c r="B403">
        <v>2000055088</v>
      </c>
      <c r="C403" s="1">
        <v>44862</v>
      </c>
      <c r="D403" t="s">
        <v>319</v>
      </c>
      <c r="E403" t="s">
        <v>18</v>
      </c>
      <c r="F403" t="s">
        <v>373</v>
      </c>
      <c r="G403" t="s">
        <v>20</v>
      </c>
      <c r="H403" t="s">
        <v>527</v>
      </c>
      <c r="I403" t="s">
        <v>41</v>
      </c>
      <c r="J403">
        <v>0.93799999999999994</v>
      </c>
      <c r="K403">
        <v>2.6</v>
      </c>
      <c r="L403">
        <v>2</v>
      </c>
      <c r="M403">
        <v>0.84</v>
      </c>
      <c r="N403" t="s">
        <v>28</v>
      </c>
      <c r="O403" s="1">
        <v>45593</v>
      </c>
      <c r="S403" t="s">
        <v>915</v>
      </c>
      <c r="T403" s="6" t="s">
        <v>948</v>
      </c>
      <c r="U403" s="6" t="s">
        <v>926</v>
      </c>
      <c r="V403" s="2" t="s">
        <v>954</v>
      </c>
      <c r="W403" t="str">
        <f t="shared" si="6"/>
        <v>2000055088_202210</v>
      </c>
      <c r="X403" s="2" t="s">
        <v>1615</v>
      </c>
    </row>
    <row r="404" spans="1:24" hidden="1" x14ac:dyDescent="0.35">
      <c r="A404">
        <v>3</v>
      </c>
      <c r="B404">
        <v>2000055089</v>
      </c>
      <c r="C404" s="1">
        <v>44578</v>
      </c>
      <c r="D404" t="s">
        <v>353</v>
      </c>
      <c r="E404" t="s">
        <v>18</v>
      </c>
      <c r="F404" t="s">
        <v>19</v>
      </c>
      <c r="G404" t="s">
        <v>20</v>
      </c>
      <c r="H404" t="s">
        <v>354</v>
      </c>
      <c r="I404" t="s">
        <v>22</v>
      </c>
      <c r="J404">
        <v>0.75600000000000001</v>
      </c>
      <c r="K404">
        <v>2.6</v>
      </c>
      <c r="L404">
        <v>6</v>
      </c>
      <c r="M404">
        <v>0.79</v>
      </c>
      <c r="N404" t="s">
        <v>23</v>
      </c>
      <c r="O404" s="1">
        <v>44943</v>
      </c>
      <c r="Q404" t="s">
        <v>323</v>
      </c>
      <c r="S404" t="s">
        <v>915</v>
      </c>
      <c r="T404" s="6" t="s">
        <v>953</v>
      </c>
      <c r="U404" s="6" t="s">
        <v>929</v>
      </c>
      <c r="V404" s="2" t="s">
        <v>954</v>
      </c>
      <c r="W404" t="str">
        <f t="shared" si="6"/>
        <v>2000055089_20221</v>
      </c>
      <c r="X404" s="2" t="s">
        <v>1615</v>
      </c>
    </row>
    <row r="405" spans="1:24" hidden="1" x14ac:dyDescent="0.35">
      <c r="A405">
        <v>4</v>
      </c>
      <c r="B405">
        <v>2000055089</v>
      </c>
      <c r="C405" s="1">
        <v>44979</v>
      </c>
      <c r="D405" t="s">
        <v>353</v>
      </c>
      <c r="E405" t="s">
        <v>18</v>
      </c>
      <c r="F405" t="s">
        <v>19</v>
      </c>
      <c r="G405" t="s">
        <v>20</v>
      </c>
      <c r="H405" t="s">
        <v>540</v>
      </c>
      <c r="I405" t="s">
        <v>22</v>
      </c>
      <c r="J405">
        <v>0.872</v>
      </c>
      <c r="K405">
        <v>2.4</v>
      </c>
      <c r="L405">
        <v>5</v>
      </c>
      <c r="M405">
        <v>0.89</v>
      </c>
      <c r="N405" t="s">
        <v>28</v>
      </c>
      <c r="O405" s="1">
        <v>45710</v>
      </c>
      <c r="Q405" t="s">
        <v>323</v>
      </c>
      <c r="S405" t="s">
        <v>915</v>
      </c>
      <c r="T405" s="6" t="s">
        <v>921</v>
      </c>
      <c r="U405" s="6" t="s">
        <v>933</v>
      </c>
      <c r="V405" s="2" t="s">
        <v>955</v>
      </c>
      <c r="W405" t="str">
        <f t="shared" si="6"/>
        <v>2000055089_20232</v>
      </c>
      <c r="X405" s="2" t="s">
        <v>1615</v>
      </c>
    </row>
    <row r="406" spans="1:24" hidden="1" x14ac:dyDescent="0.35">
      <c r="A406">
        <v>7</v>
      </c>
      <c r="B406">
        <v>2000055089</v>
      </c>
      <c r="C406" s="1">
        <v>43552</v>
      </c>
      <c r="D406" t="s">
        <v>353</v>
      </c>
      <c r="E406" t="s">
        <v>18</v>
      </c>
      <c r="F406" t="s">
        <v>19</v>
      </c>
      <c r="G406" t="s">
        <v>20</v>
      </c>
      <c r="H406" t="s">
        <v>1617</v>
      </c>
      <c r="I406" t="s">
        <v>22</v>
      </c>
      <c r="J406">
        <v>0.82699999999999996</v>
      </c>
      <c r="K406">
        <v>2.6</v>
      </c>
      <c r="L406">
        <v>2</v>
      </c>
      <c r="N406" t="s">
        <v>28</v>
      </c>
      <c r="O406" s="1">
        <v>44283</v>
      </c>
      <c r="Q406" t="s">
        <v>50</v>
      </c>
      <c r="S406" t="s">
        <v>915</v>
      </c>
      <c r="T406" s="5" t="s">
        <v>941</v>
      </c>
      <c r="U406" s="5">
        <v>28</v>
      </c>
      <c r="V406" t="s">
        <v>1618</v>
      </c>
      <c r="W406" t="str">
        <f t="shared" si="6"/>
        <v>2000055089_20193</v>
      </c>
      <c r="X406" s="2" t="s">
        <v>1615</v>
      </c>
    </row>
    <row r="407" spans="1:24" hidden="1" x14ac:dyDescent="0.35">
      <c r="A407">
        <v>6</v>
      </c>
      <c r="B407">
        <v>2000055089</v>
      </c>
      <c r="C407" s="1">
        <v>45706</v>
      </c>
      <c r="D407" t="s">
        <v>353</v>
      </c>
      <c r="E407" t="s">
        <v>18</v>
      </c>
      <c r="F407" t="s">
        <v>19</v>
      </c>
      <c r="G407" t="s">
        <v>20</v>
      </c>
      <c r="H407" t="s">
        <v>3430</v>
      </c>
      <c r="I407" t="s">
        <v>22</v>
      </c>
      <c r="J407">
        <v>0.98</v>
      </c>
      <c r="K407">
        <v>3</v>
      </c>
      <c r="L407">
        <v>0</v>
      </c>
      <c r="M407">
        <v>0.88</v>
      </c>
      <c r="N407" t="s">
        <v>368</v>
      </c>
      <c r="O407" s="1">
        <v>46801</v>
      </c>
      <c r="Q407" t="s">
        <v>3431</v>
      </c>
      <c r="S407" t="s">
        <v>915</v>
      </c>
      <c r="T407" s="5" t="s">
        <v>921</v>
      </c>
      <c r="U407" s="5" t="s">
        <v>930</v>
      </c>
      <c r="V407" t="s">
        <v>1650</v>
      </c>
      <c r="W407" t="str">
        <f t="shared" si="6"/>
        <v>2000055089_20252</v>
      </c>
      <c r="X407" t="s">
        <v>1615</v>
      </c>
    </row>
    <row r="408" spans="1:24" hidden="1" x14ac:dyDescent="0.35">
      <c r="A408">
        <v>6</v>
      </c>
      <c r="B408">
        <v>2000055089</v>
      </c>
      <c r="C408" s="1">
        <v>45706</v>
      </c>
      <c r="D408" t="s">
        <v>353</v>
      </c>
      <c r="E408" t="s">
        <v>18</v>
      </c>
      <c r="F408" t="s">
        <v>19</v>
      </c>
      <c r="G408" t="s">
        <v>20</v>
      </c>
      <c r="H408" t="s">
        <v>3430</v>
      </c>
      <c r="I408" t="s">
        <v>22</v>
      </c>
      <c r="J408">
        <v>0.98</v>
      </c>
      <c r="K408">
        <v>3</v>
      </c>
      <c r="L408">
        <v>0</v>
      </c>
      <c r="M408">
        <v>0.88</v>
      </c>
      <c r="N408" t="s">
        <v>368</v>
      </c>
      <c r="O408" s="1">
        <v>46801</v>
      </c>
      <c r="Q408" t="s">
        <v>50</v>
      </c>
      <c r="S408" t="s">
        <v>915</v>
      </c>
      <c r="T408" s="5" t="s">
        <v>921</v>
      </c>
      <c r="U408" s="5" t="s">
        <v>930</v>
      </c>
      <c r="V408" t="s">
        <v>1650</v>
      </c>
      <c r="W408" t="str">
        <f t="shared" si="6"/>
        <v>2000055089_20252</v>
      </c>
      <c r="X408" t="s">
        <v>1615</v>
      </c>
    </row>
    <row r="409" spans="1:24" hidden="1" x14ac:dyDescent="0.35">
      <c r="A409">
        <v>16</v>
      </c>
      <c r="B409">
        <v>2000055092</v>
      </c>
      <c r="C409" s="1">
        <v>44300</v>
      </c>
      <c r="D409" t="s">
        <v>4169</v>
      </c>
      <c r="E409" t="s">
        <v>18</v>
      </c>
      <c r="F409" t="s">
        <v>19</v>
      </c>
      <c r="G409" t="s">
        <v>92</v>
      </c>
      <c r="H409" t="s">
        <v>182</v>
      </c>
      <c r="I409" t="s">
        <v>22</v>
      </c>
      <c r="J409">
        <v>0.88800000000000001</v>
      </c>
      <c r="K409">
        <v>3</v>
      </c>
      <c r="L409">
        <v>2</v>
      </c>
      <c r="M409">
        <v>0.95</v>
      </c>
      <c r="N409" t="s">
        <v>28</v>
      </c>
      <c r="O409" s="1">
        <v>45030</v>
      </c>
      <c r="P409" t="s">
        <v>183</v>
      </c>
      <c r="Q409" t="s">
        <v>184</v>
      </c>
      <c r="R409" t="s">
        <v>24</v>
      </c>
      <c r="S409" t="s">
        <v>915</v>
      </c>
      <c r="T409" s="6" t="s">
        <v>946</v>
      </c>
      <c r="U409" s="6" t="s">
        <v>951</v>
      </c>
      <c r="V409" s="2" t="s">
        <v>952</v>
      </c>
      <c r="W409" t="str">
        <f t="shared" si="6"/>
        <v>2000055092_20214</v>
      </c>
      <c r="X409" s="2" t="s">
        <v>1615</v>
      </c>
    </row>
    <row r="410" spans="1:24" hidden="1" x14ac:dyDescent="0.35">
      <c r="A410">
        <v>31</v>
      </c>
      <c r="B410">
        <v>2000055092</v>
      </c>
      <c r="C410" s="1">
        <v>45030</v>
      </c>
      <c r="D410" t="s">
        <v>4169</v>
      </c>
      <c r="E410" t="s">
        <v>18</v>
      </c>
      <c r="F410" t="s">
        <v>19</v>
      </c>
      <c r="G410" t="s">
        <v>92</v>
      </c>
      <c r="H410" t="s">
        <v>182</v>
      </c>
      <c r="I410" t="s">
        <v>22</v>
      </c>
      <c r="J410">
        <v>0.96399999999999997</v>
      </c>
      <c r="K410">
        <v>3</v>
      </c>
      <c r="L410">
        <v>0</v>
      </c>
      <c r="M410">
        <v>0.96</v>
      </c>
      <c r="N410" t="s">
        <v>368</v>
      </c>
      <c r="O410" s="1">
        <v>46126</v>
      </c>
      <c r="P410" t="s">
        <v>470</v>
      </c>
      <c r="Q410" t="s">
        <v>571</v>
      </c>
      <c r="S410" t="s">
        <v>915</v>
      </c>
      <c r="T410" s="6" t="s">
        <v>946</v>
      </c>
      <c r="U410" s="6" t="s">
        <v>951</v>
      </c>
      <c r="V410" s="2" t="s">
        <v>955</v>
      </c>
      <c r="W410" t="str">
        <f t="shared" si="6"/>
        <v>2000055092_20234</v>
      </c>
      <c r="X410" s="2" t="s">
        <v>1615</v>
      </c>
    </row>
    <row r="411" spans="1:24" hidden="1" x14ac:dyDescent="0.35">
      <c r="A411">
        <v>13</v>
      </c>
      <c r="B411">
        <v>2000055092</v>
      </c>
      <c r="C411" s="1">
        <v>43559</v>
      </c>
      <c r="D411" t="s">
        <v>4169</v>
      </c>
      <c r="E411" t="s">
        <v>18</v>
      </c>
      <c r="F411" t="s">
        <v>19</v>
      </c>
      <c r="G411" t="s">
        <v>92</v>
      </c>
      <c r="H411" t="s">
        <v>1626</v>
      </c>
      <c r="I411" t="s">
        <v>22</v>
      </c>
      <c r="J411">
        <v>0.98399999999999999</v>
      </c>
      <c r="K411">
        <v>3</v>
      </c>
      <c r="L411">
        <v>0</v>
      </c>
      <c r="N411" t="s">
        <v>28</v>
      </c>
      <c r="O411" s="1">
        <v>44290</v>
      </c>
      <c r="Q411" t="s">
        <v>30</v>
      </c>
      <c r="S411" t="s">
        <v>915</v>
      </c>
      <c r="T411" s="5" t="s">
        <v>946</v>
      </c>
      <c r="U411" s="5">
        <v>4</v>
      </c>
      <c r="V411" t="s">
        <v>1618</v>
      </c>
      <c r="W411" t="str">
        <f t="shared" si="6"/>
        <v>2000055092_20194</v>
      </c>
      <c r="X411" s="2" t="s">
        <v>1615</v>
      </c>
    </row>
    <row r="412" spans="1:24" hidden="1" x14ac:dyDescent="0.35">
      <c r="B412">
        <v>2000055109</v>
      </c>
      <c r="C412" s="1">
        <v>44014</v>
      </c>
      <c r="D412" t="s">
        <v>2326</v>
      </c>
      <c r="F412" t="s">
        <v>19</v>
      </c>
      <c r="G412" t="s">
        <v>1606</v>
      </c>
      <c r="H412" t="s">
        <v>2327</v>
      </c>
      <c r="I412" t="s">
        <v>22</v>
      </c>
      <c r="J412">
        <v>0.92400000000000004</v>
      </c>
      <c r="K412">
        <v>3</v>
      </c>
      <c r="L412">
        <v>1</v>
      </c>
      <c r="M412">
        <v>0.89</v>
      </c>
      <c r="N412" t="s">
        <v>2310</v>
      </c>
      <c r="O412" s="1">
        <v>44744</v>
      </c>
      <c r="S412" t="s">
        <v>915</v>
      </c>
      <c r="T412" s="6" t="s">
        <v>936</v>
      </c>
      <c r="U412" s="6" t="s">
        <v>921</v>
      </c>
      <c r="V412" s="2" t="s">
        <v>923</v>
      </c>
      <c r="W412" t="str">
        <f t="shared" si="6"/>
        <v>2000055109_20207</v>
      </c>
      <c r="X412" s="2" t="s">
        <v>1616</v>
      </c>
    </row>
    <row r="413" spans="1:24" hidden="1" x14ac:dyDescent="0.35">
      <c r="B413">
        <v>2000055109</v>
      </c>
      <c r="C413" s="1">
        <v>44721</v>
      </c>
      <c r="D413" t="s">
        <v>2326</v>
      </c>
      <c r="F413" t="s">
        <v>52</v>
      </c>
      <c r="G413" t="s">
        <v>1606</v>
      </c>
      <c r="H413" t="s">
        <v>2328</v>
      </c>
      <c r="I413" t="s">
        <v>41</v>
      </c>
      <c r="J413">
        <v>0.98099999999999998</v>
      </c>
      <c r="K413">
        <v>3</v>
      </c>
      <c r="L413">
        <v>1</v>
      </c>
      <c r="M413">
        <v>0.94</v>
      </c>
      <c r="N413" t="s">
        <v>2314</v>
      </c>
      <c r="O413" s="1">
        <v>45817</v>
      </c>
      <c r="S413" t="s">
        <v>915</v>
      </c>
      <c r="T413" s="6" t="s">
        <v>927</v>
      </c>
      <c r="U413" s="6" t="s">
        <v>942</v>
      </c>
      <c r="V413" s="2" t="s">
        <v>954</v>
      </c>
      <c r="W413" t="str">
        <f t="shared" si="6"/>
        <v>2000055109_20226</v>
      </c>
      <c r="X413" s="2" t="s">
        <v>1616</v>
      </c>
    </row>
    <row r="414" spans="1:24" hidden="1" x14ac:dyDescent="0.35">
      <c r="A414">
        <v>10</v>
      </c>
      <c r="B414">
        <v>2000058914</v>
      </c>
      <c r="C414" s="1">
        <v>45674</v>
      </c>
      <c r="D414" t="s">
        <v>3163</v>
      </c>
      <c r="E414" t="s">
        <v>18</v>
      </c>
      <c r="F414" t="s">
        <v>39</v>
      </c>
      <c r="G414" t="s">
        <v>1657</v>
      </c>
      <c r="H414" t="s">
        <v>3420</v>
      </c>
      <c r="I414" t="s">
        <v>41</v>
      </c>
      <c r="J414">
        <v>1</v>
      </c>
      <c r="K414">
        <v>3</v>
      </c>
      <c r="L414">
        <v>0</v>
      </c>
      <c r="M414">
        <v>0.91</v>
      </c>
      <c r="N414" t="s">
        <v>368</v>
      </c>
      <c r="O414" s="1">
        <v>46769</v>
      </c>
      <c r="S414" t="s">
        <v>915</v>
      </c>
      <c r="T414" s="5" t="s">
        <v>953</v>
      </c>
      <c r="U414" s="5" t="s">
        <v>929</v>
      </c>
      <c r="V414" t="s">
        <v>1650</v>
      </c>
      <c r="W414" t="str">
        <f t="shared" si="6"/>
        <v>2000058914_20251</v>
      </c>
      <c r="X414" t="s">
        <v>1616</v>
      </c>
    </row>
    <row r="415" spans="1:24" hidden="1" x14ac:dyDescent="0.35">
      <c r="B415">
        <v>2000055119</v>
      </c>
      <c r="C415" s="1">
        <v>43994</v>
      </c>
      <c r="D415" t="s">
        <v>2329</v>
      </c>
      <c r="F415" t="s">
        <v>43</v>
      </c>
      <c r="G415" t="s">
        <v>1606</v>
      </c>
      <c r="H415" t="s">
        <v>2330</v>
      </c>
      <c r="I415" t="s">
        <v>41</v>
      </c>
      <c r="J415">
        <v>0.89700000000000002</v>
      </c>
      <c r="K415">
        <v>3</v>
      </c>
      <c r="L415">
        <v>1</v>
      </c>
      <c r="M415">
        <v>0.73899999999999999</v>
      </c>
      <c r="N415" t="s">
        <v>2310</v>
      </c>
      <c r="O415" s="1">
        <v>44724</v>
      </c>
      <c r="S415" t="s">
        <v>915</v>
      </c>
      <c r="T415" s="6" t="s">
        <v>927</v>
      </c>
      <c r="U415" s="6" t="s">
        <v>949</v>
      </c>
      <c r="V415" s="2" t="s">
        <v>923</v>
      </c>
      <c r="W415" t="str">
        <f t="shared" si="6"/>
        <v>2000055119_20206</v>
      </c>
      <c r="X415" s="2" t="s">
        <v>1616</v>
      </c>
    </row>
    <row r="416" spans="1:24" hidden="1" x14ac:dyDescent="0.35">
      <c r="B416">
        <v>2000055119</v>
      </c>
      <c r="C416" s="1">
        <v>44644</v>
      </c>
      <c r="D416" t="s">
        <v>2329</v>
      </c>
      <c r="F416" t="s">
        <v>43</v>
      </c>
      <c r="G416" t="s">
        <v>1606</v>
      </c>
      <c r="H416" t="s">
        <v>2331</v>
      </c>
      <c r="I416" t="s">
        <v>41</v>
      </c>
      <c r="J416">
        <v>0.90800000000000003</v>
      </c>
      <c r="K416">
        <v>3</v>
      </c>
      <c r="L416">
        <v>3</v>
      </c>
      <c r="M416">
        <v>0.97</v>
      </c>
      <c r="N416" t="s">
        <v>2314</v>
      </c>
      <c r="O416" s="1">
        <v>45740</v>
      </c>
      <c r="S416" t="s">
        <v>915</v>
      </c>
      <c r="T416" s="6" t="s">
        <v>941</v>
      </c>
      <c r="U416" s="6" t="s">
        <v>935</v>
      </c>
      <c r="V416" s="2" t="s">
        <v>954</v>
      </c>
      <c r="W416" t="str">
        <f t="shared" si="6"/>
        <v>2000055119_20223</v>
      </c>
      <c r="X416" s="2" t="s">
        <v>1616</v>
      </c>
    </row>
    <row r="417" spans="1:24" hidden="1" x14ac:dyDescent="0.35">
      <c r="A417">
        <v>11</v>
      </c>
      <c r="B417">
        <v>2000056425</v>
      </c>
      <c r="C417" s="1">
        <v>45705</v>
      </c>
      <c r="D417" t="s">
        <v>2637</v>
      </c>
      <c r="E417" t="s">
        <v>18</v>
      </c>
      <c r="F417" t="s">
        <v>39</v>
      </c>
      <c r="G417" t="s">
        <v>1606</v>
      </c>
      <c r="H417" t="s">
        <v>2640</v>
      </c>
      <c r="I417" t="s">
        <v>41</v>
      </c>
      <c r="J417">
        <v>0.92500000000000004</v>
      </c>
      <c r="K417">
        <v>3</v>
      </c>
      <c r="L417">
        <v>3</v>
      </c>
      <c r="M417">
        <v>0.88</v>
      </c>
      <c r="N417" t="s">
        <v>2314</v>
      </c>
      <c r="O417" s="1">
        <v>46800</v>
      </c>
      <c r="S417" t="s">
        <v>915</v>
      </c>
      <c r="T417" s="5" t="s">
        <v>921</v>
      </c>
      <c r="U417" s="5" t="s">
        <v>929</v>
      </c>
      <c r="V417" t="s">
        <v>1650</v>
      </c>
      <c r="W417" t="str">
        <f t="shared" si="6"/>
        <v>2000056425_20252</v>
      </c>
      <c r="X417" t="s">
        <v>1616</v>
      </c>
    </row>
    <row r="418" spans="1:24" hidden="1" x14ac:dyDescent="0.35">
      <c r="B418">
        <v>2000055121</v>
      </c>
      <c r="C418" s="1">
        <v>44614</v>
      </c>
      <c r="D418" t="s">
        <v>2336</v>
      </c>
      <c r="F418" t="s">
        <v>39</v>
      </c>
      <c r="G418" t="s">
        <v>1606</v>
      </c>
      <c r="H418" t="s">
        <v>2337</v>
      </c>
      <c r="I418" t="s">
        <v>41</v>
      </c>
      <c r="J418">
        <v>0.94399999999999995</v>
      </c>
      <c r="K418">
        <v>2.6</v>
      </c>
      <c r="L418">
        <v>2</v>
      </c>
      <c r="M418">
        <v>0.88</v>
      </c>
      <c r="N418" t="s">
        <v>2310</v>
      </c>
      <c r="O418" s="1">
        <v>45344</v>
      </c>
      <c r="S418" t="s">
        <v>915</v>
      </c>
      <c r="T418" s="6" t="s">
        <v>921</v>
      </c>
      <c r="U418" s="6" t="s">
        <v>933</v>
      </c>
      <c r="V418" s="2" t="s">
        <v>954</v>
      </c>
      <c r="W418" t="str">
        <f t="shared" si="6"/>
        <v>2000055121_20222</v>
      </c>
      <c r="X418" s="2" t="s">
        <v>1616</v>
      </c>
    </row>
    <row r="419" spans="1:24" hidden="1" x14ac:dyDescent="0.35">
      <c r="A419">
        <v>10</v>
      </c>
      <c r="B419">
        <v>2000055126</v>
      </c>
      <c r="C419" s="1">
        <v>45370</v>
      </c>
      <c r="D419" t="s">
        <v>1661</v>
      </c>
      <c r="E419" t="s">
        <v>18</v>
      </c>
      <c r="F419" t="s">
        <v>148</v>
      </c>
      <c r="G419" t="s">
        <v>1657</v>
      </c>
      <c r="H419" t="s">
        <v>1662</v>
      </c>
      <c r="I419" t="s">
        <v>148</v>
      </c>
      <c r="J419">
        <v>1</v>
      </c>
      <c r="K419">
        <v>3</v>
      </c>
      <c r="L419">
        <v>0</v>
      </c>
      <c r="M419">
        <v>0.96</v>
      </c>
      <c r="N419" t="s">
        <v>368</v>
      </c>
      <c r="O419" s="1">
        <v>46465</v>
      </c>
      <c r="Q419" t="s">
        <v>50</v>
      </c>
      <c r="S419" t="s">
        <v>915</v>
      </c>
      <c r="T419" s="5" t="s">
        <v>941</v>
      </c>
      <c r="U419" s="5" t="s">
        <v>931</v>
      </c>
      <c r="V419" t="s">
        <v>956</v>
      </c>
      <c r="W419" t="str">
        <f t="shared" si="6"/>
        <v>2000055126_20243</v>
      </c>
      <c r="X419" s="2" t="s">
        <v>1616</v>
      </c>
    </row>
    <row r="420" spans="1:24" hidden="1" x14ac:dyDescent="0.35">
      <c r="B420">
        <v>2000055127</v>
      </c>
      <c r="C420" s="1">
        <v>43536</v>
      </c>
      <c r="D420" t="s">
        <v>2340</v>
      </c>
      <c r="F420" t="s">
        <v>19</v>
      </c>
      <c r="G420" t="s">
        <v>2341</v>
      </c>
      <c r="H420" t="s">
        <v>2342</v>
      </c>
      <c r="I420" t="s">
        <v>22</v>
      </c>
      <c r="J420">
        <v>0.63300000000000001</v>
      </c>
      <c r="K420">
        <v>2</v>
      </c>
      <c r="L420">
        <v>8</v>
      </c>
      <c r="N420" t="s">
        <v>23</v>
      </c>
      <c r="O420" s="1">
        <v>43902</v>
      </c>
      <c r="S420" t="s">
        <v>915</v>
      </c>
      <c r="T420" s="6" t="s">
        <v>941</v>
      </c>
      <c r="U420" s="6" t="s">
        <v>949</v>
      </c>
      <c r="V420" s="2" t="s">
        <v>1618</v>
      </c>
      <c r="W420" t="str">
        <f t="shared" si="6"/>
        <v>2000055127_20193</v>
      </c>
      <c r="X420" s="2" t="s">
        <v>1616</v>
      </c>
    </row>
    <row r="421" spans="1:24" hidden="1" x14ac:dyDescent="0.35">
      <c r="B421">
        <v>2000055127</v>
      </c>
      <c r="C421" s="1">
        <v>43907</v>
      </c>
      <c r="D421" t="s">
        <v>2340</v>
      </c>
      <c r="F421" t="s">
        <v>19</v>
      </c>
      <c r="G421" t="s">
        <v>1606</v>
      </c>
      <c r="H421" t="s">
        <v>2342</v>
      </c>
      <c r="I421" t="s">
        <v>22</v>
      </c>
      <c r="J421">
        <v>0.53510000000000002</v>
      </c>
      <c r="K421">
        <v>2</v>
      </c>
      <c r="L421">
        <v>7</v>
      </c>
      <c r="M421">
        <v>0.61</v>
      </c>
      <c r="N421" t="s">
        <v>23</v>
      </c>
      <c r="O421" s="1">
        <v>44272</v>
      </c>
      <c r="S421" t="s">
        <v>915</v>
      </c>
      <c r="T421" s="6" t="s">
        <v>941</v>
      </c>
      <c r="U421" s="6" t="s">
        <v>929</v>
      </c>
      <c r="V421" s="2" t="s">
        <v>923</v>
      </c>
      <c r="W421" t="str">
        <f t="shared" si="6"/>
        <v>2000055127_20203</v>
      </c>
      <c r="X421" s="2" t="s">
        <v>1616</v>
      </c>
    </row>
    <row r="422" spans="1:24" hidden="1" x14ac:dyDescent="0.35">
      <c r="B422">
        <v>2000055127</v>
      </c>
      <c r="C422" s="1">
        <v>44284</v>
      </c>
      <c r="D422" t="s">
        <v>2340</v>
      </c>
      <c r="F422" t="s">
        <v>19</v>
      </c>
      <c r="G422" t="s">
        <v>1606</v>
      </c>
      <c r="H422" t="s">
        <v>2343</v>
      </c>
      <c r="I422" t="s">
        <v>22</v>
      </c>
      <c r="J422">
        <v>0.93300000000000005</v>
      </c>
      <c r="K422">
        <v>2.6</v>
      </c>
      <c r="L422">
        <v>3</v>
      </c>
      <c r="M422">
        <v>0.85</v>
      </c>
      <c r="N422" t="s">
        <v>2310</v>
      </c>
      <c r="O422" s="1">
        <v>45014</v>
      </c>
      <c r="S422" t="s">
        <v>915</v>
      </c>
      <c r="T422" s="6" t="s">
        <v>941</v>
      </c>
      <c r="U422" s="6" t="s">
        <v>937</v>
      </c>
      <c r="V422" s="2" t="s">
        <v>952</v>
      </c>
      <c r="W422" t="str">
        <f t="shared" si="6"/>
        <v>2000055127_20213</v>
      </c>
      <c r="X422" s="2" t="s">
        <v>1616</v>
      </c>
    </row>
    <row r="423" spans="1:24" hidden="1" x14ac:dyDescent="0.35">
      <c r="B423">
        <v>2000055127</v>
      </c>
      <c r="C423" s="1">
        <v>45236</v>
      </c>
      <c r="D423" t="s">
        <v>2340</v>
      </c>
      <c r="F423" t="s">
        <v>19</v>
      </c>
      <c r="G423" t="s">
        <v>1606</v>
      </c>
      <c r="H423" t="s">
        <v>2344</v>
      </c>
      <c r="I423" t="s">
        <v>41</v>
      </c>
      <c r="J423">
        <v>0.94199999999999995</v>
      </c>
      <c r="K423">
        <v>3</v>
      </c>
      <c r="M423">
        <v>0.79</v>
      </c>
      <c r="N423" t="s">
        <v>2314</v>
      </c>
      <c r="O423" s="1">
        <v>46332</v>
      </c>
      <c r="S423" t="s">
        <v>915</v>
      </c>
      <c r="T423" s="6" t="s">
        <v>945</v>
      </c>
      <c r="U423" s="6" t="s">
        <v>927</v>
      </c>
      <c r="V423" s="2" t="s">
        <v>955</v>
      </c>
      <c r="W423" t="str">
        <f t="shared" si="6"/>
        <v>2000055127_202311</v>
      </c>
      <c r="X423" s="2" t="s">
        <v>1616</v>
      </c>
    </row>
    <row r="424" spans="1:24" hidden="1" x14ac:dyDescent="0.35">
      <c r="B424">
        <v>2000055131</v>
      </c>
      <c r="C424" s="1">
        <v>44455</v>
      </c>
      <c r="D424" t="s">
        <v>2345</v>
      </c>
      <c r="F424" t="s">
        <v>39</v>
      </c>
      <c r="G424" t="s">
        <v>1606</v>
      </c>
      <c r="H424" t="s">
        <v>2346</v>
      </c>
      <c r="I424" t="s">
        <v>22</v>
      </c>
      <c r="J424">
        <v>0.91900000000000004</v>
      </c>
      <c r="K424">
        <v>2.6</v>
      </c>
      <c r="L424">
        <v>8</v>
      </c>
      <c r="M424">
        <v>0.87</v>
      </c>
      <c r="N424" t="s">
        <v>2310</v>
      </c>
      <c r="O424" s="1">
        <v>45185</v>
      </c>
      <c r="S424" t="s">
        <v>915</v>
      </c>
      <c r="T424" s="6" t="s">
        <v>942</v>
      </c>
      <c r="U424" s="6" t="s">
        <v>928</v>
      </c>
      <c r="V424" s="2" t="s">
        <v>952</v>
      </c>
      <c r="W424" t="str">
        <f t="shared" si="6"/>
        <v>2000055131_20219</v>
      </c>
      <c r="X424" s="2" t="s">
        <v>1616</v>
      </c>
    </row>
    <row r="425" spans="1:24" hidden="1" x14ac:dyDescent="0.35">
      <c r="B425">
        <v>2000055131</v>
      </c>
      <c r="C425" s="1">
        <v>45124</v>
      </c>
      <c r="D425" t="s">
        <v>2345</v>
      </c>
      <c r="F425" t="s">
        <v>39</v>
      </c>
      <c r="G425" t="s">
        <v>1606</v>
      </c>
      <c r="H425" t="s">
        <v>2347</v>
      </c>
      <c r="I425" t="s">
        <v>22</v>
      </c>
      <c r="J425">
        <v>0.95499999999999996</v>
      </c>
      <c r="K425">
        <v>3</v>
      </c>
      <c r="L425">
        <v>3</v>
      </c>
      <c r="M425">
        <v>0.91</v>
      </c>
      <c r="N425" t="s">
        <v>2314</v>
      </c>
      <c r="O425" s="1">
        <v>46220</v>
      </c>
      <c r="S425" t="s">
        <v>915</v>
      </c>
      <c r="T425" s="6" t="s">
        <v>936</v>
      </c>
      <c r="U425" s="6" t="s">
        <v>929</v>
      </c>
      <c r="V425" s="2" t="s">
        <v>955</v>
      </c>
      <c r="W425" t="str">
        <f t="shared" si="6"/>
        <v>2000055131_20237</v>
      </c>
      <c r="X425" s="2" t="s">
        <v>1616</v>
      </c>
    </row>
    <row r="426" spans="1:24" hidden="1" x14ac:dyDescent="0.35">
      <c r="B426">
        <v>2000055135</v>
      </c>
      <c r="C426" s="1">
        <v>43721</v>
      </c>
      <c r="D426" t="s">
        <v>2350</v>
      </c>
      <c r="F426" t="s">
        <v>39</v>
      </c>
      <c r="G426" t="s">
        <v>2351</v>
      </c>
      <c r="H426" t="s">
        <v>2352</v>
      </c>
      <c r="I426" t="s">
        <v>22</v>
      </c>
      <c r="J426">
        <v>0.98</v>
      </c>
      <c r="K426">
        <v>3</v>
      </c>
      <c r="L426">
        <v>2</v>
      </c>
      <c r="N426" t="s">
        <v>2310</v>
      </c>
      <c r="O426" s="1">
        <v>44452</v>
      </c>
      <c r="S426" t="s">
        <v>915</v>
      </c>
      <c r="T426" s="6" t="s">
        <v>942</v>
      </c>
      <c r="U426" s="6" t="s">
        <v>950</v>
      </c>
      <c r="V426" s="2" t="s">
        <v>1618</v>
      </c>
      <c r="W426" t="str">
        <f t="shared" si="6"/>
        <v>2000055135_20199</v>
      </c>
      <c r="X426" s="2" t="s">
        <v>1616</v>
      </c>
    </row>
    <row r="427" spans="1:24" hidden="1" x14ac:dyDescent="0.35">
      <c r="B427">
        <v>2000055135</v>
      </c>
      <c r="C427" s="1">
        <v>44508</v>
      </c>
      <c r="D427" t="s">
        <v>2350</v>
      </c>
      <c r="F427" t="s">
        <v>39</v>
      </c>
      <c r="G427" t="s">
        <v>1606</v>
      </c>
      <c r="H427" t="s">
        <v>2353</v>
      </c>
      <c r="I427" t="s">
        <v>22</v>
      </c>
      <c r="J427">
        <v>1</v>
      </c>
      <c r="K427">
        <v>3</v>
      </c>
      <c r="L427">
        <v>1</v>
      </c>
      <c r="M427">
        <v>0.97</v>
      </c>
      <c r="N427" t="s">
        <v>2314</v>
      </c>
      <c r="O427" s="1">
        <v>45604</v>
      </c>
      <c r="S427" t="s">
        <v>915</v>
      </c>
      <c r="T427" s="6" t="s">
        <v>945</v>
      </c>
      <c r="U427" s="6" t="s">
        <v>940</v>
      </c>
      <c r="V427" s="2" t="s">
        <v>952</v>
      </c>
      <c r="W427" t="str">
        <f t="shared" si="6"/>
        <v>2000055135_202111</v>
      </c>
      <c r="X427" s="2" t="s">
        <v>1616</v>
      </c>
    </row>
    <row r="428" spans="1:24" hidden="1" x14ac:dyDescent="0.35">
      <c r="A428">
        <v>129</v>
      </c>
      <c r="B428">
        <v>2000055135</v>
      </c>
      <c r="C428" s="1">
        <v>45569</v>
      </c>
      <c r="D428" t="s">
        <v>2350</v>
      </c>
      <c r="E428" t="s">
        <v>18</v>
      </c>
      <c r="F428" t="s">
        <v>39</v>
      </c>
      <c r="G428" t="s">
        <v>1606</v>
      </c>
      <c r="H428" t="s">
        <v>3230</v>
      </c>
      <c r="I428" t="s">
        <v>22</v>
      </c>
      <c r="J428">
        <v>0.98599999999999999</v>
      </c>
      <c r="K428">
        <v>3</v>
      </c>
      <c r="L428">
        <v>0</v>
      </c>
      <c r="M428">
        <v>0.97</v>
      </c>
      <c r="N428" t="s">
        <v>368</v>
      </c>
      <c r="O428" s="1">
        <v>46664</v>
      </c>
      <c r="Q428" t="s">
        <v>50</v>
      </c>
      <c r="R428" t="s">
        <v>1723</v>
      </c>
      <c r="S428" t="s">
        <v>915</v>
      </c>
      <c r="T428" s="5" t="s">
        <v>948</v>
      </c>
      <c r="U428" s="5" t="s">
        <v>946</v>
      </c>
      <c r="V428" t="s">
        <v>956</v>
      </c>
      <c r="W428" t="str">
        <f t="shared" si="6"/>
        <v>2000055135_202410</v>
      </c>
      <c r="X428" t="s">
        <v>1616</v>
      </c>
    </row>
    <row r="429" spans="1:24" hidden="1" x14ac:dyDescent="0.35">
      <c r="B429">
        <v>2000055151</v>
      </c>
      <c r="C429" s="1">
        <v>44497</v>
      </c>
      <c r="D429" t="s">
        <v>2359</v>
      </c>
      <c r="F429" t="s">
        <v>148</v>
      </c>
      <c r="G429" t="s">
        <v>1606</v>
      </c>
      <c r="H429" t="s">
        <v>2360</v>
      </c>
      <c r="I429" t="s">
        <v>148</v>
      </c>
      <c r="J429">
        <v>0.75</v>
      </c>
      <c r="K429">
        <v>3</v>
      </c>
      <c r="L429">
        <v>4</v>
      </c>
      <c r="M429">
        <v>0.82</v>
      </c>
      <c r="N429" t="s">
        <v>2361</v>
      </c>
      <c r="O429" s="1">
        <v>44862</v>
      </c>
      <c r="S429" t="s">
        <v>915</v>
      </c>
      <c r="T429" s="6" t="s">
        <v>948</v>
      </c>
      <c r="U429" s="6" t="s">
        <v>926</v>
      </c>
      <c r="V429" s="2" t="s">
        <v>952</v>
      </c>
      <c r="W429" t="str">
        <f t="shared" si="6"/>
        <v>2000055151_202110</v>
      </c>
      <c r="X429" s="2" t="s">
        <v>1616</v>
      </c>
    </row>
    <row r="430" spans="1:24" hidden="1" x14ac:dyDescent="0.35">
      <c r="B430">
        <v>2000055151</v>
      </c>
      <c r="C430" s="1">
        <v>44830</v>
      </c>
      <c r="D430" t="s">
        <v>2359</v>
      </c>
      <c r="F430" t="s">
        <v>148</v>
      </c>
      <c r="G430" t="s">
        <v>1606</v>
      </c>
      <c r="H430" t="s">
        <v>2362</v>
      </c>
      <c r="I430" t="s">
        <v>148</v>
      </c>
      <c r="J430">
        <v>1</v>
      </c>
      <c r="K430">
        <v>3</v>
      </c>
      <c r="L430">
        <v>0</v>
      </c>
      <c r="M430">
        <v>1</v>
      </c>
      <c r="N430" t="s">
        <v>2314</v>
      </c>
      <c r="O430" s="1">
        <v>45926</v>
      </c>
      <c r="S430" t="s">
        <v>915</v>
      </c>
      <c r="T430" s="6" t="s">
        <v>942</v>
      </c>
      <c r="U430" s="6" t="s">
        <v>924</v>
      </c>
      <c r="V430" s="2" t="s">
        <v>954</v>
      </c>
      <c r="W430" t="str">
        <f t="shared" si="6"/>
        <v>2000055151_20229</v>
      </c>
      <c r="X430" s="2" t="s">
        <v>1616</v>
      </c>
    </row>
    <row r="431" spans="1:24" hidden="1" x14ac:dyDescent="0.35">
      <c r="B431">
        <v>2000055159</v>
      </c>
      <c r="C431" s="1">
        <v>45148</v>
      </c>
      <c r="D431" t="s">
        <v>2363</v>
      </c>
      <c r="F431" t="s">
        <v>376</v>
      </c>
      <c r="G431" t="s">
        <v>1606</v>
      </c>
      <c r="H431" t="s">
        <v>2364</v>
      </c>
      <c r="I431" t="s">
        <v>41</v>
      </c>
      <c r="J431">
        <v>0.9</v>
      </c>
      <c r="K431">
        <v>3</v>
      </c>
      <c r="M431">
        <v>0.88</v>
      </c>
      <c r="N431" t="s">
        <v>2314</v>
      </c>
      <c r="O431" s="1">
        <v>46244</v>
      </c>
      <c r="S431" t="s">
        <v>915</v>
      </c>
      <c r="T431" s="6" t="s">
        <v>940</v>
      </c>
      <c r="U431" s="6" t="s">
        <v>948</v>
      </c>
      <c r="V431" s="2" t="s">
        <v>955</v>
      </c>
      <c r="W431" t="str">
        <f t="shared" si="6"/>
        <v>2000055159_20238</v>
      </c>
      <c r="X431" s="2" t="s">
        <v>1616</v>
      </c>
    </row>
    <row r="432" spans="1:24" hidden="1" x14ac:dyDescent="0.35">
      <c r="A432">
        <v>136</v>
      </c>
      <c r="B432">
        <v>2000001128</v>
      </c>
      <c r="C432" s="1">
        <v>45586</v>
      </c>
      <c r="D432" t="s">
        <v>2365</v>
      </c>
      <c r="E432" t="s">
        <v>18</v>
      </c>
      <c r="F432" t="s">
        <v>43</v>
      </c>
      <c r="G432" t="s">
        <v>1606</v>
      </c>
      <c r="H432" t="s">
        <v>3245</v>
      </c>
      <c r="I432" t="s">
        <v>41</v>
      </c>
      <c r="J432">
        <v>1</v>
      </c>
      <c r="K432">
        <v>3</v>
      </c>
      <c r="L432">
        <v>0</v>
      </c>
      <c r="M432">
        <v>1</v>
      </c>
      <c r="N432" t="s">
        <v>368</v>
      </c>
      <c r="O432" s="1">
        <v>46681</v>
      </c>
      <c r="Q432" t="s">
        <v>50</v>
      </c>
      <c r="S432" t="s">
        <v>915</v>
      </c>
      <c r="T432" s="5" t="s">
        <v>948</v>
      </c>
      <c r="U432" s="5" t="s">
        <v>944</v>
      </c>
      <c r="V432" t="s">
        <v>956</v>
      </c>
      <c r="W432" t="str">
        <f t="shared" si="6"/>
        <v>2000001128_202410</v>
      </c>
      <c r="X432" t="s">
        <v>1616</v>
      </c>
    </row>
    <row r="433" spans="1:24" hidden="1" x14ac:dyDescent="0.35">
      <c r="B433">
        <v>2000055163</v>
      </c>
      <c r="C433" s="1">
        <v>44540</v>
      </c>
      <c r="D433" t="s">
        <v>2368</v>
      </c>
      <c r="F433" t="s">
        <v>39</v>
      </c>
      <c r="G433" t="s">
        <v>1606</v>
      </c>
      <c r="H433" t="s">
        <v>2369</v>
      </c>
      <c r="I433" t="s">
        <v>41</v>
      </c>
      <c r="J433">
        <v>0.97699999999999998</v>
      </c>
      <c r="K433">
        <v>3</v>
      </c>
      <c r="L433">
        <v>5</v>
      </c>
      <c r="M433">
        <v>0.98</v>
      </c>
      <c r="N433" t="s">
        <v>2314</v>
      </c>
      <c r="O433" s="1">
        <v>45636</v>
      </c>
      <c r="S433" t="s">
        <v>915</v>
      </c>
      <c r="T433" s="6" t="s">
        <v>949</v>
      </c>
      <c r="U433" s="6" t="s">
        <v>948</v>
      </c>
      <c r="V433" s="2" t="s">
        <v>952</v>
      </c>
      <c r="W433" t="str">
        <f t="shared" si="6"/>
        <v>2000055163_202112</v>
      </c>
      <c r="X433" s="2" t="s">
        <v>1616</v>
      </c>
    </row>
    <row r="434" spans="1:24" hidden="1" x14ac:dyDescent="0.35">
      <c r="A434">
        <v>142</v>
      </c>
      <c r="B434">
        <v>2000055163</v>
      </c>
      <c r="C434" s="1">
        <v>45595</v>
      </c>
      <c r="D434" t="s">
        <v>2368</v>
      </c>
      <c r="E434" t="s">
        <v>18</v>
      </c>
      <c r="F434" t="s">
        <v>376</v>
      </c>
      <c r="G434" t="s">
        <v>1606</v>
      </c>
      <c r="H434" t="s">
        <v>3252</v>
      </c>
      <c r="I434" t="s">
        <v>41</v>
      </c>
      <c r="J434">
        <v>0.90400000000000003</v>
      </c>
      <c r="K434">
        <v>3</v>
      </c>
      <c r="L434">
        <v>3</v>
      </c>
      <c r="M434">
        <v>0.98</v>
      </c>
      <c r="N434" t="s">
        <v>368</v>
      </c>
      <c r="O434" s="1">
        <v>46690</v>
      </c>
      <c r="R434" t="s">
        <v>1723</v>
      </c>
      <c r="S434" t="s">
        <v>915</v>
      </c>
      <c r="T434" s="5" t="s">
        <v>948</v>
      </c>
      <c r="U434" s="5" t="s">
        <v>938</v>
      </c>
      <c r="V434" t="s">
        <v>956</v>
      </c>
      <c r="W434" t="str">
        <f t="shared" si="6"/>
        <v>2000055163_202410</v>
      </c>
      <c r="X434" t="s">
        <v>1616</v>
      </c>
    </row>
    <row r="435" spans="1:24" hidden="1" x14ac:dyDescent="0.35">
      <c r="B435">
        <v>2000055165</v>
      </c>
      <c r="C435" s="1">
        <v>44530</v>
      </c>
      <c r="D435" t="s">
        <v>2370</v>
      </c>
      <c r="F435" t="s">
        <v>376</v>
      </c>
      <c r="G435" t="s">
        <v>1606</v>
      </c>
      <c r="H435" t="s">
        <v>2371</v>
      </c>
      <c r="I435" t="s">
        <v>22</v>
      </c>
      <c r="J435">
        <v>0.81299999999999994</v>
      </c>
      <c r="K435">
        <v>2.8</v>
      </c>
      <c r="L435">
        <v>2</v>
      </c>
      <c r="M435">
        <v>0.73</v>
      </c>
      <c r="N435" t="s">
        <v>2310</v>
      </c>
      <c r="O435" s="1">
        <v>45260</v>
      </c>
      <c r="S435" t="s">
        <v>915</v>
      </c>
      <c r="T435" s="6" t="s">
        <v>945</v>
      </c>
      <c r="U435" s="6" t="s">
        <v>938</v>
      </c>
      <c r="V435" s="2" t="s">
        <v>952</v>
      </c>
      <c r="W435" t="str">
        <f t="shared" si="6"/>
        <v>2000055165_202111</v>
      </c>
      <c r="X435" s="2" t="s">
        <v>1616</v>
      </c>
    </row>
    <row r="436" spans="1:24" hidden="1" x14ac:dyDescent="0.35">
      <c r="B436">
        <v>2000055165</v>
      </c>
      <c r="C436" s="1">
        <v>45113</v>
      </c>
      <c r="D436" t="s">
        <v>2370</v>
      </c>
      <c r="F436" t="s">
        <v>376</v>
      </c>
      <c r="G436" t="s">
        <v>1606</v>
      </c>
      <c r="H436" t="s">
        <v>2372</v>
      </c>
      <c r="I436" t="s">
        <v>41</v>
      </c>
      <c r="J436">
        <v>0.81299999999999994</v>
      </c>
      <c r="K436">
        <v>3</v>
      </c>
      <c r="L436">
        <v>4</v>
      </c>
      <c r="M436">
        <v>0.83</v>
      </c>
      <c r="N436" t="s">
        <v>2310</v>
      </c>
      <c r="O436" s="1">
        <v>45844</v>
      </c>
      <c r="S436" t="s">
        <v>915</v>
      </c>
      <c r="T436" s="6" t="s">
        <v>936</v>
      </c>
      <c r="U436" s="6" t="s">
        <v>927</v>
      </c>
      <c r="V436" s="2" t="s">
        <v>955</v>
      </c>
      <c r="W436" t="str">
        <f t="shared" si="6"/>
        <v>2000055165_20237</v>
      </c>
      <c r="X436" s="2" t="s">
        <v>1616</v>
      </c>
    </row>
    <row r="437" spans="1:24" hidden="1" x14ac:dyDescent="0.35">
      <c r="B437">
        <v>2000055171</v>
      </c>
      <c r="C437" s="1">
        <v>44503</v>
      </c>
      <c r="D437" t="s">
        <v>2373</v>
      </c>
      <c r="F437" t="s">
        <v>39</v>
      </c>
      <c r="G437" t="s">
        <v>1606</v>
      </c>
      <c r="H437" t="s">
        <v>2374</v>
      </c>
      <c r="I437" t="s">
        <v>22</v>
      </c>
      <c r="J437">
        <v>0.77100000000000002</v>
      </c>
      <c r="K437">
        <v>2.6</v>
      </c>
      <c r="L437">
        <v>5</v>
      </c>
      <c r="M437">
        <v>0.91</v>
      </c>
      <c r="N437" t="s">
        <v>2361</v>
      </c>
      <c r="O437" s="1">
        <v>44868</v>
      </c>
      <c r="S437" t="s">
        <v>915</v>
      </c>
      <c r="T437" s="6" t="s">
        <v>945</v>
      </c>
      <c r="U437" s="6" t="s">
        <v>941</v>
      </c>
      <c r="V437" s="2" t="s">
        <v>952</v>
      </c>
      <c r="W437" t="str">
        <f t="shared" si="6"/>
        <v>2000055171_202111</v>
      </c>
      <c r="X437" s="2" t="s">
        <v>1616</v>
      </c>
    </row>
    <row r="438" spans="1:24" hidden="1" x14ac:dyDescent="0.35">
      <c r="B438">
        <v>2000055171</v>
      </c>
      <c r="C438" s="1">
        <v>44837</v>
      </c>
      <c r="D438" t="s">
        <v>2373</v>
      </c>
      <c r="F438" t="s">
        <v>39</v>
      </c>
      <c r="G438" t="s">
        <v>1606</v>
      </c>
      <c r="H438" t="s">
        <v>2375</v>
      </c>
      <c r="I438" t="s">
        <v>22</v>
      </c>
      <c r="J438">
        <v>1</v>
      </c>
      <c r="K438">
        <v>3</v>
      </c>
      <c r="L438">
        <v>0</v>
      </c>
      <c r="M438">
        <v>0.85</v>
      </c>
      <c r="N438" t="s">
        <v>2314</v>
      </c>
      <c r="O438" s="1">
        <v>45933</v>
      </c>
      <c r="S438" t="s">
        <v>915</v>
      </c>
      <c r="T438" s="6" t="s">
        <v>948</v>
      </c>
      <c r="U438" s="6" t="s">
        <v>941</v>
      </c>
      <c r="V438" s="2" t="s">
        <v>954</v>
      </c>
      <c r="W438" t="str">
        <f t="shared" si="6"/>
        <v>2000055171_202210</v>
      </c>
      <c r="X438" s="2" t="s">
        <v>1616</v>
      </c>
    </row>
    <row r="439" spans="1:24" hidden="1" x14ac:dyDescent="0.35">
      <c r="A439">
        <v>117</v>
      </c>
      <c r="B439">
        <v>2000055173</v>
      </c>
      <c r="C439" s="1">
        <v>45553</v>
      </c>
      <c r="D439" t="s">
        <v>1926</v>
      </c>
      <c r="E439" t="s">
        <v>18</v>
      </c>
      <c r="F439" t="s">
        <v>39</v>
      </c>
      <c r="G439" t="s">
        <v>1606</v>
      </c>
      <c r="H439" t="s">
        <v>1927</v>
      </c>
      <c r="I439" t="s">
        <v>41</v>
      </c>
      <c r="J439">
        <v>1</v>
      </c>
      <c r="K439">
        <v>3</v>
      </c>
      <c r="L439">
        <v>0</v>
      </c>
      <c r="M439">
        <v>0.88</v>
      </c>
      <c r="N439" t="s">
        <v>368</v>
      </c>
      <c r="O439" s="1">
        <v>46648</v>
      </c>
      <c r="S439" t="s">
        <v>915</v>
      </c>
      <c r="T439" s="5" t="s">
        <v>942</v>
      </c>
      <c r="U439" s="5" t="s">
        <v>930</v>
      </c>
      <c r="V439" t="s">
        <v>956</v>
      </c>
      <c r="W439" t="str">
        <f t="shared" si="6"/>
        <v>2000055173_20249</v>
      </c>
      <c r="X439" s="2" t="s">
        <v>1616</v>
      </c>
    </row>
    <row r="440" spans="1:24" hidden="1" x14ac:dyDescent="0.35">
      <c r="B440">
        <v>2000055174</v>
      </c>
      <c r="C440" s="1">
        <v>44616</v>
      </c>
      <c r="D440" t="s">
        <v>1783</v>
      </c>
      <c r="F440" t="s">
        <v>39</v>
      </c>
      <c r="G440" t="s">
        <v>1606</v>
      </c>
      <c r="H440" t="s">
        <v>2378</v>
      </c>
      <c r="I440" t="s">
        <v>41</v>
      </c>
      <c r="J440">
        <v>0.90500000000000003</v>
      </c>
      <c r="K440">
        <v>2.6</v>
      </c>
      <c r="L440">
        <v>5</v>
      </c>
      <c r="M440">
        <v>0.97</v>
      </c>
      <c r="N440" t="s">
        <v>2310</v>
      </c>
      <c r="O440" s="1">
        <v>45346</v>
      </c>
      <c r="S440" t="s">
        <v>915</v>
      </c>
      <c r="T440" s="6" t="s">
        <v>921</v>
      </c>
      <c r="U440" s="6" t="s">
        <v>935</v>
      </c>
      <c r="V440" s="2" t="s">
        <v>954</v>
      </c>
      <c r="W440" t="str">
        <f t="shared" si="6"/>
        <v>2000055174_20222</v>
      </c>
      <c r="X440" s="2" t="s">
        <v>1616</v>
      </c>
    </row>
    <row r="441" spans="1:24" hidden="1" x14ac:dyDescent="0.35">
      <c r="A441">
        <v>56</v>
      </c>
      <c r="B441">
        <v>2000055174</v>
      </c>
      <c r="C441" s="1">
        <v>45449</v>
      </c>
      <c r="D441" t="s">
        <v>1783</v>
      </c>
      <c r="E441" t="s">
        <v>18</v>
      </c>
      <c r="F441" t="s">
        <v>39</v>
      </c>
      <c r="G441" t="s">
        <v>1606</v>
      </c>
      <c r="H441" t="s">
        <v>1784</v>
      </c>
      <c r="I441" t="s">
        <v>41</v>
      </c>
      <c r="J441">
        <v>0.93200000000000005</v>
      </c>
      <c r="K441">
        <v>3</v>
      </c>
      <c r="L441">
        <v>2</v>
      </c>
      <c r="M441">
        <v>0.95</v>
      </c>
      <c r="N441" t="s">
        <v>368</v>
      </c>
      <c r="O441" s="1">
        <v>46544</v>
      </c>
      <c r="R441" t="s">
        <v>1613</v>
      </c>
      <c r="S441" t="s">
        <v>915</v>
      </c>
      <c r="T441" s="5" t="s">
        <v>927</v>
      </c>
      <c r="U441" s="5" t="s">
        <v>927</v>
      </c>
      <c r="V441" t="s">
        <v>956</v>
      </c>
      <c r="W441" t="str">
        <f t="shared" si="6"/>
        <v>2000055174_20246</v>
      </c>
      <c r="X441" s="2" t="s">
        <v>1616</v>
      </c>
    </row>
    <row r="442" spans="1:24" hidden="1" x14ac:dyDescent="0.35">
      <c r="A442">
        <v>100</v>
      </c>
      <c r="B442">
        <v>2000055182</v>
      </c>
      <c r="C442" s="1">
        <v>45287</v>
      </c>
      <c r="D442" t="s">
        <v>662</v>
      </c>
      <c r="E442" t="s">
        <v>18</v>
      </c>
      <c r="F442" t="s">
        <v>373</v>
      </c>
      <c r="G442" t="s">
        <v>33</v>
      </c>
      <c r="H442" t="s">
        <v>663</v>
      </c>
      <c r="I442" t="s">
        <v>22</v>
      </c>
      <c r="J442">
        <v>0.98399999999999999</v>
      </c>
      <c r="K442">
        <v>3</v>
      </c>
      <c r="L442">
        <v>1</v>
      </c>
      <c r="M442">
        <v>0.87</v>
      </c>
      <c r="N442" t="s">
        <v>368</v>
      </c>
      <c r="O442" s="1">
        <v>46383</v>
      </c>
      <c r="P442" t="s">
        <v>470</v>
      </c>
      <c r="S442" t="s">
        <v>915</v>
      </c>
      <c r="T442" s="6" t="s">
        <v>949</v>
      </c>
      <c r="U442" s="6" t="s">
        <v>925</v>
      </c>
      <c r="V442" s="2" t="s">
        <v>955</v>
      </c>
      <c r="W442" t="str">
        <f t="shared" si="6"/>
        <v>2000055182_202312</v>
      </c>
      <c r="X442" s="2" t="s">
        <v>1615</v>
      </c>
    </row>
    <row r="443" spans="1:24" hidden="1" x14ac:dyDescent="0.35">
      <c r="B443">
        <v>2000055203</v>
      </c>
      <c r="C443" s="1">
        <v>44531</v>
      </c>
      <c r="D443" t="s">
        <v>2383</v>
      </c>
      <c r="F443" t="s">
        <v>376</v>
      </c>
      <c r="G443" t="s">
        <v>1606</v>
      </c>
      <c r="H443" t="s">
        <v>2384</v>
      </c>
      <c r="I443" t="s">
        <v>22</v>
      </c>
      <c r="J443">
        <v>0.84399999999999997</v>
      </c>
      <c r="K443">
        <v>2.6</v>
      </c>
      <c r="L443">
        <v>3</v>
      </c>
      <c r="M443">
        <v>0.84</v>
      </c>
      <c r="N443" t="s">
        <v>2310</v>
      </c>
      <c r="O443" s="1">
        <v>45261</v>
      </c>
      <c r="S443" t="s">
        <v>915</v>
      </c>
      <c r="T443" s="6" t="s">
        <v>949</v>
      </c>
      <c r="U443" s="6" t="s">
        <v>953</v>
      </c>
      <c r="V443" s="2" t="s">
        <v>952</v>
      </c>
      <c r="W443" t="str">
        <f t="shared" si="6"/>
        <v>2000055203_202112</v>
      </c>
      <c r="X443" s="2" t="s">
        <v>1616</v>
      </c>
    </row>
    <row r="444" spans="1:24" hidden="1" x14ac:dyDescent="0.35">
      <c r="B444">
        <v>2000055203</v>
      </c>
      <c r="C444" s="1">
        <v>45209</v>
      </c>
      <c r="D444" t="s">
        <v>2383</v>
      </c>
      <c r="F444" t="s">
        <v>376</v>
      </c>
      <c r="G444" t="s">
        <v>1606</v>
      </c>
      <c r="H444" t="s">
        <v>2385</v>
      </c>
      <c r="I444" t="s">
        <v>22</v>
      </c>
      <c r="J444">
        <v>1</v>
      </c>
      <c r="K444">
        <v>3</v>
      </c>
      <c r="M444">
        <v>0.94</v>
      </c>
      <c r="N444" t="s">
        <v>2314</v>
      </c>
      <c r="O444" s="1">
        <v>46305</v>
      </c>
      <c r="S444" t="s">
        <v>915</v>
      </c>
      <c r="T444" s="6" t="s">
        <v>948</v>
      </c>
      <c r="U444" s="6" t="s">
        <v>948</v>
      </c>
      <c r="V444" s="2" t="s">
        <v>955</v>
      </c>
      <c r="W444" t="str">
        <f t="shared" si="6"/>
        <v>2000055203_202310</v>
      </c>
      <c r="X444" s="2" t="s">
        <v>1616</v>
      </c>
    </row>
    <row r="445" spans="1:24" hidden="1" x14ac:dyDescent="0.35">
      <c r="A445">
        <v>44</v>
      </c>
      <c r="B445">
        <v>2000055207</v>
      </c>
      <c r="C445" s="1">
        <v>45429</v>
      </c>
      <c r="D445" t="s">
        <v>1752</v>
      </c>
      <c r="E445" t="s">
        <v>18</v>
      </c>
      <c r="F445" t="s">
        <v>1602</v>
      </c>
      <c r="G445" t="s">
        <v>1753</v>
      </c>
      <c r="H445" t="s">
        <v>1754</v>
      </c>
      <c r="I445" t="s">
        <v>22</v>
      </c>
      <c r="J445">
        <v>0.98</v>
      </c>
      <c r="K445">
        <v>3</v>
      </c>
      <c r="L445">
        <v>1</v>
      </c>
      <c r="M445">
        <v>0.84</v>
      </c>
      <c r="N445" t="s">
        <v>368</v>
      </c>
      <c r="O445" s="1">
        <v>46524</v>
      </c>
      <c r="S445" t="s">
        <v>915</v>
      </c>
      <c r="T445" s="5" t="s">
        <v>947</v>
      </c>
      <c r="U445" s="5" t="s">
        <v>929</v>
      </c>
      <c r="V445" t="s">
        <v>956</v>
      </c>
      <c r="W445" t="str">
        <f t="shared" si="6"/>
        <v>2000055207_20245</v>
      </c>
      <c r="X445" s="2" t="s">
        <v>1616</v>
      </c>
    </row>
    <row r="446" spans="1:24" hidden="1" x14ac:dyDescent="0.35">
      <c r="B446">
        <v>2000055218</v>
      </c>
      <c r="C446" s="1">
        <v>43592</v>
      </c>
      <c r="D446" t="s">
        <v>2386</v>
      </c>
      <c r="F446" t="s">
        <v>39</v>
      </c>
      <c r="G446" t="s">
        <v>2387</v>
      </c>
      <c r="H446" t="s">
        <v>2388</v>
      </c>
      <c r="I446" t="s">
        <v>41</v>
      </c>
      <c r="J446">
        <v>0.69</v>
      </c>
      <c r="K446">
        <v>2</v>
      </c>
      <c r="L446">
        <v>13</v>
      </c>
      <c r="N446" t="s">
        <v>23</v>
      </c>
      <c r="O446" s="1">
        <v>43958</v>
      </c>
      <c r="S446" t="s">
        <v>915</v>
      </c>
      <c r="T446" s="6" t="s">
        <v>947</v>
      </c>
      <c r="U446" s="6" t="s">
        <v>936</v>
      </c>
      <c r="V446" s="2" t="s">
        <v>1618</v>
      </c>
      <c r="W446" t="str">
        <f t="shared" si="6"/>
        <v>2000055218_20195</v>
      </c>
      <c r="X446" s="2" t="s">
        <v>1616</v>
      </c>
    </row>
    <row r="447" spans="1:24" hidden="1" x14ac:dyDescent="0.35">
      <c r="B447">
        <v>2000055218</v>
      </c>
      <c r="C447" s="1">
        <v>43955</v>
      </c>
      <c r="D447" t="s">
        <v>2386</v>
      </c>
      <c r="F447" t="s">
        <v>39</v>
      </c>
      <c r="G447" t="s">
        <v>1603</v>
      </c>
      <c r="H447" t="s">
        <v>2389</v>
      </c>
      <c r="I447" t="s">
        <v>22</v>
      </c>
      <c r="J447">
        <v>0.66700000000000004</v>
      </c>
      <c r="K447">
        <v>2.4</v>
      </c>
      <c r="L447">
        <v>5</v>
      </c>
      <c r="M447">
        <v>0.873</v>
      </c>
      <c r="N447" t="s">
        <v>23</v>
      </c>
      <c r="O447" s="1">
        <v>44320</v>
      </c>
      <c r="S447" t="s">
        <v>915</v>
      </c>
      <c r="T447" s="6" t="s">
        <v>947</v>
      </c>
      <c r="U447" s="6" t="s">
        <v>946</v>
      </c>
      <c r="V447" s="2" t="s">
        <v>923</v>
      </c>
      <c r="W447" t="str">
        <f t="shared" si="6"/>
        <v>2000055218_20205</v>
      </c>
      <c r="X447" s="2" t="s">
        <v>1616</v>
      </c>
    </row>
    <row r="448" spans="1:24" hidden="1" x14ac:dyDescent="0.35">
      <c r="B448">
        <v>2000055218</v>
      </c>
      <c r="C448" s="1">
        <v>44312</v>
      </c>
      <c r="D448" t="s">
        <v>2386</v>
      </c>
      <c r="F448" t="s">
        <v>39</v>
      </c>
      <c r="G448" t="s">
        <v>1603</v>
      </c>
      <c r="H448" t="s">
        <v>2389</v>
      </c>
      <c r="I448" t="s">
        <v>22</v>
      </c>
      <c r="J448">
        <v>0.879</v>
      </c>
      <c r="K448">
        <v>2.4</v>
      </c>
      <c r="L448">
        <v>6</v>
      </c>
      <c r="M448">
        <v>0.86</v>
      </c>
      <c r="N448" t="s">
        <v>2310</v>
      </c>
      <c r="O448" s="1">
        <v>45042</v>
      </c>
      <c r="S448" t="s">
        <v>915</v>
      </c>
      <c r="T448" s="6" t="s">
        <v>946</v>
      </c>
      <c r="U448" s="6" t="s">
        <v>924</v>
      </c>
      <c r="V448" s="2" t="s">
        <v>952</v>
      </c>
      <c r="W448" t="str">
        <f t="shared" si="6"/>
        <v>2000055218_20214</v>
      </c>
      <c r="X448" s="2" t="s">
        <v>1616</v>
      </c>
    </row>
    <row r="449" spans="1:24" hidden="1" x14ac:dyDescent="0.35">
      <c r="B449">
        <v>2000055218</v>
      </c>
      <c r="C449" s="1">
        <v>45007</v>
      </c>
      <c r="D449" t="s">
        <v>2386</v>
      </c>
      <c r="F449" t="s">
        <v>39</v>
      </c>
      <c r="G449" t="s">
        <v>1603</v>
      </c>
      <c r="H449" t="s">
        <v>2390</v>
      </c>
      <c r="I449" t="s">
        <v>22</v>
      </c>
      <c r="J449">
        <v>0.93300000000000005</v>
      </c>
      <c r="K449">
        <v>3</v>
      </c>
      <c r="L449">
        <v>1</v>
      </c>
      <c r="M449">
        <v>0.85</v>
      </c>
      <c r="N449" t="s">
        <v>2314</v>
      </c>
      <c r="O449" s="1">
        <v>46103</v>
      </c>
      <c r="S449" t="s">
        <v>915</v>
      </c>
      <c r="T449" s="6" t="s">
        <v>941</v>
      </c>
      <c r="U449" s="6" t="s">
        <v>933</v>
      </c>
      <c r="V449" s="2" t="s">
        <v>955</v>
      </c>
      <c r="W449" t="str">
        <f t="shared" si="6"/>
        <v>2000055218_20233</v>
      </c>
      <c r="X449" s="2" t="s">
        <v>1616</v>
      </c>
    </row>
    <row r="450" spans="1:24" hidden="1" x14ac:dyDescent="0.35">
      <c r="A450">
        <v>3</v>
      </c>
      <c r="B450">
        <v>2000055221</v>
      </c>
      <c r="C450" s="1">
        <v>45303</v>
      </c>
      <c r="D450" t="s">
        <v>1605</v>
      </c>
      <c r="E450" t="s">
        <v>18</v>
      </c>
      <c r="F450" t="s">
        <v>39</v>
      </c>
      <c r="G450" t="s">
        <v>1606</v>
      </c>
      <c r="H450" t="s">
        <v>1607</v>
      </c>
      <c r="I450" t="s">
        <v>41</v>
      </c>
      <c r="J450">
        <v>0.92900000000000005</v>
      </c>
      <c r="K450">
        <v>3</v>
      </c>
      <c r="L450">
        <v>2</v>
      </c>
      <c r="M450">
        <v>0.86</v>
      </c>
      <c r="N450" t="s">
        <v>368</v>
      </c>
      <c r="O450" s="1">
        <v>46399</v>
      </c>
      <c r="R450" t="s">
        <v>1613</v>
      </c>
      <c r="S450" t="s">
        <v>915</v>
      </c>
      <c r="T450" s="5" t="s">
        <v>953</v>
      </c>
      <c r="U450" s="5" t="s">
        <v>949</v>
      </c>
      <c r="V450" t="s">
        <v>956</v>
      </c>
      <c r="W450" t="str">
        <f t="shared" ref="W450:W513" si="7">CONCATENATE(B450,"_",V450,T450)</f>
        <v>2000055221_20241</v>
      </c>
      <c r="X450" s="2" t="s">
        <v>1616</v>
      </c>
    </row>
    <row r="451" spans="1:24" hidden="1" x14ac:dyDescent="0.35">
      <c r="B451">
        <v>2000055221</v>
      </c>
      <c r="C451" s="1">
        <v>44568</v>
      </c>
      <c r="D451" t="s">
        <v>1605</v>
      </c>
      <c r="F451" t="s">
        <v>39</v>
      </c>
      <c r="G451" t="s">
        <v>1606</v>
      </c>
      <c r="H451" t="s">
        <v>1607</v>
      </c>
      <c r="I451" t="s">
        <v>41</v>
      </c>
      <c r="J451">
        <v>0.80600000000000005</v>
      </c>
      <c r="K451">
        <v>3</v>
      </c>
      <c r="L451">
        <v>3</v>
      </c>
      <c r="M451">
        <v>0.86</v>
      </c>
      <c r="N451" t="s">
        <v>2310</v>
      </c>
      <c r="O451" s="1">
        <v>45298</v>
      </c>
      <c r="S451" t="s">
        <v>915</v>
      </c>
      <c r="T451" s="6" t="s">
        <v>953</v>
      </c>
      <c r="U451" s="6" t="s">
        <v>936</v>
      </c>
      <c r="V451" s="2" t="s">
        <v>954</v>
      </c>
      <c r="W451" t="str">
        <f t="shared" si="7"/>
        <v>2000055221_20221</v>
      </c>
      <c r="X451" s="2" t="s">
        <v>1616</v>
      </c>
    </row>
    <row r="452" spans="1:24" hidden="1" x14ac:dyDescent="0.35">
      <c r="A452">
        <v>33</v>
      </c>
      <c r="B452">
        <v>2000055223</v>
      </c>
      <c r="C452" s="1">
        <v>45419</v>
      </c>
      <c r="D452" t="s">
        <v>1719</v>
      </c>
      <c r="E452" t="s">
        <v>18</v>
      </c>
      <c r="F452" t="s">
        <v>19</v>
      </c>
      <c r="G452" t="s">
        <v>1720</v>
      </c>
      <c r="H452" t="s">
        <v>1721</v>
      </c>
      <c r="I452" t="s">
        <v>22</v>
      </c>
      <c r="J452">
        <v>1</v>
      </c>
      <c r="K452">
        <v>3</v>
      </c>
      <c r="L452">
        <v>0</v>
      </c>
      <c r="M452">
        <v>1</v>
      </c>
      <c r="N452" t="s">
        <v>368</v>
      </c>
      <c r="O452" s="1">
        <v>46514</v>
      </c>
      <c r="P452" t="s">
        <v>165</v>
      </c>
      <c r="Q452" t="s">
        <v>1722</v>
      </c>
      <c r="R452" t="s">
        <v>1723</v>
      </c>
      <c r="S452" t="s">
        <v>915</v>
      </c>
      <c r="T452" s="5" t="s">
        <v>947</v>
      </c>
      <c r="U452" s="5" t="s">
        <v>936</v>
      </c>
      <c r="V452" t="s">
        <v>956</v>
      </c>
      <c r="W452" t="str">
        <f t="shared" si="7"/>
        <v>2000055223_20245</v>
      </c>
      <c r="X452" s="2" t="s">
        <v>1616</v>
      </c>
    </row>
    <row r="453" spans="1:24" hidden="1" x14ac:dyDescent="0.35">
      <c r="B453">
        <v>2000055223</v>
      </c>
      <c r="C453" s="1">
        <v>43580</v>
      </c>
      <c r="D453" t="s">
        <v>1719</v>
      </c>
      <c r="F453" t="s">
        <v>19</v>
      </c>
      <c r="G453" t="s">
        <v>1720</v>
      </c>
      <c r="H453" t="s">
        <v>2391</v>
      </c>
      <c r="I453" t="s">
        <v>22</v>
      </c>
      <c r="J453">
        <v>0.82299999999999995</v>
      </c>
      <c r="K453">
        <v>2.6</v>
      </c>
      <c r="L453">
        <v>5</v>
      </c>
      <c r="N453" t="s">
        <v>2310</v>
      </c>
      <c r="O453" s="1">
        <v>44311</v>
      </c>
      <c r="S453" t="s">
        <v>915</v>
      </c>
      <c r="T453" s="6" t="s">
        <v>946</v>
      </c>
      <c r="U453" s="6" t="s">
        <v>922</v>
      </c>
      <c r="V453" s="2" t="s">
        <v>1618</v>
      </c>
      <c r="W453" t="str">
        <f t="shared" si="7"/>
        <v>2000055223_20194</v>
      </c>
      <c r="X453" s="2" t="s">
        <v>1616</v>
      </c>
    </row>
    <row r="454" spans="1:24" hidden="1" x14ac:dyDescent="0.35">
      <c r="B454">
        <v>2000055223</v>
      </c>
      <c r="C454" s="1">
        <v>44375</v>
      </c>
      <c r="D454" t="s">
        <v>1719</v>
      </c>
      <c r="F454" t="s">
        <v>19</v>
      </c>
      <c r="G454" t="s">
        <v>1720</v>
      </c>
      <c r="H454" t="s">
        <v>2392</v>
      </c>
      <c r="I454" t="s">
        <v>22</v>
      </c>
      <c r="J454">
        <v>0.90200000000000002</v>
      </c>
      <c r="K454">
        <v>3</v>
      </c>
      <c r="L454">
        <v>2</v>
      </c>
      <c r="M454">
        <v>0.96</v>
      </c>
      <c r="N454" t="s">
        <v>2314</v>
      </c>
      <c r="O454" s="1">
        <v>45417</v>
      </c>
      <c r="S454" t="s">
        <v>915</v>
      </c>
      <c r="T454" s="6" t="s">
        <v>927</v>
      </c>
      <c r="U454" s="6" t="s">
        <v>926</v>
      </c>
      <c r="V454" s="2" t="s">
        <v>952</v>
      </c>
      <c r="W454" t="str">
        <f t="shared" si="7"/>
        <v>2000055223_20216</v>
      </c>
      <c r="X454" s="2" t="s">
        <v>1616</v>
      </c>
    </row>
    <row r="455" spans="1:24" hidden="1" x14ac:dyDescent="0.35">
      <c r="A455">
        <v>148</v>
      </c>
      <c r="B455">
        <v>2000055228</v>
      </c>
      <c r="C455" s="1">
        <v>45607</v>
      </c>
      <c r="D455" t="s">
        <v>3261</v>
      </c>
      <c r="E455" t="s">
        <v>18</v>
      </c>
      <c r="F455" t="s">
        <v>19</v>
      </c>
      <c r="G455" t="s">
        <v>1603</v>
      </c>
      <c r="H455" t="s">
        <v>3262</v>
      </c>
      <c r="I455" t="s">
        <v>22</v>
      </c>
      <c r="J455">
        <v>0.71699999999999997</v>
      </c>
      <c r="K455">
        <v>2.6</v>
      </c>
      <c r="L455">
        <v>9</v>
      </c>
      <c r="M455">
        <v>0.79</v>
      </c>
      <c r="N455" t="s">
        <v>23</v>
      </c>
      <c r="O455" s="1">
        <v>45972</v>
      </c>
      <c r="S455" t="s">
        <v>915</v>
      </c>
      <c r="T455" s="5" t="s">
        <v>945</v>
      </c>
      <c r="U455" s="5" t="s">
        <v>945</v>
      </c>
      <c r="V455" t="s">
        <v>956</v>
      </c>
      <c r="W455" t="str">
        <f t="shared" si="7"/>
        <v>2000055228_202411</v>
      </c>
      <c r="X455" t="s">
        <v>1616</v>
      </c>
    </row>
    <row r="456" spans="1:24" hidden="1" x14ac:dyDescent="0.35">
      <c r="A456">
        <v>12</v>
      </c>
      <c r="B456">
        <v>2000055449</v>
      </c>
      <c r="C456" s="1">
        <v>45706</v>
      </c>
      <c r="D456" t="s">
        <v>3503</v>
      </c>
      <c r="E456" t="s">
        <v>18</v>
      </c>
      <c r="F456" t="s">
        <v>43</v>
      </c>
      <c r="G456" t="s">
        <v>1606</v>
      </c>
      <c r="H456" t="s">
        <v>3504</v>
      </c>
      <c r="I456" t="s">
        <v>41</v>
      </c>
      <c r="J456">
        <v>1</v>
      </c>
      <c r="K456">
        <v>3</v>
      </c>
      <c r="L456">
        <v>0</v>
      </c>
      <c r="M456">
        <v>0.97</v>
      </c>
      <c r="N456" t="s">
        <v>2314</v>
      </c>
      <c r="O456" s="1">
        <v>46801</v>
      </c>
      <c r="R456" t="s">
        <v>1613</v>
      </c>
      <c r="S456" t="s">
        <v>915</v>
      </c>
      <c r="T456" s="5" t="s">
        <v>921</v>
      </c>
      <c r="U456" s="5" t="s">
        <v>930</v>
      </c>
      <c r="V456" t="s">
        <v>1650</v>
      </c>
      <c r="W456" t="str">
        <f t="shared" si="7"/>
        <v>2000055449_20252</v>
      </c>
      <c r="X456" t="s">
        <v>1616</v>
      </c>
    </row>
    <row r="457" spans="1:24" hidden="1" x14ac:dyDescent="0.35">
      <c r="B457">
        <v>2000055234</v>
      </c>
      <c r="C457" s="1">
        <v>43958</v>
      </c>
      <c r="D457" t="s">
        <v>2395</v>
      </c>
      <c r="F457" t="s">
        <v>19</v>
      </c>
      <c r="G457" t="s">
        <v>1609</v>
      </c>
      <c r="H457" t="s">
        <v>2396</v>
      </c>
      <c r="I457" t="s">
        <v>22</v>
      </c>
      <c r="J457">
        <v>0.97</v>
      </c>
      <c r="K457">
        <v>3</v>
      </c>
      <c r="L457">
        <v>0</v>
      </c>
      <c r="M457">
        <v>1</v>
      </c>
      <c r="N457" t="s">
        <v>2310</v>
      </c>
      <c r="O457" s="1">
        <v>44688</v>
      </c>
      <c r="S457" t="s">
        <v>915</v>
      </c>
      <c r="T457" s="6" t="s">
        <v>947</v>
      </c>
      <c r="U457" s="6" t="s">
        <v>936</v>
      </c>
      <c r="V457" s="2" t="s">
        <v>923</v>
      </c>
      <c r="W457" t="str">
        <f t="shared" si="7"/>
        <v>2000055234_20205</v>
      </c>
      <c r="X457" s="2" t="s">
        <v>1616</v>
      </c>
    </row>
    <row r="458" spans="1:24" hidden="1" x14ac:dyDescent="0.35">
      <c r="B458">
        <v>2000055234</v>
      </c>
      <c r="C458" s="1">
        <v>44634</v>
      </c>
      <c r="D458" t="s">
        <v>2395</v>
      </c>
      <c r="F458" t="s">
        <v>19</v>
      </c>
      <c r="G458" t="s">
        <v>1609</v>
      </c>
      <c r="H458" t="s">
        <v>2396</v>
      </c>
      <c r="I458" t="s">
        <v>22</v>
      </c>
      <c r="J458">
        <v>0.97899999999999998</v>
      </c>
      <c r="K458">
        <v>3</v>
      </c>
      <c r="L458">
        <v>0</v>
      </c>
      <c r="M458">
        <v>1</v>
      </c>
      <c r="N458" t="s">
        <v>2314</v>
      </c>
      <c r="O458" s="1">
        <v>45730</v>
      </c>
      <c r="S458" t="s">
        <v>915</v>
      </c>
      <c r="T458" s="6" t="s">
        <v>941</v>
      </c>
      <c r="U458" s="6" t="s">
        <v>951</v>
      </c>
      <c r="V458" s="2" t="s">
        <v>954</v>
      </c>
      <c r="W458" t="str">
        <f t="shared" si="7"/>
        <v>2000055234_20223</v>
      </c>
      <c r="X458" s="2" t="s">
        <v>1616</v>
      </c>
    </row>
    <row r="459" spans="1:24" hidden="1" x14ac:dyDescent="0.35">
      <c r="A459">
        <v>13</v>
      </c>
      <c r="B459">
        <v>2000055234</v>
      </c>
      <c r="C459" s="1">
        <v>45707</v>
      </c>
      <c r="D459" t="s">
        <v>2395</v>
      </c>
      <c r="E459" t="s">
        <v>18</v>
      </c>
      <c r="F459" t="s">
        <v>19</v>
      </c>
      <c r="G459" t="s">
        <v>1817</v>
      </c>
      <c r="H459" t="s">
        <v>2396</v>
      </c>
      <c r="I459" t="s">
        <v>22</v>
      </c>
      <c r="J459">
        <v>0.96</v>
      </c>
      <c r="K459">
        <v>3</v>
      </c>
      <c r="L459">
        <v>0</v>
      </c>
      <c r="M459">
        <v>1</v>
      </c>
      <c r="N459" t="s">
        <v>2314</v>
      </c>
      <c r="O459" s="1">
        <v>46802</v>
      </c>
      <c r="P459" t="s">
        <v>3505</v>
      </c>
      <c r="Q459" t="s">
        <v>3506</v>
      </c>
      <c r="S459" t="s">
        <v>915</v>
      </c>
      <c r="T459" s="5" t="s">
        <v>921</v>
      </c>
      <c r="U459" s="5" t="s">
        <v>931</v>
      </c>
      <c r="V459" t="s">
        <v>1650</v>
      </c>
      <c r="W459" t="str">
        <f t="shared" si="7"/>
        <v>2000055234_20252</v>
      </c>
      <c r="X459" t="s">
        <v>1616</v>
      </c>
    </row>
    <row r="460" spans="1:24" hidden="1" x14ac:dyDescent="0.35">
      <c r="B460">
        <v>2000055277</v>
      </c>
      <c r="C460" s="1">
        <v>44133</v>
      </c>
      <c r="D460" t="s">
        <v>2399</v>
      </c>
      <c r="F460" t="s">
        <v>19</v>
      </c>
      <c r="G460" t="s">
        <v>1606</v>
      </c>
      <c r="H460" t="s">
        <v>2400</v>
      </c>
      <c r="I460" t="s">
        <v>22</v>
      </c>
      <c r="J460">
        <v>0.9</v>
      </c>
      <c r="K460">
        <v>3</v>
      </c>
      <c r="L460">
        <v>1</v>
      </c>
      <c r="M460">
        <v>0.9</v>
      </c>
      <c r="N460" t="s">
        <v>2310</v>
      </c>
      <c r="O460" s="1">
        <v>44863</v>
      </c>
      <c r="S460" t="s">
        <v>915</v>
      </c>
      <c r="T460" s="6" t="s">
        <v>948</v>
      </c>
      <c r="U460" s="6" t="s">
        <v>937</v>
      </c>
      <c r="V460" s="2" t="s">
        <v>923</v>
      </c>
      <c r="W460" t="str">
        <f t="shared" si="7"/>
        <v>2000055277_202010</v>
      </c>
      <c r="X460" s="2" t="s">
        <v>1616</v>
      </c>
    </row>
    <row r="461" spans="1:24" hidden="1" x14ac:dyDescent="0.35">
      <c r="B461">
        <v>2000055277</v>
      </c>
      <c r="C461" s="1">
        <v>44761</v>
      </c>
      <c r="D461" t="s">
        <v>2399</v>
      </c>
      <c r="F461" t="s">
        <v>19</v>
      </c>
      <c r="G461" t="s">
        <v>1606</v>
      </c>
      <c r="H461" t="s">
        <v>2401</v>
      </c>
      <c r="I461" t="s">
        <v>22</v>
      </c>
      <c r="J461">
        <v>0.98299999999999998</v>
      </c>
      <c r="K461">
        <v>3</v>
      </c>
      <c r="L461">
        <v>1</v>
      </c>
      <c r="M461">
        <v>0.82</v>
      </c>
      <c r="N461" t="s">
        <v>2314</v>
      </c>
      <c r="O461" s="1">
        <v>45857</v>
      </c>
      <c r="S461" t="s">
        <v>915</v>
      </c>
      <c r="T461" s="6" t="s">
        <v>936</v>
      </c>
      <c r="U461" s="6" t="s">
        <v>931</v>
      </c>
      <c r="V461" s="2" t="s">
        <v>954</v>
      </c>
      <c r="W461" t="str">
        <f t="shared" si="7"/>
        <v>2000055277_20227</v>
      </c>
      <c r="X461" s="2" t="s">
        <v>1616</v>
      </c>
    </row>
    <row r="462" spans="1:24" hidden="1" x14ac:dyDescent="0.35">
      <c r="A462">
        <v>15</v>
      </c>
      <c r="B462">
        <v>2000055233</v>
      </c>
      <c r="C462" s="1">
        <v>45708</v>
      </c>
      <c r="D462" t="s">
        <v>3508</v>
      </c>
      <c r="E462" t="s">
        <v>18</v>
      </c>
      <c r="F462" t="s">
        <v>1701</v>
      </c>
      <c r="G462" t="s">
        <v>1817</v>
      </c>
      <c r="H462" t="s">
        <v>3509</v>
      </c>
      <c r="I462" t="s">
        <v>22</v>
      </c>
      <c r="J462">
        <v>0.98599999999999999</v>
      </c>
      <c r="K462">
        <v>3</v>
      </c>
      <c r="L462">
        <v>0</v>
      </c>
      <c r="M462">
        <v>0.88</v>
      </c>
      <c r="N462" t="s">
        <v>2314</v>
      </c>
      <c r="O462" s="1">
        <v>46803</v>
      </c>
      <c r="Q462" t="s">
        <v>3510</v>
      </c>
      <c r="R462" t="s">
        <v>1613</v>
      </c>
      <c r="S462" t="s">
        <v>915</v>
      </c>
      <c r="T462" s="5" t="s">
        <v>921</v>
      </c>
      <c r="U462" s="5" t="s">
        <v>932</v>
      </c>
      <c r="V462" t="s">
        <v>1650</v>
      </c>
      <c r="W462" t="str">
        <f t="shared" si="7"/>
        <v>2000055233_20252</v>
      </c>
      <c r="X462" t="s">
        <v>1616</v>
      </c>
    </row>
    <row r="463" spans="1:24" hidden="1" x14ac:dyDescent="0.35">
      <c r="A463">
        <v>30</v>
      </c>
      <c r="B463">
        <v>2000055279</v>
      </c>
      <c r="C463" s="1">
        <v>45407</v>
      </c>
      <c r="D463" t="s">
        <v>1712</v>
      </c>
      <c r="E463" t="s">
        <v>18</v>
      </c>
      <c r="F463" t="s">
        <v>1602</v>
      </c>
      <c r="G463" t="s">
        <v>1708</v>
      </c>
      <c r="H463" t="s">
        <v>1713</v>
      </c>
      <c r="I463" t="s">
        <v>41</v>
      </c>
      <c r="J463">
        <v>0.95</v>
      </c>
      <c r="K463">
        <v>3</v>
      </c>
      <c r="L463">
        <v>1</v>
      </c>
      <c r="M463">
        <v>0.85</v>
      </c>
      <c r="N463" t="s">
        <v>368</v>
      </c>
      <c r="O463" s="1">
        <v>46502</v>
      </c>
      <c r="S463" t="s">
        <v>915</v>
      </c>
      <c r="T463" s="5" t="s">
        <v>946</v>
      </c>
      <c r="U463" s="5" t="s">
        <v>922</v>
      </c>
      <c r="V463" t="s">
        <v>956</v>
      </c>
      <c r="W463" t="str">
        <f t="shared" si="7"/>
        <v>2000055279_20244</v>
      </c>
      <c r="X463" s="2" t="s">
        <v>1616</v>
      </c>
    </row>
    <row r="464" spans="1:24" hidden="1" x14ac:dyDescent="0.35">
      <c r="A464">
        <v>14</v>
      </c>
      <c r="B464">
        <v>2000055297</v>
      </c>
      <c r="C464" s="1">
        <v>44289</v>
      </c>
      <c r="D464" t="s">
        <v>178</v>
      </c>
      <c r="E464" t="s">
        <v>18</v>
      </c>
      <c r="F464" t="s">
        <v>32</v>
      </c>
      <c r="G464" t="s">
        <v>168</v>
      </c>
      <c r="H464" t="s">
        <v>179</v>
      </c>
      <c r="I464" t="s">
        <v>41</v>
      </c>
      <c r="J464">
        <v>0.86499999999999999</v>
      </c>
      <c r="K464">
        <v>2.2999999999999998</v>
      </c>
      <c r="L464">
        <v>5</v>
      </c>
      <c r="M464">
        <v>0.97</v>
      </c>
      <c r="N464" t="s">
        <v>28</v>
      </c>
      <c r="O464" s="1">
        <v>45019</v>
      </c>
      <c r="S464" t="s">
        <v>915</v>
      </c>
      <c r="T464" s="6" t="s">
        <v>946</v>
      </c>
      <c r="U464" s="6" t="s">
        <v>941</v>
      </c>
      <c r="V464" s="2" t="s">
        <v>952</v>
      </c>
      <c r="W464" t="str">
        <f t="shared" si="7"/>
        <v>2000055297_20214</v>
      </c>
      <c r="X464" s="2" t="s">
        <v>1615</v>
      </c>
    </row>
    <row r="465" spans="1:24" hidden="1" x14ac:dyDescent="0.35">
      <c r="A465">
        <v>18</v>
      </c>
      <c r="B465">
        <v>2000055297</v>
      </c>
      <c r="C465" s="1">
        <v>45009</v>
      </c>
      <c r="D465" t="s">
        <v>178</v>
      </c>
      <c r="E465" t="s">
        <v>18</v>
      </c>
      <c r="F465" t="s">
        <v>32</v>
      </c>
      <c r="G465" t="s">
        <v>168</v>
      </c>
      <c r="H465" t="s">
        <v>556</v>
      </c>
      <c r="I465" t="s">
        <v>41</v>
      </c>
      <c r="J465">
        <v>0.92900000000000005</v>
      </c>
      <c r="K465">
        <v>2.2999999999999998</v>
      </c>
      <c r="L465">
        <v>7</v>
      </c>
      <c r="M465">
        <v>0.97</v>
      </c>
      <c r="N465" t="s">
        <v>28</v>
      </c>
      <c r="O465" s="1">
        <v>45740</v>
      </c>
      <c r="S465" t="s">
        <v>915</v>
      </c>
      <c r="T465" s="6" t="s">
        <v>941</v>
      </c>
      <c r="U465" s="6" t="s">
        <v>935</v>
      </c>
      <c r="V465" s="2" t="s">
        <v>955</v>
      </c>
      <c r="W465" t="str">
        <f t="shared" si="7"/>
        <v>2000055297_20233</v>
      </c>
      <c r="X465" s="2" t="s">
        <v>1615</v>
      </c>
    </row>
    <row r="466" spans="1:24" hidden="1" x14ac:dyDescent="0.35">
      <c r="B466">
        <v>2000055358</v>
      </c>
      <c r="C466" s="1">
        <v>44397</v>
      </c>
      <c r="D466" t="s">
        <v>1853</v>
      </c>
      <c r="F466" t="s">
        <v>39</v>
      </c>
      <c r="G466" t="s">
        <v>1609</v>
      </c>
      <c r="H466" t="s">
        <v>2405</v>
      </c>
      <c r="I466" t="s">
        <v>41</v>
      </c>
      <c r="J466">
        <v>0.90400000000000003</v>
      </c>
      <c r="K466">
        <v>3</v>
      </c>
      <c r="L466">
        <v>2</v>
      </c>
      <c r="M466">
        <v>1</v>
      </c>
      <c r="N466" t="s">
        <v>2314</v>
      </c>
      <c r="O466" s="1">
        <v>45493</v>
      </c>
      <c r="S466" t="s">
        <v>915</v>
      </c>
      <c r="T466" s="6" t="s">
        <v>936</v>
      </c>
      <c r="U466" s="6" t="s">
        <v>932</v>
      </c>
      <c r="V466" s="2" t="s">
        <v>952</v>
      </c>
      <c r="W466" t="str">
        <f t="shared" si="7"/>
        <v>2000055358_20217</v>
      </c>
      <c r="X466" s="2" t="s">
        <v>1616</v>
      </c>
    </row>
    <row r="467" spans="1:24" hidden="1" x14ac:dyDescent="0.35">
      <c r="A467">
        <v>87</v>
      </c>
      <c r="B467">
        <v>2000055358</v>
      </c>
      <c r="C467" s="1">
        <v>45497</v>
      </c>
      <c r="D467" t="s">
        <v>1853</v>
      </c>
      <c r="E467" t="s">
        <v>18</v>
      </c>
      <c r="F467" t="s">
        <v>39</v>
      </c>
      <c r="G467" t="s">
        <v>1817</v>
      </c>
      <c r="H467" t="s">
        <v>1854</v>
      </c>
      <c r="I467" t="s">
        <v>41</v>
      </c>
      <c r="J467">
        <v>1</v>
      </c>
      <c r="K467">
        <v>3</v>
      </c>
      <c r="L467">
        <v>0</v>
      </c>
      <c r="M467">
        <v>1</v>
      </c>
      <c r="N467" t="s">
        <v>368</v>
      </c>
      <c r="O467" s="1">
        <v>46592</v>
      </c>
      <c r="Q467" t="s">
        <v>1855</v>
      </c>
      <c r="R467" t="s">
        <v>1723</v>
      </c>
      <c r="S467" t="s">
        <v>915</v>
      </c>
      <c r="T467" s="5" t="s">
        <v>936</v>
      </c>
      <c r="U467" s="5" t="s">
        <v>935</v>
      </c>
      <c r="V467" t="s">
        <v>956</v>
      </c>
      <c r="W467" t="str">
        <f t="shared" si="7"/>
        <v>2000055358_20247</v>
      </c>
      <c r="X467" s="2" t="s">
        <v>1616</v>
      </c>
    </row>
    <row r="468" spans="1:24" hidden="1" x14ac:dyDescent="0.35">
      <c r="B468">
        <v>2000055362</v>
      </c>
      <c r="C468" s="1">
        <v>44004</v>
      </c>
      <c r="D468" t="s">
        <v>2406</v>
      </c>
      <c r="F468" t="s">
        <v>52</v>
      </c>
      <c r="G468" t="s">
        <v>1606</v>
      </c>
      <c r="H468" t="s">
        <v>2407</v>
      </c>
      <c r="I468" t="s">
        <v>41</v>
      </c>
      <c r="J468">
        <v>0.88900000000000001</v>
      </c>
      <c r="K468">
        <v>3</v>
      </c>
      <c r="L468">
        <v>3</v>
      </c>
      <c r="M468">
        <v>0.88</v>
      </c>
      <c r="N468" t="s">
        <v>2310</v>
      </c>
      <c r="O468" s="1">
        <v>44734</v>
      </c>
      <c r="S468" t="s">
        <v>915</v>
      </c>
      <c r="T468" s="6" t="s">
        <v>927</v>
      </c>
      <c r="U468" s="6" t="s">
        <v>933</v>
      </c>
      <c r="V468" s="2" t="s">
        <v>923</v>
      </c>
      <c r="W468" t="str">
        <f t="shared" si="7"/>
        <v>2000055362_20206</v>
      </c>
      <c r="X468" s="2" t="s">
        <v>1616</v>
      </c>
    </row>
    <row r="469" spans="1:24" hidden="1" x14ac:dyDescent="0.35">
      <c r="B469">
        <v>2000055362</v>
      </c>
      <c r="C469" s="1">
        <v>44700</v>
      </c>
      <c r="D469" t="s">
        <v>2406</v>
      </c>
      <c r="F469" t="s">
        <v>52</v>
      </c>
      <c r="G469" t="s">
        <v>1606</v>
      </c>
      <c r="H469" t="s">
        <v>2408</v>
      </c>
      <c r="I469" t="s">
        <v>41</v>
      </c>
      <c r="J469">
        <v>0.95</v>
      </c>
      <c r="K469">
        <v>3</v>
      </c>
      <c r="L469">
        <v>1</v>
      </c>
      <c r="M469">
        <v>0.94</v>
      </c>
      <c r="N469" t="s">
        <v>2314</v>
      </c>
      <c r="O469" s="1">
        <v>45796</v>
      </c>
      <c r="S469" t="s">
        <v>915</v>
      </c>
      <c r="T469" s="6" t="s">
        <v>947</v>
      </c>
      <c r="U469" s="6" t="s">
        <v>931</v>
      </c>
      <c r="V469" s="2" t="s">
        <v>954</v>
      </c>
      <c r="W469" t="str">
        <f t="shared" si="7"/>
        <v>2000055362_20225</v>
      </c>
      <c r="X469" s="2" t="s">
        <v>1616</v>
      </c>
    </row>
    <row r="470" spans="1:24" x14ac:dyDescent="0.35">
      <c r="A470">
        <v>14</v>
      </c>
      <c r="B470">
        <v>2000055457</v>
      </c>
      <c r="C470" s="1">
        <v>45708</v>
      </c>
      <c r="D470" t="s">
        <v>2498</v>
      </c>
      <c r="E470" t="s">
        <v>18</v>
      </c>
      <c r="F470" t="s">
        <v>1701</v>
      </c>
      <c r="G470" t="s">
        <v>1817</v>
      </c>
      <c r="H470" t="s">
        <v>3507</v>
      </c>
      <c r="I470" t="s">
        <v>41</v>
      </c>
      <c r="J470">
        <v>1</v>
      </c>
      <c r="K470">
        <v>3</v>
      </c>
      <c r="L470">
        <v>0</v>
      </c>
      <c r="M470">
        <v>0.97</v>
      </c>
      <c r="N470" t="s">
        <v>2314</v>
      </c>
      <c r="O470" s="1">
        <v>46803</v>
      </c>
      <c r="S470" t="s">
        <v>915</v>
      </c>
      <c r="T470" s="5" t="s">
        <v>921</v>
      </c>
      <c r="U470" s="5" t="s">
        <v>932</v>
      </c>
      <c r="V470" t="s">
        <v>1650</v>
      </c>
      <c r="W470" t="str">
        <f t="shared" si="7"/>
        <v>2000055457_20252</v>
      </c>
      <c r="X470" t="s">
        <v>1616</v>
      </c>
    </row>
    <row r="471" spans="1:24" hidden="1" x14ac:dyDescent="0.35">
      <c r="B471">
        <v>2000055366</v>
      </c>
      <c r="C471" s="1">
        <v>44007</v>
      </c>
      <c r="D471" t="s">
        <v>2409</v>
      </c>
      <c r="F471" t="s">
        <v>52</v>
      </c>
      <c r="G471" t="s">
        <v>1606</v>
      </c>
      <c r="H471" t="s">
        <v>2410</v>
      </c>
      <c r="I471" t="s">
        <v>41</v>
      </c>
      <c r="J471">
        <v>0.97799999999999998</v>
      </c>
      <c r="K471">
        <v>3</v>
      </c>
      <c r="L471">
        <v>0</v>
      </c>
      <c r="M471">
        <v>0.8</v>
      </c>
      <c r="N471" t="s">
        <v>2310</v>
      </c>
      <c r="O471" s="1">
        <v>44737</v>
      </c>
      <c r="S471" t="s">
        <v>915</v>
      </c>
      <c r="T471" s="6" t="s">
        <v>927</v>
      </c>
      <c r="U471" s="6" t="s">
        <v>922</v>
      </c>
      <c r="V471" s="2" t="s">
        <v>923</v>
      </c>
      <c r="W471" t="str">
        <f t="shared" si="7"/>
        <v>2000055366_20206</v>
      </c>
      <c r="X471" s="2" t="s">
        <v>1616</v>
      </c>
    </row>
    <row r="472" spans="1:24" hidden="1" x14ac:dyDescent="0.35">
      <c r="B472">
        <v>2000055366</v>
      </c>
      <c r="C472" s="1">
        <v>44700</v>
      </c>
      <c r="D472" t="s">
        <v>2409</v>
      </c>
      <c r="F472" t="s">
        <v>52</v>
      </c>
      <c r="G472" t="s">
        <v>1606</v>
      </c>
      <c r="H472" t="s">
        <v>2411</v>
      </c>
      <c r="I472" t="s">
        <v>41</v>
      </c>
      <c r="J472">
        <v>0.97699999999999998</v>
      </c>
      <c r="K472">
        <v>3</v>
      </c>
      <c r="L472">
        <v>1</v>
      </c>
      <c r="M472">
        <v>0.85</v>
      </c>
      <c r="N472" t="s">
        <v>2314</v>
      </c>
      <c r="O472" s="1">
        <v>45796</v>
      </c>
      <c r="S472" t="s">
        <v>915</v>
      </c>
      <c r="T472" s="6" t="s">
        <v>947</v>
      </c>
      <c r="U472" s="6" t="s">
        <v>931</v>
      </c>
      <c r="V472" s="2" t="s">
        <v>954</v>
      </c>
      <c r="W472" t="str">
        <f t="shared" si="7"/>
        <v>2000055366_20225</v>
      </c>
      <c r="X472" s="2" t="s">
        <v>1616</v>
      </c>
    </row>
    <row r="473" spans="1:24" hidden="1" x14ac:dyDescent="0.35">
      <c r="A473">
        <v>16</v>
      </c>
      <c r="B473">
        <v>2000057889</v>
      </c>
      <c r="C473" s="1">
        <v>45709</v>
      </c>
      <c r="D473" t="s">
        <v>2958</v>
      </c>
      <c r="E473" t="s">
        <v>18</v>
      </c>
      <c r="F473" t="s">
        <v>43</v>
      </c>
      <c r="G473" t="s">
        <v>3511</v>
      </c>
      <c r="H473" t="s">
        <v>2960</v>
      </c>
      <c r="I473" t="s">
        <v>22</v>
      </c>
      <c r="J473">
        <v>1</v>
      </c>
      <c r="K473">
        <v>3</v>
      </c>
      <c r="L473">
        <v>0</v>
      </c>
      <c r="M473">
        <v>0.94</v>
      </c>
      <c r="N473" t="s">
        <v>2314</v>
      </c>
      <c r="O473" s="1">
        <v>46804</v>
      </c>
      <c r="P473" t="s">
        <v>3512</v>
      </c>
      <c r="Q473" t="s">
        <v>50</v>
      </c>
      <c r="R473" t="s">
        <v>1613</v>
      </c>
      <c r="S473" t="s">
        <v>915</v>
      </c>
      <c r="T473" s="5" t="s">
        <v>921</v>
      </c>
      <c r="U473" s="5" t="s">
        <v>944</v>
      </c>
      <c r="V473" t="s">
        <v>1650</v>
      </c>
      <c r="W473" t="str">
        <f t="shared" si="7"/>
        <v>2000057889_20252</v>
      </c>
      <c r="X473" t="s">
        <v>1616</v>
      </c>
    </row>
    <row r="474" spans="1:24" hidden="1" x14ac:dyDescent="0.35">
      <c r="B474">
        <v>2000055370</v>
      </c>
      <c r="C474" s="1">
        <v>45159</v>
      </c>
      <c r="D474" t="s">
        <v>2415</v>
      </c>
      <c r="F474" t="s">
        <v>376</v>
      </c>
      <c r="G474" t="s">
        <v>1606</v>
      </c>
      <c r="H474" t="s">
        <v>2416</v>
      </c>
      <c r="I474" t="s">
        <v>41</v>
      </c>
      <c r="J474">
        <v>0.97699999999999998</v>
      </c>
      <c r="K474">
        <v>3</v>
      </c>
      <c r="M474">
        <v>1</v>
      </c>
      <c r="N474" t="s">
        <v>2314</v>
      </c>
      <c r="O474" s="1">
        <v>46255</v>
      </c>
      <c r="S474" t="s">
        <v>915</v>
      </c>
      <c r="T474" s="6" t="s">
        <v>940</v>
      </c>
      <c r="U474" s="6" t="s">
        <v>944</v>
      </c>
      <c r="V474" s="2" t="s">
        <v>955</v>
      </c>
      <c r="W474" t="str">
        <f t="shared" si="7"/>
        <v>2000055370_20238</v>
      </c>
      <c r="X474" s="2" t="s">
        <v>1616</v>
      </c>
    </row>
    <row r="475" spans="1:24" hidden="1" x14ac:dyDescent="0.35">
      <c r="A475">
        <v>36</v>
      </c>
      <c r="B475">
        <v>2000055375</v>
      </c>
      <c r="C475" s="1">
        <v>45421</v>
      </c>
      <c r="D475" t="s">
        <v>1728</v>
      </c>
      <c r="E475" t="s">
        <v>18</v>
      </c>
      <c r="F475" t="s">
        <v>52</v>
      </c>
      <c r="G475" t="s">
        <v>1606</v>
      </c>
      <c r="H475" t="s">
        <v>1729</v>
      </c>
      <c r="I475" t="s">
        <v>41</v>
      </c>
      <c r="J475">
        <v>0.93799999999999994</v>
      </c>
      <c r="K475">
        <v>3</v>
      </c>
      <c r="L475">
        <v>2</v>
      </c>
      <c r="M475">
        <v>0.88</v>
      </c>
      <c r="N475" t="s">
        <v>368</v>
      </c>
      <c r="O475" s="1">
        <v>46516</v>
      </c>
      <c r="S475" t="s">
        <v>915</v>
      </c>
      <c r="T475" s="5" t="s">
        <v>947</v>
      </c>
      <c r="U475" s="5" t="s">
        <v>942</v>
      </c>
      <c r="V475" t="s">
        <v>956</v>
      </c>
      <c r="W475" t="str">
        <f t="shared" si="7"/>
        <v>2000055375_20245</v>
      </c>
      <c r="X475" s="2" t="s">
        <v>1616</v>
      </c>
    </row>
    <row r="476" spans="1:24" hidden="1" x14ac:dyDescent="0.35">
      <c r="B476">
        <v>2000055376</v>
      </c>
      <c r="C476" s="1">
        <v>43718</v>
      </c>
      <c r="D476" t="s">
        <v>2417</v>
      </c>
      <c r="F476" t="s">
        <v>39</v>
      </c>
      <c r="G476" t="s">
        <v>1606</v>
      </c>
      <c r="H476" t="s">
        <v>2418</v>
      </c>
      <c r="I476" t="s">
        <v>41</v>
      </c>
      <c r="J476">
        <v>0.88100000000000001</v>
      </c>
      <c r="K476">
        <v>2.6</v>
      </c>
      <c r="L476">
        <v>3</v>
      </c>
      <c r="N476" t="s">
        <v>2310</v>
      </c>
      <c r="O476" s="1">
        <v>44449</v>
      </c>
      <c r="S476" t="s">
        <v>915</v>
      </c>
      <c r="T476" s="6" t="s">
        <v>942</v>
      </c>
      <c r="U476" s="6" t="s">
        <v>948</v>
      </c>
      <c r="V476" s="2" t="s">
        <v>1618</v>
      </c>
      <c r="W476" t="str">
        <f t="shared" si="7"/>
        <v>2000055376_20199</v>
      </c>
      <c r="X476" s="2" t="s">
        <v>1616</v>
      </c>
    </row>
    <row r="477" spans="1:24" hidden="1" x14ac:dyDescent="0.35">
      <c r="B477">
        <v>2000055376</v>
      </c>
      <c r="C477" s="1">
        <v>44517</v>
      </c>
      <c r="D477" t="s">
        <v>2417</v>
      </c>
      <c r="F477" t="s">
        <v>39</v>
      </c>
      <c r="G477" t="s">
        <v>1606</v>
      </c>
      <c r="H477" t="s">
        <v>2419</v>
      </c>
      <c r="I477" t="s">
        <v>41</v>
      </c>
      <c r="J477">
        <v>0.9</v>
      </c>
      <c r="K477">
        <v>3</v>
      </c>
      <c r="L477">
        <v>3</v>
      </c>
      <c r="M477">
        <v>0.97</v>
      </c>
      <c r="N477" t="s">
        <v>2314</v>
      </c>
      <c r="O477" s="1">
        <v>45613</v>
      </c>
      <c r="S477" t="s">
        <v>915</v>
      </c>
      <c r="T477" s="6" t="s">
        <v>945</v>
      </c>
      <c r="U477" s="6" t="s">
        <v>929</v>
      </c>
      <c r="V477" s="2" t="s">
        <v>952</v>
      </c>
      <c r="W477" t="str">
        <f t="shared" si="7"/>
        <v>2000055376_202111</v>
      </c>
      <c r="X477" s="2" t="s">
        <v>1616</v>
      </c>
    </row>
    <row r="478" spans="1:24" hidden="1" x14ac:dyDescent="0.35">
      <c r="A478">
        <v>127</v>
      </c>
      <c r="B478">
        <v>2000055376</v>
      </c>
      <c r="C478" s="1">
        <v>45567</v>
      </c>
      <c r="D478" t="s">
        <v>2417</v>
      </c>
      <c r="E478" t="s">
        <v>18</v>
      </c>
      <c r="F478" t="s">
        <v>39</v>
      </c>
      <c r="G478" t="s">
        <v>1606</v>
      </c>
      <c r="H478" t="s">
        <v>3227</v>
      </c>
      <c r="I478" t="s">
        <v>41</v>
      </c>
      <c r="J478">
        <v>1</v>
      </c>
      <c r="K478">
        <v>3</v>
      </c>
      <c r="L478">
        <v>1</v>
      </c>
      <c r="M478">
        <v>0.94</v>
      </c>
      <c r="N478" t="s">
        <v>368</v>
      </c>
      <c r="O478" s="1">
        <v>46662</v>
      </c>
      <c r="R478" t="s">
        <v>1723</v>
      </c>
      <c r="S478" t="s">
        <v>915</v>
      </c>
      <c r="T478" s="5" t="s">
        <v>948</v>
      </c>
      <c r="U478" s="5" t="s">
        <v>921</v>
      </c>
      <c r="V478" t="s">
        <v>956</v>
      </c>
      <c r="W478" t="str">
        <f t="shared" si="7"/>
        <v>2000055376_202410</v>
      </c>
      <c r="X478" t="s">
        <v>1616</v>
      </c>
    </row>
    <row r="479" spans="1:24" hidden="1" x14ac:dyDescent="0.35">
      <c r="B479">
        <v>2000055382</v>
      </c>
      <c r="C479" s="1">
        <v>43719</v>
      </c>
      <c r="D479" t="s">
        <v>1906</v>
      </c>
      <c r="F479" t="s">
        <v>39</v>
      </c>
      <c r="G479" t="s">
        <v>1606</v>
      </c>
      <c r="H479" t="s">
        <v>2420</v>
      </c>
      <c r="I479" t="s">
        <v>41</v>
      </c>
      <c r="J479">
        <v>0.84099999999999997</v>
      </c>
      <c r="K479">
        <v>3</v>
      </c>
      <c r="L479">
        <v>1</v>
      </c>
      <c r="N479" t="s">
        <v>2310</v>
      </c>
      <c r="O479" s="1">
        <v>44450</v>
      </c>
      <c r="S479" t="s">
        <v>915</v>
      </c>
      <c r="T479" s="6" t="s">
        <v>942</v>
      </c>
      <c r="U479" s="6" t="s">
        <v>945</v>
      </c>
      <c r="V479" s="2" t="s">
        <v>1618</v>
      </c>
      <c r="W479" t="str">
        <f t="shared" si="7"/>
        <v>2000055382_20199</v>
      </c>
      <c r="X479" s="2" t="s">
        <v>1616</v>
      </c>
    </row>
    <row r="480" spans="1:24" hidden="1" x14ac:dyDescent="0.35">
      <c r="B480">
        <v>2000055382</v>
      </c>
      <c r="C480" s="1">
        <v>44454</v>
      </c>
      <c r="D480" t="s">
        <v>1906</v>
      </c>
      <c r="F480" t="s">
        <v>39</v>
      </c>
      <c r="G480" t="s">
        <v>1606</v>
      </c>
      <c r="H480" t="s">
        <v>2421</v>
      </c>
      <c r="I480" t="s">
        <v>41</v>
      </c>
      <c r="J480">
        <v>0.95499999999999996</v>
      </c>
      <c r="K480">
        <v>3</v>
      </c>
      <c r="L480">
        <v>4</v>
      </c>
      <c r="M480">
        <v>0.91</v>
      </c>
      <c r="N480" t="s">
        <v>2314</v>
      </c>
      <c r="O480" s="1">
        <v>45550</v>
      </c>
      <c r="S480" t="s">
        <v>915</v>
      </c>
      <c r="T480" s="6" t="s">
        <v>942</v>
      </c>
      <c r="U480" s="6" t="s">
        <v>943</v>
      </c>
      <c r="V480" s="2" t="s">
        <v>952</v>
      </c>
      <c r="W480" t="str">
        <f t="shared" si="7"/>
        <v>2000055382_20219</v>
      </c>
      <c r="X480" s="2" t="s">
        <v>1616</v>
      </c>
    </row>
    <row r="481" spans="1:24" hidden="1" x14ac:dyDescent="0.35">
      <c r="A481">
        <v>109</v>
      </c>
      <c r="B481">
        <v>2000055382</v>
      </c>
      <c r="C481" s="1">
        <v>45532</v>
      </c>
      <c r="D481" t="s">
        <v>1906</v>
      </c>
      <c r="E481" t="s">
        <v>18</v>
      </c>
      <c r="F481" t="s">
        <v>52</v>
      </c>
      <c r="G481" t="s">
        <v>1606</v>
      </c>
      <c r="H481" t="s">
        <v>1907</v>
      </c>
      <c r="I481" t="s">
        <v>41</v>
      </c>
      <c r="J481">
        <v>1</v>
      </c>
      <c r="K481">
        <v>3</v>
      </c>
      <c r="L481">
        <v>0</v>
      </c>
      <c r="M481">
        <v>0.89</v>
      </c>
      <c r="N481" t="s">
        <v>368</v>
      </c>
      <c r="O481" s="1">
        <v>46627</v>
      </c>
      <c r="S481" t="s">
        <v>915</v>
      </c>
      <c r="T481" s="5" t="s">
        <v>940</v>
      </c>
      <c r="U481" s="5" t="s">
        <v>926</v>
      </c>
      <c r="V481" t="s">
        <v>956</v>
      </c>
      <c r="W481" t="str">
        <f t="shared" si="7"/>
        <v>2000055382_20248</v>
      </c>
      <c r="X481" s="2" t="s">
        <v>1616</v>
      </c>
    </row>
    <row r="482" spans="1:24" hidden="1" x14ac:dyDescent="0.35">
      <c r="B482">
        <v>2000055383</v>
      </c>
      <c r="C482" s="1">
        <v>44453</v>
      </c>
      <c r="D482" t="s">
        <v>2422</v>
      </c>
      <c r="F482" t="s">
        <v>39</v>
      </c>
      <c r="G482" t="s">
        <v>1606</v>
      </c>
      <c r="H482" t="s">
        <v>2423</v>
      </c>
      <c r="I482" t="s">
        <v>41</v>
      </c>
      <c r="J482">
        <v>0.93300000000000005</v>
      </c>
      <c r="K482">
        <v>2.6</v>
      </c>
      <c r="L482">
        <v>7</v>
      </c>
      <c r="M482">
        <v>0.92</v>
      </c>
      <c r="N482" t="s">
        <v>2310</v>
      </c>
      <c r="O482" s="1">
        <v>45183</v>
      </c>
      <c r="S482" t="s">
        <v>915</v>
      </c>
      <c r="T482" s="6" t="s">
        <v>942</v>
      </c>
      <c r="U482" s="6" t="s">
        <v>951</v>
      </c>
      <c r="V482" s="2" t="s">
        <v>952</v>
      </c>
      <c r="W482" t="str">
        <f t="shared" si="7"/>
        <v>2000055383_20219</v>
      </c>
      <c r="X482" s="2" t="s">
        <v>1616</v>
      </c>
    </row>
    <row r="483" spans="1:24" hidden="1" x14ac:dyDescent="0.35">
      <c r="B483">
        <v>2000055383</v>
      </c>
      <c r="C483" s="1">
        <v>45070</v>
      </c>
      <c r="D483" t="s">
        <v>2422</v>
      </c>
      <c r="F483" t="s">
        <v>39</v>
      </c>
      <c r="G483" t="s">
        <v>1606</v>
      </c>
      <c r="H483" t="s">
        <v>2877</v>
      </c>
      <c r="I483" t="s">
        <v>41</v>
      </c>
      <c r="J483">
        <v>1</v>
      </c>
      <c r="K483">
        <v>3</v>
      </c>
      <c r="L483">
        <v>0</v>
      </c>
      <c r="M483">
        <v>0.97</v>
      </c>
      <c r="N483" t="s">
        <v>2314</v>
      </c>
      <c r="O483" s="1">
        <v>46166</v>
      </c>
      <c r="S483" t="s">
        <v>915</v>
      </c>
      <c r="T483" s="6" t="s">
        <v>947</v>
      </c>
      <c r="U483" s="6" t="s">
        <v>935</v>
      </c>
      <c r="V483" s="2" t="s">
        <v>955</v>
      </c>
      <c r="W483" t="str">
        <f t="shared" si="7"/>
        <v>2000055383_20235</v>
      </c>
      <c r="X483" s="2" t="s">
        <v>1616</v>
      </c>
    </row>
    <row r="484" spans="1:24" hidden="1" x14ac:dyDescent="0.35">
      <c r="A484">
        <v>140</v>
      </c>
      <c r="B484">
        <v>2000055391</v>
      </c>
      <c r="C484" s="1">
        <v>45593</v>
      </c>
      <c r="D484" t="s">
        <v>3248</v>
      </c>
      <c r="E484" t="s">
        <v>18</v>
      </c>
      <c r="F484" t="s">
        <v>52</v>
      </c>
      <c r="G484" t="s">
        <v>1606</v>
      </c>
      <c r="H484" t="s">
        <v>3249</v>
      </c>
      <c r="I484" t="s">
        <v>41</v>
      </c>
      <c r="J484">
        <v>1</v>
      </c>
      <c r="K484">
        <v>3</v>
      </c>
      <c r="L484">
        <v>0</v>
      </c>
      <c r="M484">
        <v>0.94</v>
      </c>
      <c r="N484" t="s">
        <v>368</v>
      </c>
      <c r="O484" s="1">
        <v>46688</v>
      </c>
      <c r="S484" t="s">
        <v>915</v>
      </c>
      <c r="T484" s="5" t="s">
        <v>948</v>
      </c>
      <c r="U484" s="5" t="s">
        <v>926</v>
      </c>
      <c r="V484" t="s">
        <v>956</v>
      </c>
      <c r="W484" t="str">
        <f t="shared" si="7"/>
        <v>2000055391_202410</v>
      </c>
      <c r="X484" t="s">
        <v>1616</v>
      </c>
    </row>
    <row r="485" spans="1:24" hidden="1" x14ac:dyDescent="0.35">
      <c r="B485">
        <v>2000055396</v>
      </c>
      <c r="C485" s="1">
        <v>44511</v>
      </c>
      <c r="D485" t="s">
        <v>2424</v>
      </c>
      <c r="F485" t="s">
        <v>39</v>
      </c>
      <c r="G485" t="s">
        <v>1606</v>
      </c>
      <c r="H485" t="s">
        <v>2425</v>
      </c>
      <c r="I485" t="s">
        <v>41</v>
      </c>
      <c r="J485">
        <v>0.88200000000000001</v>
      </c>
      <c r="K485">
        <v>3</v>
      </c>
      <c r="L485">
        <v>4</v>
      </c>
      <c r="M485">
        <v>0.94</v>
      </c>
      <c r="N485" t="s">
        <v>2310</v>
      </c>
      <c r="O485" s="1">
        <v>45241</v>
      </c>
      <c r="S485" t="s">
        <v>915</v>
      </c>
      <c r="T485" s="6" t="s">
        <v>945</v>
      </c>
      <c r="U485" s="6" t="s">
        <v>945</v>
      </c>
      <c r="V485" s="2" t="s">
        <v>952</v>
      </c>
      <c r="W485" t="str">
        <f t="shared" si="7"/>
        <v>2000055396_202111</v>
      </c>
      <c r="X485" s="2" t="s">
        <v>1616</v>
      </c>
    </row>
    <row r="486" spans="1:24" hidden="1" x14ac:dyDescent="0.35">
      <c r="A486">
        <v>157</v>
      </c>
      <c r="B486">
        <v>2000055396</v>
      </c>
      <c r="C486" s="1">
        <v>45621</v>
      </c>
      <c r="D486" t="s">
        <v>2424</v>
      </c>
      <c r="E486" t="s">
        <v>18</v>
      </c>
      <c r="F486" t="s">
        <v>39</v>
      </c>
      <c r="G486" t="s">
        <v>1606</v>
      </c>
      <c r="H486" t="s">
        <v>3277</v>
      </c>
      <c r="I486" t="s">
        <v>41</v>
      </c>
      <c r="J486">
        <v>0.95799999999999996</v>
      </c>
      <c r="K486">
        <v>3</v>
      </c>
      <c r="L486">
        <v>2</v>
      </c>
      <c r="M486">
        <v>0.91</v>
      </c>
      <c r="N486" t="s">
        <v>368</v>
      </c>
      <c r="O486" s="1">
        <v>46716</v>
      </c>
      <c r="R486" t="s">
        <v>1723</v>
      </c>
      <c r="S486" t="s">
        <v>915</v>
      </c>
      <c r="T486" s="5" t="s">
        <v>945</v>
      </c>
      <c r="U486" s="5" t="s">
        <v>922</v>
      </c>
      <c r="V486" t="s">
        <v>956</v>
      </c>
      <c r="W486" t="str">
        <f t="shared" si="7"/>
        <v>2000055396_202411</v>
      </c>
      <c r="X486" t="s">
        <v>1616</v>
      </c>
    </row>
    <row r="487" spans="1:24" hidden="1" x14ac:dyDescent="0.35">
      <c r="B487">
        <v>2000055398</v>
      </c>
      <c r="C487" s="1">
        <v>45232</v>
      </c>
      <c r="D487" t="s">
        <v>2426</v>
      </c>
      <c r="F487" t="s">
        <v>39</v>
      </c>
      <c r="G487" t="s">
        <v>1606</v>
      </c>
      <c r="H487" t="s">
        <v>2427</v>
      </c>
      <c r="I487" t="s">
        <v>22</v>
      </c>
      <c r="J487">
        <v>0.93100000000000005</v>
      </c>
      <c r="K487">
        <v>3</v>
      </c>
      <c r="M487">
        <v>0.94</v>
      </c>
      <c r="N487" t="s">
        <v>2314</v>
      </c>
      <c r="O487" s="1">
        <v>46328</v>
      </c>
      <c r="S487" t="s">
        <v>915</v>
      </c>
      <c r="T487" s="6" t="s">
        <v>945</v>
      </c>
      <c r="U487" s="6" t="s">
        <v>921</v>
      </c>
      <c r="V487" s="2" t="s">
        <v>955</v>
      </c>
      <c r="W487" t="str">
        <f t="shared" si="7"/>
        <v>2000055398_202311</v>
      </c>
      <c r="X487" s="2" t="s">
        <v>1616</v>
      </c>
    </row>
    <row r="488" spans="1:24" hidden="1" x14ac:dyDescent="0.35">
      <c r="B488">
        <v>2000055400</v>
      </c>
      <c r="C488" s="1">
        <v>44511</v>
      </c>
      <c r="D488" t="s">
        <v>2428</v>
      </c>
      <c r="F488" t="s">
        <v>39</v>
      </c>
      <c r="G488" t="s">
        <v>1606</v>
      </c>
      <c r="H488" t="s">
        <v>2429</v>
      </c>
      <c r="I488" t="s">
        <v>41</v>
      </c>
      <c r="J488">
        <v>0.82499999999999996</v>
      </c>
      <c r="K488">
        <v>3</v>
      </c>
      <c r="L488">
        <v>5</v>
      </c>
      <c r="M488">
        <v>0.86</v>
      </c>
      <c r="N488" t="s">
        <v>2310</v>
      </c>
      <c r="O488" s="1">
        <v>45241</v>
      </c>
      <c r="S488" t="s">
        <v>915</v>
      </c>
      <c r="T488" s="6" t="s">
        <v>945</v>
      </c>
      <c r="U488" s="6" t="s">
        <v>945</v>
      </c>
      <c r="V488" s="2" t="s">
        <v>952</v>
      </c>
      <c r="W488" t="str">
        <f t="shared" si="7"/>
        <v>2000055400_202111</v>
      </c>
      <c r="X488" s="2" t="s">
        <v>1616</v>
      </c>
    </row>
    <row r="489" spans="1:24" hidden="1" x14ac:dyDescent="0.35">
      <c r="B489">
        <v>2000055400</v>
      </c>
      <c r="C489" s="1">
        <v>45190</v>
      </c>
      <c r="D489" t="s">
        <v>2428</v>
      </c>
      <c r="F489" t="s">
        <v>39</v>
      </c>
      <c r="G489" t="s">
        <v>1606</v>
      </c>
      <c r="H489" t="s">
        <v>2430</v>
      </c>
      <c r="I489" t="s">
        <v>41</v>
      </c>
      <c r="J489">
        <v>0.97699999999999998</v>
      </c>
      <c r="K489">
        <v>3</v>
      </c>
      <c r="M489">
        <v>0.79</v>
      </c>
      <c r="N489" t="s">
        <v>2314</v>
      </c>
      <c r="O489" s="1">
        <v>46286</v>
      </c>
      <c r="S489" t="s">
        <v>915</v>
      </c>
      <c r="T489" s="6" t="s">
        <v>942</v>
      </c>
      <c r="U489" s="6" t="s">
        <v>944</v>
      </c>
      <c r="V489" s="2" t="s">
        <v>955</v>
      </c>
      <c r="W489" t="str">
        <f t="shared" si="7"/>
        <v>2000055400_20239</v>
      </c>
      <c r="X489" s="2" t="s">
        <v>1616</v>
      </c>
    </row>
    <row r="490" spans="1:24" hidden="1" x14ac:dyDescent="0.35">
      <c r="B490">
        <v>2000055402</v>
      </c>
      <c r="C490" s="1">
        <v>44468</v>
      </c>
      <c r="D490" t="s">
        <v>3825</v>
      </c>
      <c r="F490" t="s">
        <v>39</v>
      </c>
      <c r="G490" t="s">
        <v>1603</v>
      </c>
      <c r="H490" t="s">
        <v>2431</v>
      </c>
      <c r="I490" t="s">
        <v>22</v>
      </c>
      <c r="J490">
        <v>0.879</v>
      </c>
      <c r="K490">
        <v>2.4</v>
      </c>
      <c r="L490">
        <v>8</v>
      </c>
      <c r="M490">
        <v>0.82</v>
      </c>
      <c r="N490" t="s">
        <v>2310</v>
      </c>
      <c r="O490" s="1">
        <v>45198</v>
      </c>
      <c r="S490" t="s">
        <v>915</v>
      </c>
      <c r="T490" s="6" t="s">
        <v>942</v>
      </c>
      <c r="U490" s="6" t="s">
        <v>937</v>
      </c>
      <c r="V490" s="2" t="s">
        <v>952</v>
      </c>
      <c r="W490" t="str">
        <f t="shared" si="7"/>
        <v>2000055402_20219</v>
      </c>
      <c r="X490" s="2" t="s">
        <v>1616</v>
      </c>
    </row>
    <row r="491" spans="1:24" hidden="1" x14ac:dyDescent="0.35">
      <c r="B491">
        <v>2000055402</v>
      </c>
      <c r="C491" s="1">
        <v>45139</v>
      </c>
      <c r="D491" t="s">
        <v>3825</v>
      </c>
      <c r="F491" t="s">
        <v>39</v>
      </c>
      <c r="G491" t="s">
        <v>1687</v>
      </c>
      <c r="H491" t="s">
        <v>2432</v>
      </c>
      <c r="I491" t="s">
        <v>22</v>
      </c>
      <c r="J491">
        <v>0.85199999999999998</v>
      </c>
      <c r="K491">
        <v>2.8</v>
      </c>
      <c r="M491">
        <v>0.88</v>
      </c>
      <c r="N491" t="s">
        <v>2310</v>
      </c>
      <c r="O491" s="1">
        <v>45870</v>
      </c>
      <c r="S491" t="s">
        <v>915</v>
      </c>
      <c r="T491" s="6" t="s">
        <v>940</v>
      </c>
      <c r="U491" s="6" t="s">
        <v>953</v>
      </c>
      <c r="V491" s="2" t="s">
        <v>955</v>
      </c>
      <c r="W491" t="str">
        <f t="shared" si="7"/>
        <v>2000055402_20238</v>
      </c>
      <c r="X491" s="2" t="s">
        <v>1616</v>
      </c>
    </row>
    <row r="492" spans="1:24" hidden="1" x14ac:dyDescent="0.35">
      <c r="B492">
        <v>2000055428</v>
      </c>
      <c r="C492" s="1">
        <v>45208</v>
      </c>
      <c r="D492" t="s">
        <v>2435</v>
      </c>
      <c r="F492" t="s">
        <v>148</v>
      </c>
      <c r="G492" t="s">
        <v>1606</v>
      </c>
      <c r="H492" t="s">
        <v>2436</v>
      </c>
      <c r="I492" t="s">
        <v>22</v>
      </c>
      <c r="J492">
        <v>0.9</v>
      </c>
      <c r="K492">
        <v>3</v>
      </c>
      <c r="M492">
        <v>0.91</v>
      </c>
      <c r="N492" t="s">
        <v>2314</v>
      </c>
      <c r="O492" s="1">
        <v>46304</v>
      </c>
      <c r="S492" t="s">
        <v>915</v>
      </c>
      <c r="T492" s="6" t="s">
        <v>948</v>
      </c>
      <c r="U492" s="6" t="s">
        <v>942</v>
      </c>
      <c r="V492" s="2" t="s">
        <v>955</v>
      </c>
      <c r="W492" t="str">
        <f t="shared" si="7"/>
        <v>2000055428_202310</v>
      </c>
      <c r="X492" s="2" t="s">
        <v>1616</v>
      </c>
    </row>
    <row r="493" spans="1:24" hidden="1" x14ac:dyDescent="0.35">
      <c r="B493">
        <v>2000055432</v>
      </c>
      <c r="C493" s="1">
        <v>44516</v>
      </c>
      <c r="D493" t="s">
        <v>2437</v>
      </c>
      <c r="F493" t="s">
        <v>39</v>
      </c>
      <c r="G493" t="s">
        <v>1911</v>
      </c>
      <c r="H493" t="s">
        <v>2438</v>
      </c>
      <c r="I493" t="s">
        <v>22</v>
      </c>
      <c r="J493">
        <v>0.74299999999999999</v>
      </c>
      <c r="K493">
        <v>2</v>
      </c>
      <c r="L493">
        <v>8</v>
      </c>
      <c r="M493">
        <v>0.7</v>
      </c>
      <c r="N493" t="s">
        <v>2361</v>
      </c>
      <c r="O493" s="1">
        <v>44881</v>
      </c>
      <c r="S493" t="s">
        <v>915</v>
      </c>
      <c r="T493" s="6" t="s">
        <v>945</v>
      </c>
      <c r="U493" s="6" t="s">
        <v>928</v>
      </c>
      <c r="V493" s="2" t="s">
        <v>952</v>
      </c>
      <c r="W493" t="str">
        <f t="shared" si="7"/>
        <v>2000055432_202111</v>
      </c>
      <c r="X493" s="2" t="s">
        <v>1616</v>
      </c>
    </row>
    <row r="494" spans="1:24" hidden="1" x14ac:dyDescent="0.35">
      <c r="B494">
        <v>2000055432</v>
      </c>
      <c r="C494" s="1">
        <v>44831</v>
      </c>
      <c r="D494" t="s">
        <v>2437</v>
      </c>
      <c r="F494" t="s">
        <v>39</v>
      </c>
      <c r="G494" t="s">
        <v>1911</v>
      </c>
      <c r="H494" t="s">
        <v>2439</v>
      </c>
      <c r="I494" t="s">
        <v>22</v>
      </c>
      <c r="J494">
        <v>0.94399999999999995</v>
      </c>
      <c r="K494">
        <v>3</v>
      </c>
      <c r="L494">
        <v>1</v>
      </c>
      <c r="M494">
        <v>0.84</v>
      </c>
      <c r="N494" t="s">
        <v>2314</v>
      </c>
      <c r="O494" s="1">
        <v>45927</v>
      </c>
      <c r="S494" t="s">
        <v>915</v>
      </c>
      <c r="T494" s="6" t="s">
        <v>942</v>
      </c>
      <c r="U494" s="6" t="s">
        <v>925</v>
      </c>
      <c r="V494" s="2" t="s">
        <v>954</v>
      </c>
      <c r="W494" t="str">
        <f t="shared" si="7"/>
        <v>2000055432_20229</v>
      </c>
      <c r="X494" s="2" t="s">
        <v>1616</v>
      </c>
    </row>
    <row r="495" spans="1:24" hidden="1" x14ac:dyDescent="0.35">
      <c r="A495">
        <v>17</v>
      </c>
      <c r="B495">
        <v>2000055119</v>
      </c>
      <c r="C495" s="1">
        <v>45712</v>
      </c>
      <c r="D495" t="s">
        <v>2329</v>
      </c>
      <c r="E495" t="s">
        <v>18</v>
      </c>
      <c r="F495" t="s">
        <v>43</v>
      </c>
      <c r="G495" t="s">
        <v>1606</v>
      </c>
      <c r="H495" t="s">
        <v>3513</v>
      </c>
      <c r="I495" t="s">
        <v>41</v>
      </c>
      <c r="J495">
        <v>0.93799999999999994</v>
      </c>
      <c r="K495">
        <v>3</v>
      </c>
      <c r="L495">
        <v>3</v>
      </c>
      <c r="M495">
        <v>0.87</v>
      </c>
      <c r="N495" t="s">
        <v>2314</v>
      </c>
      <c r="O495" s="1">
        <v>46807</v>
      </c>
      <c r="S495" t="s">
        <v>915</v>
      </c>
      <c r="T495" s="5" t="s">
        <v>921</v>
      </c>
      <c r="U495" s="5" t="s">
        <v>935</v>
      </c>
      <c r="V495" t="s">
        <v>1650</v>
      </c>
      <c r="W495" t="str">
        <f t="shared" si="7"/>
        <v>2000055119_20252</v>
      </c>
      <c r="X495" t="s">
        <v>1616</v>
      </c>
    </row>
    <row r="496" spans="1:24" hidden="1" x14ac:dyDescent="0.35">
      <c r="B496">
        <v>2000055434</v>
      </c>
      <c r="C496" s="1">
        <v>43770</v>
      </c>
      <c r="D496" t="s">
        <v>2443</v>
      </c>
      <c r="F496" t="s">
        <v>19</v>
      </c>
      <c r="G496" t="s">
        <v>1687</v>
      </c>
      <c r="H496" t="s">
        <v>2444</v>
      </c>
      <c r="I496" t="s">
        <v>22</v>
      </c>
      <c r="J496">
        <v>0.86399999999999999</v>
      </c>
      <c r="K496">
        <v>3</v>
      </c>
      <c r="L496">
        <v>5</v>
      </c>
      <c r="N496" t="s">
        <v>2310</v>
      </c>
      <c r="O496" s="1">
        <v>44501</v>
      </c>
      <c r="S496" t="s">
        <v>915</v>
      </c>
      <c r="T496" s="6" t="s">
        <v>945</v>
      </c>
      <c r="U496" s="6" t="s">
        <v>953</v>
      </c>
      <c r="V496" s="2" t="s">
        <v>1618</v>
      </c>
      <c r="W496" t="str">
        <f t="shared" si="7"/>
        <v>2000055434_201911</v>
      </c>
      <c r="X496" s="2" t="s">
        <v>1616</v>
      </c>
    </row>
    <row r="497" spans="1:24" hidden="1" x14ac:dyDescent="0.35">
      <c r="B497">
        <v>2000055434</v>
      </c>
      <c r="C497" s="1">
        <v>44496</v>
      </c>
      <c r="D497" t="s">
        <v>2443</v>
      </c>
      <c r="F497" t="s">
        <v>19</v>
      </c>
      <c r="G497" t="s">
        <v>1603</v>
      </c>
      <c r="H497" t="s">
        <v>2445</v>
      </c>
      <c r="I497" t="s">
        <v>22</v>
      </c>
      <c r="J497">
        <v>0.97899999999999998</v>
      </c>
      <c r="K497">
        <v>3</v>
      </c>
      <c r="L497">
        <v>1</v>
      </c>
      <c r="M497">
        <v>0.98</v>
      </c>
      <c r="N497" t="s">
        <v>2314</v>
      </c>
      <c r="O497" s="1">
        <v>45592</v>
      </c>
      <c r="S497" t="s">
        <v>915</v>
      </c>
      <c r="T497" s="6" t="s">
        <v>948</v>
      </c>
      <c r="U497" s="6" t="s">
        <v>925</v>
      </c>
      <c r="V497" s="2" t="s">
        <v>952</v>
      </c>
      <c r="W497" t="str">
        <f t="shared" si="7"/>
        <v>2000055434_202110</v>
      </c>
      <c r="X497" s="2" t="s">
        <v>1616</v>
      </c>
    </row>
    <row r="498" spans="1:24" hidden="1" x14ac:dyDescent="0.35">
      <c r="A498">
        <v>98</v>
      </c>
      <c r="B498">
        <v>2000055434</v>
      </c>
      <c r="C498" s="1">
        <v>45518</v>
      </c>
      <c r="D498" t="s">
        <v>2443</v>
      </c>
      <c r="E498" t="s">
        <v>18</v>
      </c>
      <c r="F498" t="s">
        <v>19</v>
      </c>
      <c r="G498" t="s">
        <v>1687</v>
      </c>
      <c r="H498" t="s">
        <v>1883</v>
      </c>
      <c r="I498" t="s">
        <v>22</v>
      </c>
      <c r="J498">
        <v>0.89400000000000002</v>
      </c>
      <c r="K498">
        <v>3</v>
      </c>
      <c r="L498">
        <v>2</v>
      </c>
      <c r="M498">
        <v>0.84</v>
      </c>
      <c r="N498" t="s">
        <v>28</v>
      </c>
      <c r="O498" s="1">
        <v>46248</v>
      </c>
      <c r="P498" t="s">
        <v>1884</v>
      </c>
      <c r="Q498" t="s">
        <v>1885</v>
      </c>
      <c r="R498" t="s">
        <v>1723</v>
      </c>
      <c r="S498" t="s">
        <v>915</v>
      </c>
      <c r="T498" s="5" t="s">
        <v>940</v>
      </c>
      <c r="U498" s="5" t="s">
        <v>951</v>
      </c>
      <c r="V498" t="s">
        <v>956</v>
      </c>
      <c r="W498" t="str">
        <f t="shared" si="7"/>
        <v>2000055434_20248</v>
      </c>
      <c r="X498" s="2" t="s">
        <v>1616</v>
      </c>
    </row>
    <row r="499" spans="1:24" hidden="1" x14ac:dyDescent="0.35">
      <c r="B499">
        <v>2000055438</v>
      </c>
      <c r="C499" s="1">
        <v>44119</v>
      </c>
      <c r="D499" t="s">
        <v>3963</v>
      </c>
      <c r="F499" t="s">
        <v>43</v>
      </c>
      <c r="G499" t="s">
        <v>1606</v>
      </c>
      <c r="H499" t="s">
        <v>2450</v>
      </c>
      <c r="I499" t="s">
        <v>22</v>
      </c>
      <c r="J499">
        <v>0.81299999999999994</v>
      </c>
      <c r="K499">
        <v>2.2999999999999998</v>
      </c>
      <c r="L499">
        <v>7</v>
      </c>
      <c r="M499">
        <v>0.81</v>
      </c>
      <c r="N499" t="s">
        <v>2310</v>
      </c>
      <c r="O499" s="1">
        <v>44849</v>
      </c>
      <c r="S499" t="s">
        <v>915</v>
      </c>
      <c r="T499" s="6" t="s">
        <v>948</v>
      </c>
      <c r="U499" s="6" t="s">
        <v>943</v>
      </c>
      <c r="V499" s="2" t="s">
        <v>923</v>
      </c>
      <c r="W499" t="str">
        <f t="shared" si="7"/>
        <v>2000055438_202010</v>
      </c>
      <c r="X499" s="2" t="s">
        <v>1616</v>
      </c>
    </row>
    <row r="500" spans="1:24" hidden="1" x14ac:dyDescent="0.35">
      <c r="B500">
        <v>2000055438</v>
      </c>
      <c r="C500" s="1">
        <v>44846</v>
      </c>
      <c r="D500" t="s">
        <v>3963</v>
      </c>
      <c r="F500" t="s">
        <v>43</v>
      </c>
      <c r="G500" t="s">
        <v>1606</v>
      </c>
      <c r="H500" t="s">
        <v>2450</v>
      </c>
      <c r="I500" t="s">
        <v>41</v>
      </c>
      <c r="J500">
        <v>0.92300000000000004</v>
      </c>
      <c r="K500">
        <v>3</v>
      </c>
      <c r="L500">
        <v>1</v>
      </c>
      <c r="M500">
        <v>0.89</v>
      </c>
      <c r="N500" t="s">
        <v>2314</v>
      </c>
      <c r="O500" s="1">
        <v>45942</v>
      </c>
      <c r="S500" t="s">
        <v>915</v>
      </c>
      <c r="T500" s="6" t="s">
        <v>948</v>
      </c>
      <c r="U500" s="6" t="s">
        <v>949</v>
      </c>
      <c r="V500" s="2" t="s">
        <v>954</v>
      </c>
      <c r="W500" t="str">
        <f t="shared" si="7"/>
        <v>2000055438_202210</v>
      </c>
      <c r="X500" s="2" t="s">
        <v>1616</v>
      </c>
    </row>
    <row r="501" spans="1:24" hidden="1" x14ac:dyDescent="0.35">
      <c r="B501">
        <v>2000055439</v>
      </c>
      <c r="C501" s="1">
        <v>43910</v>
      </c>
      <c r="D501" t="s">
        <v>2451</v>
      </c>
      <c r="F501" t="s">
        <v>19</v>
      </c>
      <c r="G501" t="s">
        <v>1606</v>
      </c>
      <c r="H501" t="s">
        <v>2452</v>
      </c>
      <c r="I501" t="s">
        <v>41</v>
      </c>
      <c r="J501">
        <v>0.60229999999999995</v>
      </c>
      <c r="K501">
        <v>2.6</v>
      </c>
      <c r="L501">
        <v>3</v>
      </c>
      <c r="M501">
        <v>0.79</v>
      </c>
      <c r="N501" t="s">
        <v>23</v>
      </c>
      <c r="O501" s="1">
        <v>44275</v>
      </c>
      <c r="S501" t="s">
        <v>915</v>
      </c>
      <c r="T501" s="6" t="s">
        <v>941</v>
      </c>
      <c r="U501" s="6" t="s">
        <v>932</v>
      </c>
      <c r="V501" s="2" t="s">
        <v>923</v>
      </c>
      <c r="W501" t="str">
        <f t="shared" si="7"/>
        <v>2000055439_20203</v>
      </c>
      <c r="X501" s="2" t="s">
        <v>1616</v>
      </c>
    </row>
    <row r="502" spans="1:24" hidden="1" x14ac:dyDescent="0.35">
      <c r="B502">
        <v>2000055439</v>
      </c>
      <c r="C502" s="1">
        <v>44287</v>
      </c>
      <c r="D502" t="s">
        <v>2451</v>
      </c>
      <c r="F502" t="s">
        <v>19</v>
      </c>
      <c r="G502" t="s">
        <v>1606</v>
      </c>
      <c r="H502" t="s">
        <v>2453</v>
      </c>
      <c r="I502" t="s">
        <v>41</v>
      </c>
      <c r="J502">
        <v>0.95599999999999996</v>
      </c>
      <c r="K502">
        <v>2.7</v>
      </c>
      <c r="L502">
        <v>1</v>
      </c>
      <c r="M502">
        <v>0.96</v>
      </c>
      <c r="N502" t="s">
        <v>2310</v>
      </c>
      <c r="O502" s="1">
        <v>45017</v>
      </c>
      <c r="S502" t="s">
        <v>915</v>
      </c>
      <c r="T502" s="6" t="s">
        <v>946</v>
      </c>
      <c r="U502" s="6" t="s">
        <v>953</v>
      </c>
      <c r="V502" s="2" t="s">
        <v>952</v>
      </c>
      <c r="W502" t="str">
        <f t="shared" si="7"/>
        <v>2000055439_20214</v>
      </c>
      <c r="X502" s="2" t="s">
        <v>1616</v>
      </c>
    </row>
    <row r="503" spans="1:24" hidden="1" x14ac:dyDescent="0.35">
      <c r="B503">
        <v>2000055439</v>
      </c>
      <c r="C503" s="1">
        <v>45106</v>
      </c>
      <c r="D503" t="s">
        <v>2451</v>
      </c>
      <c r="F503" t="s">
        <v>19</v>
      </c>
      <c r="G503" t="s">
        <v>1606</v>
      </c>
      <c r="H503" t="s">
        <v>2454</v>
      </c>
      <c r="I503" t="s">
        <v>41</v>
      </c>
      <c r="J503">
        <v>0.94699999999999995</v>
      </c>
      <c r="K503">
        <v>3</v>
      </c>
      <c r="L503">
        <v>1</v>
      </c>
      <c r="M503">
        <v>1</v>
      </c>
      <c r="N503" t="s">
        <v>2314</v>
      </c>
      <c r="O503" s="1">
        <v>46202</v>
      </c>
      <c r="S503" t="s">
        <v>915</v>
      </c>
      <c r="T503" s="6" t="s">
        <v>927</v>
      </c>
      <c r="U503" s="6" t="s">
        <v>937</v>
      </c>
      <c r="V503" s="2" t="s">
        <v>955</v>
      </c>
      <c r="W503" t="str">
        <f t="shared" si="7"/>
        <v>2000055439_20236</v>
      </c>
      <c r="X503" s="2" t="s">
        <v>1616</v>
      </c>
    </row>
    <row r="504" spans="1:24" hidden="1" x14ac:dyDescent="0.35">
      <c r="B504">
        <v>2000055440</v>
      </c>
      <c r="C504" s="1">
        <v>43873</v>
      </c>
      <c r="D504" t="s">
        <v>2455</v>
      </c>
      <c r="F504" t="s">
        <v>19</v>
      </c>
      <c r="G504" t="s">
        <v>1606</v>
      </c>
      <c r="H504" t="s">
        <v>2456</v>
      </c>
      <c r="I504" t="s">
        <v>22</v>
      </c>
      <c r="J504">
        <v>0.81359999999999999</v>
      </c>
      <c r="K504">
        <v>2.4</v>
      </c>
      <c r="L504">
        <v>5</v>
      </c>
      <c r="M504">
        <v>0.84499999999999997</v>
      </c>
      <c r="N504" t="s">
        <v>2310</v>
      </c>
      <c r="O504" s="1">
        <v>44604</v>
      </c>
      <c r="S504" t="s">
        <v>915</v>
      </c>
      <c r="T504" s="6" t="s">
        <v>921</v>
      </c>
      <c r="U504" s="6" t="s">
        <v>949</v>
      </c>
      <c r="V504" s="2" t="s">
        <v>923</v>
      </c>
      <c r="W504" t="str">
        <f t="shared" si="7"/>
        <v>2000055440_20202</v>
      </c>
      <c r="X504" s="2" t="s">
        <v>1616</v>
      </c>
    </row>
    <row r="505" spans="1:24" hidden="1" x14ac:dyDescent="0.35">
      <c r="B505">
        <v>2000055440</v>
      </c>
      <c r="C505" s="1">
        <v>44565</v>
      </c>
      <c r="D505" t="s">
        <v>2455</v>
      </c>
      <c r="F505" t="s">
        <v>19</v>
      </c>
      <c r="G505" t="s">
        <v>1606</v>
      </c>
      <c r="H505" t="s">
        <v>2457</v>
      </c>
      <c r="I505" t="s">
        <v>22</v>
      </c>
      <c r="J505">
        <v>0.74</v>
      </c>
      <c r="K505">
        <v>2.6</v>
      </c>
      <c r="L505">
        <v>5</v>
      </c>
      <c r="M505">
        <v>0.85</v>
      </c>
      <c r="N505" t="s">
        <v>2361</v>
      </c>
      <c r="O505" s="1">
        <v>44930</v>
      </c>
      <c r="S505" t="s">
        <v>915</v>
      </c>
      <c r="T505" s="6" t="s">
        <v>953</v>
      </c>
      <c r="U505" s="6" t="s">
        <v>946</v>
      </c>
      <c r="V505" s="2" t="s">
        <v>954</v>
      </c>
      <c r="W505" t="str">
        <f t="shared" si="7"/>
        <v>2000055440_20221</v>
      </c>
      <c r="X505" s="2" t="s">
        <v>1616</v>
      </c>
    </row>
    <row r="506" spans="1:24" hidden="1" x14ac:dyDescent="0.35">
      <c r="B506">
        <v>2000055440</v>
      </c>
      <c r="C506" s="1">
        <v>44980</v>
      </c>
      <c r="D506" t="s">
        <v>2455</v>
      </c>
      <c r="F506" t="s">
        <v>19</v>
      </c>
      <c r="G506" t="s">
        <v>1606</v>
      </c>
      <c r="H506" t="s">
        <v>2458</v>
      </c>
      <c r="I506" t="s">
        <v>22</v>
      </c>
      <c r="J506">
        <v>0.95</v>
      </c>
      <c r="K506">
        <v>2.6</v>
      </c>
      <c r="L506">
        <v>2</v>
      </c>
      <c r="M506">
        <v>1</v>
      </c>
      <c r="N506" t="s">
        <v>2310</v>
      </c>
      <c r="O506" s="1">
        <v>45711</v>
      </c>
      <c r="S506" t="s">
        <v>915</v>
      </c>
      <c r="T506" s="6" t="s">
        <v>921</v>
      </c>
      <c r="U506" s="6" t="s">
        <v>934</v>
      </c>
      <c r="V506" s="2" t="s">
        <v>955</v>
      </c>
      <c r="W506" t="str">
        <f t="shared" si="7"/>
        <v>2000055440_20232</v>
      </c>
      <c r="X506" s="2" t="s">
        <v>1616</v>
      </c>
    </row>
    <row r="507" spans="1:24" hidden="1" x14ac:dyDescent="0.35">
      <c r="A507">
        <v>18</v>
      </c>
      <c r="B507">
        <v>2000061371</v>
      </c>
      <c r="C507" s="1">
        <v>45713</v>
      </c>
      <c r="D507" t="s">
        <v>3514</v>
      </c>
      <c r="E507" t="s">
        <v>18</v>
      </c>
      <c r="F507" t="s">
        <v>376</v>
      </c>
      <c r="G507" t="s">
        <v>1687</v>
      </c>
      <c r="H507" t="s">
        <v>3515</v>
      </c>
      <c r="I507" t="s">
        <v>22</v>
      </c>
      <c r="J507">
        <v>0.89300000000000002</v>
      </c>
      <c r="K507">
        <v>3</v>
      </c>
      <c r="L507">
        <v>4</v>
      </c>
      <c r="M507">
        <v>0.8</v>
      </c>
      <c r="N507" t="s">
        <v>2310</v>
      </c>
      <c r="O507" s="1">
        <v>46443</v>
      </c>
      <c r="S507" t="s">
        <v>915</v>
      </c>
      <c r="T507" s="5" t="s">
        <v>921</v>
      </c>
      <c r="U507" s="5" t="s">
        <v>922</v>
      </c>
      <c r="V507" t="s">
        <v>1650</v>
      </c>
      <c r="W507" t="str">
        <f t="shared" si="7"/>
        <v>2000061371_20252</v>
      </c>
      <c r="X507" t="s">
        <v>1616</v>
      </c>
    </row>
    <row r="508" spans="1:24" hidden="1" x14ac:dyDescent="0.35">
      <c r="B508">
        <v>2000055442</v>
      </c>
      <c r="C508" s="1">
        <v>44495</v>
      </c>
      <c r="D508" t="s">
        <v>2459</v>
      </c>
      <c r="F508" t="s">
        <v>43</v>
      </c>
      <c r="G508" t="s">
        <v>1606</v>
      </c>
      <c r="H508" t="s">
        <v>2460</v>
      </c>
      <c r="I508" t="s">
        <v>41</v>
      </c>
      <c r="J508">
        <v>0.89100000000000001</v>
      </c>
      <c r="K508">
        <v>2.6</v>
      </c>
      <c r="L508">
        <v>4</v>
      </c>
      <c r="M508">
        <v>0.94</v>
      </c>
      <c r="N508" t="s">
        <v>2310</v>
      </c>
      <c r="O508" s="1">
        <v>45225</v>
      </c>
      <c r="S508" t="s">
        <v>915</v>
      </c>
      <c r="T508" s="6" t="s">
        <v>948</v>
      </c>
      <c r="U508" s="6" t="s">
        <v>924</v>
      </c>
      <c r="V508" s="2" t="s">
        <v>952</v>
      </c>
      <c r="W508" t="str">
        <f t="shared" si="7"/>
        <v>2000055442_202110</v>
      </c>
      <c r="X508" s="2" t="s">
        <v>1616</v>
      </c>
    </row>
    <row r="509" spans="1:24" hidden="1" x14ac:dyDescent="0.35">
      <c r="A509">
        <v>152</v>
      </c>
      <c r="B509">
        <v>2000055442</v>
      </c>
      <c r="C509" s="1">
        <v>45611</v>
      </c>
      <c r="D509" t="s">
        <v>2459</v>
      </c>
      <c r="E509" t="s">
        <v>18</v>
      </c>
      <c r="F509" t="s">
        <v>43</v>
      </c>
      <c r="G509" t="s">
        <v>1720</v>
      </c>
      <c r="H509" t="s">
        <v>3268</v>
      </c>
      <c r="I509" t="s">
        <v>41</v>
      </c>
      <c r="J509">
        <v>1</v>
      </c>
      <c r="K509">
        <v>3</v>
      </c>
      <c r="L509">
        <v>0</v>
      </c>
      <c r="M509">
        <v>0.93</v>
      </c>
      <c r="N509" t="s">
        <v>368</v>
      </c>
      <c r="O509" s="1">
        <v>46706</v>
      </c>
      <c r="R509" t="s">
        <v>1723</v>
      </c>
      <c r="S509" t="s">
        <v>915</v>
      </c>
      <c r="T509" s="5" t="s">
        <v>945</v>
      </c>
      <c r="U509" s="5" t="s">
        <v>943</v>
      </c>
      <c r="V509" t="s">
        <v>956</v>
      </c>
      <c r="W509" t="str">
        <f t="shared" si="7"/>
        <v>2000055442_202411</v>
      </c>
      <c r="X509" t="s">
        <v>1616</v>
      </c>
    </row>
    <row r="510" spans="1:24" hidden="1" x14ac:dyDescent="0.35">
      <c r="B510">
        <v>2000055443</v>
      </c>
      <c r="C510" s="1">
        <v>43662</v>
      </c>
      <c r="D510" t="s">
        <v>2461</v>
      </c>
      <c r="F510" t="s">
        <v>43</v>
      </c>
      <c r="G510" t="s">
        <v>1606</v>
      </c>
      <c r="H510" t="s">
        <v>2462</v>
      </c>
      <c r="I510" t="s">
        <v>41</v>
      </c>
      <c r="J510">
        <v>0.66700000000000004</v>
      </c>
      <c r="K510">
        <v>2.2000000000000002</v>
      </c>
      <c r="L510">
        <v>6</v>
      </c>
      <c r="N510" t="s">
        <v>2310</v>
      </c>
      <c r="O510" s="1">
        <v>44393</v>
      </c>
      <c r="S510" t="s">
        <v>915</v>
      </c>
      <c r="T510" s="6" t="s">
        <v>936</v>
      </c>
      <c r="U510" s="6" t="s">
        <v>928</v>
      </c>
      <c r="V510" s="2" t="s">
        <v>1618</v>
      </c>
      <c r="W510" t="str">
        <f t="shared" si="7"/>
        <v>2000055443_20197</v>
      </c>
      <c r="X510" s="2" t="s">
        <v>1616</v>
      </c>
    </row>
    <row r="511" spans="1:24" hidden="1" x14ac:dyDescent="0.35">
      <c r="B511">
        <v>2000055443</v>
      </c>
      <c r="C511" s="1">
        <v>44397</v>
      </c>
      <c r="D511" t="s">
        <v>2461</v>
      </c>
      <c r="F511" t="s">
        <v>43</v>
      </c>
      <c r="G511" t="s">
        <v>1606</v>
      </c>
      <c r="H511" t="s">
        <v>2463</v>
      </c>
      <c r="I511" t="s">
        <v>41</v>
      </c>
      <c r="J511">
        <v>0.90300000000000002</v>
      </c>
      <c r="K511">
        <v>2.7</v>
      </c>
      <c r="L511">
        <v>3</v>
      </c>
      <c r="M511">
        <v>0.9</v>
      </c>
      <c r="N511" t="s">
        <v>2310</v>
      </c>
      <c r="O511" s="1">
        <v>45127</v>
      </c>
      <c r="S511" t="s">
        <v>915</v>
      </c>
      <c r="T511" s="6" t="s">
        <v>936</v>
      </c>
      <c r="U511" s="6" t="s">
        <v>932</v>
      </c>
      <c r="V511" s="2" t="s">
        <v>952</v>
      </c>
      <c r="W511" t="str">
        <f t="shared" si="7"/>
        <v>2000055443_20217</v>
      </c>
      <c r="X511" s="2" t="s">
        <v>1616</v>
      </c>
    </row>
    <row r="512" spans="1:24" hidden="1" x14ac:dyDescent="0.35">
      <c r="B512">
        <v>2000055443</v>
      </c>
      <c r="C512" s="1">
        <v>45055</v>
      </c>
      <c r="D512" t="s">
        <v>2461</v>
      </c>
      <c r="F512" t="s">
        <v>43</v>
      </c>
      <c r="G512" t="s">
        <v>1606</v>
      </c>
      <c r="H512" t="s">
        <v>2464</v>
      </c>
      <c r="I512" t="s">
        <v>41</v>
      </c>
      <c r="J512">
        <v>0.92400000000000004</v>
      </c>
      <c r="K512">
        <v>3</v>
      </c>
      <c r="L512">
        <v>1</v>
      </c>
      <c r="M512">
        <v>0.93</v>
      </c>
      <c r="N512" t="s">
        <v>2314</v>
      </c>
      <c r="O512" s="1">
        <v>46151</v>
      </c>
      <c r="S512" t="s">
        <v>915</v>
      </c>
      <c r="T512" s="6" t="s">
        <v>947</v>
      </c>
      <c r="U512" s="6" t="s">
        <v>942</v>
      </c>
      <c r="V512" s="2" t="s">
        <v>955</v>
      </c>
      <c r="W512" t="str">
        <f t="shared" si="7"/>
        <v>2000055443_20235</v>
      </c>
      <c r="X512" s="2" t="s">
        <v>1616</v>
      </c>
    </row>
    <row r="513" spans="1:24" hidden="1" x14ac:dyDescent="0.35">
      <c r="B513">
        <v>2000055446</v>
      </c>
      <c r="C513" s="1">
        <v>43732</v>
      </c>
      <c r="D513" t="s">
        <v>2468</v>
      </c>
      <c r="F513" t="s">
        <v>43</v>
      </c>
      <c r="G513" t="s">
        <v>1606</v>
      </c>
      <c r="H513" t="s">
        <v>2469</v>
      </c>
      <c r="I513" t="s">
        <v>41</v>
      </c>
      <c r="J513">
        <v>0.84899999999999998</v>
      </c>
      <c r="K513">
        <v>3</v>
      </c>
      <c r="L513">
        <v>1</v>
      </c>
      <c r="N513" t="s">
        <v>2310</v>
      </c>
      <c r="O513" s="1">
        <v>44463</v>
      </c>
      <c r="S513" t="s">
        <v>915</v>
      </c>
      <c r="T513" s="6" t="s">
        <v>942</v>
      </c>
      <c r="U513" s="6" t="s">
        <v>935</v>
      </c>
      <c r="V513" s="2" t="s">
        <v>1618</v>
      </c>
      <c r="W513" t="str">
        <f t="shared" si="7"/>
        <v>2000055446_20199</v>
      </c>
      <c r="X513" s="2" t="s">
        <v>1616</v>
      </c>
    </row>
    <row r="514" spans="1:24" hidden="1" x14ac:dyDescent="0.35">
      <c r="B514">
        <v>2000055446</v>
      </c>
      <c r="C514" s="1">
        <v>44509</v>
      </c>
      <c r="D514" t="s">
        <v>2468</v>
      </c>
      <c r="F514" t="s">
        <v>43</v>
      </c>
      <c r="G514" t="s">
        <v>1606</v>
      </c>
      <c r="H514" t="s">
        <v>2470</v>
      </c>
      <c r="I514" t="s">
        <v>41</v>
      </c>
      <c r="J514">
        <v>0.85499999999999998</v>
      </c>
      <c r="K514">
        <v>3</v>
      </c>
      <c r="L514">
        <v>2</v>
      </c>
      <c r="M514">
        <v>0.97</v>
      </c>
      <c r="N514" t="s">
        <v>2310</v>
      </c>
      <c r="O514" s="1">
        <v>45239</v>
      </c>
      <c r="S514" t="s">
        <v>915</v>
      </c>
      <c r="T514" s="6" t="s">
        <v>945</v>
      </c>
      <c r="U514" s="6" t="s">
        <v>942</v>
      </c>
      <c r="V514" s="2" t="s">
        <v>952</v>
      </c>
      <c r="W514" t="str">
        <f t="shared" ref="W514:W577" si="8">CONCATENATE(B514,"_",V514,T514)</f>
        <v>2000055446_202111</v>
      </c>
      <c r="X514" s="2" t="s">
        <v>1616</v>
      </c>
    </row>
    <row r="515" spans="1:24" hidden="1" x14ac:dyDescent="0.35">
      <c r="B515">
        <v>2000055446</v>
      </c>
      <c r="C515" s="1">
        <v>45161</v>
      </c>
      <c r="D515" t="s">
        <v>2468</v>
      </c>
      <c r="F515" t="s">
        <v>43</v>
      </c>
      <c r="G515" t="s">
        <v>1606</v>
      </c>
      <c r="H515" t="s">
        <v>2471</v>
      </c>
      <c r="I515" t="s">
        <v>41</v>
      </c>
      <c r="J515">
        <v>0.95699999999999996</v>
      </c>
      <c r="K515">
        <v>3</v>
      </c>
      <c r="M515">
        <v>0.98</v>
      </c>
      <c r="N515" t="s">
        <v>2314</v>
      </c>
      <c r="O515" s="1">
        <v>46257</v>
      </c>
      <c r="S515" t="s">
        <v>915</v>
      </c>
      <c r="T515" s="6" t="s">
        <v>940</v>
      </c>
      <c r="U515" s="6" t="s">
        <v>934</v>
      </c>
      <c r="V515" s="2" t="s">
        <v>955</v>
      </c>
      <c r="W515" t="str">
        <f t="shared" si="8"/>
        <v>2000055446_20238</v>
      </c>
      <c r="X515" s="2" t="s">
        <v>1616</v>
      </c>
    </row>
    <row r="516" spans="1:24" hidden="1" x14ac:dyDescent="0.35">
      <c r="A516">
        <v>19</v>
      </c>
      <c r="B516">
        <v>2000055447</v>
      </c>
      <c r="C516" s="1">
        <v>45390</v>
      </c>
      <c r="D516" t="s">
        <v>1684</v>
      </c>
      <c r="E516" t="s">
        <v>18</v>
      </c>
      <c r="F516" t="s">
        <v>43</v>
      </c>
      <c r="G516" t="s">
        <v>1606</v>
      </c>
      <c r="H516" t="s">
        <v>1685</v>
      </c>
      <c r="I516" t="s">
        <v>41</v>
      </c>
      <c r="J516">
        <v>0.875</v>
      </c>
      <c r="K516">
        <v>2.6</v>
      </c>
      <c r="L516">
        <v>5</v>
      </c>
      <c r="M516">
        <v>0.71</v>
      </c>
      <c r="N516" t="s">
        <v>28</v>
      </c>
      <c r="O516" s="1">
        <v>46120</v>
      </c>
      <c r="S516" t="s">
        <v>915</v>
      </c>
      <c r="T516" s="5" t="s">
        <v>946</v>
      </c>
      <c r="U516" s="5" t="s">
        <v>940</v>
      </c>
      <c r="V516" t="s">
        <v>956</v>
      </c>
      <c r="W516" t="str">
        <f t="shared" si="8"/>
        <v>2000055447_20244</v>
      </c>
      <c r="X516" s="2" t="s">
        <v>1616</v>
      </c>
    </row>
    <row r="517" spans="1:24" hidden="1" x14ac:dyDescent="0.35">
      <c r="B517">
        <v>2000055447</v>
      </c>
      <c r="C517" s="1">
        <v>43986</v>
      </c>
      <c r="D517" t="s">
        <v>1684</v>
      </c>
      <c r="F517" t="s">
        <v>43</v>
      </c>
      <c r="G517" t="s">
        <v>1606</v>
      </c>
      <c r="H517" t="s">
        <v>2472</v>
      </c>
      <c r="I517" t="s">
        <v>41</v>
      </c>
      <c r="J517">
        <v>0.8</v>
      </c>
      <c r="K517">
        <v>2.6</v>
      </c>
      <c r="L517">
        <v>4</v>
      </c>
      <c r="M517">
        <v>0.67500000000000004</v>
      </c>
      <c r="N517" t="s">
        <v>2310</v>
      </c>
      <c r="O517" s="1">
        <v>44716</v>
      </c>
      <c r="S517" t="s">
        <v>915</v>
      </c>
      <c r="T517" s="6" t="s">
        <v>927</v>
      </c>
      <c r="U517" s="6" t="s">
        <v>946</v>
      </c>
      <c r="V517" s="2" t="s">
        <v>923</v>
      </c>
      <c r="W517" t="str">
        <f t="shared" si="8"/>
        <v>2000055447_20206</v>
      </c>
      <c r="X517" s="2" t="s">
        <v>1616</v>
      </c>
    </row>
    <row r="518" spans="1:24" hidden="1" x14ac:dyDescent="0.35">
      <c r="B518">
        <v>2000055447</v>
      </c>
      <c r="C518" s="1">
        <v>44636</v>
      </c>
      <c r="D518" t="s">
        <v>1684</v>
      </c>
      <c r="F518" t="s">
        <v>43</v>
      </c>
      <c r="G518" t="s">
        <v>1606</v>
      </c>
      <c r="H518" t="s">
        <v>2473</v>
      </c>
      <c r="I518" t="s">
        <v>41</v>
      </c>
      <c r="J518">
        <v>0.85699999999999998</v>
      </c>
      <c r="K518">
        <v>3</v>
      </c>
      <c r="L518">
        <v>2</v>
      </c>
      <c r="M518">
        <v>0.9</v>
      </c>
      <c r="N518" t="s">
        <v>2310</v>
      </c>
      <c r="O518" s="1">
        <v>45367</v>
      </c>
      <c r="S518" t="s">
        <v>915</v>
      </c>
      <c r="T518" s="6" t="s">
        <v>941</v>
      </c>
      <c r="U518" s="6" t="s">
        <v>928</v>
      </c>
      <c r="V518" s="2" t="s">
        <v>954</v>
      </c>
      <c r="W518" t="str">
        <f t="shared" si="8"/>
        <v>2000055447_20223</v>
      </c>
      <c r="X518" s="2" t="s">
        <v>1616</v>
      </c>
    </row>
    <row r="519" spans="1:24" hidden="1" x14ac:dyDescent="0.35">
      <c r="A519">
        <v>19</v>
      </c>
      <c r="B519">
        <v>2000055454</v>
      </c>
      <c r="C519" s="1">
        <v>45714</v>
      </c>
      <c r="D519" t="s">
        <v>2491</v>
      </c>
      <c r="E519" t="s">
        <v>18</v>
      </c>
      <c r="F519" t="s">
        <v>43</v>
      </c>
      <c r="G519" t="s">
        <v>1606</v>
      </c>
      <c r="H519" t="s">
        <v>2493</v>
      </c>
      <c r="I519" t="s">
        <v>22</v>
      </c>
      <c r="J519">
        <v>1</v>
      </c>
      <c r="K519">
        <v>3</v>
      </c>
      <c r="L519">
        <v>0</v>
      </c>
      <c r="M519">
        <v>0.98</v>
      </c>
      <c r="N519" t="s">
        <v>2314</v>
      </c>
      <c r="O519" s="1">
        <v>46809</v>
      </c>
      <c r="P519" t="s">
        <v>3516</v>
      </c>
      <c r="Q519" t="s">
        <v>3517</v>
      </c>
      <c r="S519" t="s">
        <v>915</v>
      </c>
      <c r="T519" s="5" t="s">
        <v>921</v>
      </c>
      <c r="U519" s="5" t="s">
        <v>924</v>
      </c>
      <c r="V519" t="s">
        <v>1650</v>
      </c>
      <c r="W519" t="str">
        <f t="shared" si="8"/>
        <v>2000055454_20252</v>
      </c>
      <c r="X519" t="s">
        <v>1616</v>
      </c>
    </row>
    <row r="520" spans="1:24" hidden="1" x14ac:dyDescent="0.35">
      <c r="B520">
        <v>2000055448</v>
      </c>
      <c r="C520" s="1">
        <v>43395</v>
      </c>
      <c r="D520" t="s">
        <v>1813</v>
      </c>
      <c r="F520" t="s">
        <v>43</v>
      </c>
      <c r="G520" t="s">
        <v>1606</v>
      </c>
      <c r="H520" t="s">
        <v>2474</v>
      </c>
      <c r="I520" t="s">
        <v>41</v>
      </c>
      <c r="J520">
        <v>0.73</v>
      </c>
      <c r="K520">
        <v>2</v>
      </c>
      <c r="L520">
        <v>7</v>
      </c>
      <c r="N520" t="str">
        <f>IF(K520&gt;=2.1,"2 years",IF(K520&gt;=1.1,"1 Year","06 Months"))</f>
        <v>1 Year</v>
      </c>
      <c r="O520" s="1">
        <f>C520+(365*1)</f>
        <v>43760</v>
      </c>
      <c r="S520" t="s">
        <v>915</v>
      </c>
      <c r="T520" s="6" t="s">
        <v>948</v>
      </c>
      <c r="U520" s="6" t="s">
        <v>933</v>
      </c>
      <c r="V520" s="2" t="s">
        <v>2475</v>
      </c>
      <c r="W520" t="str">
        <f t="shared" si="8"/>
        <v>2000055448_201810</v>
      </c>
      <c r="X520" s="2" t="s">
        <v>1616</v>
      </c>
    </row>
    <row r="521" spans="1:24" hidden="1" x14ac:dyDescent="0.35">
      <c r="B521">
        <v>2000055448</v>
      </c>
      <c r="C521" s="1">
        <v>43753</v>
      </c>
      <c r="D521" t="s">
        <v>1813</v>
      </c>
      <c r="F521" t="s">
        <v>43</v>
      </c>
      <c r="G521" t="s">
        <v>1606</v>
      </c>
      <c r="H521" t="s">
        <v>2476</v>
      </c>
      <c r="I521" t="s">
        <v>41</v>
      </c>
      <c r="J521">
        <v>0.88600000000000001</v>
      </c>
      <c r="K521">
        <v>2.2999999999999998</v>
      </c>
      <c r="L521">
        <v>3</v>
      </c>
      <c r="N521" t="s">
        <v>2310</v>
      </c>
      <c r="O521" s="1">
        <v>44484</v>
      </c>
      <c r="S521" t="s">
        <v>915</v>
      </c>
      <c r="T521" s="6" t="s">
        <v>948</v>
      </c>
      <c r="U521" s="6" t="s">
        <v>943</v>
      </c>
      <c r="V521" s="2" t="s">
        <v>1618</v>
      </c>
      <c r="W521" t="str">
        <f t="shared" si="8"/>
        <v>2000055448_201910</v>
      </c>
      <c r="X521" s="2" t="s">
        <v>1616</v>
      </c>
    </row>
    <row r="522" spans="1:24" hidden="1" x14ac:dyDescent="0.35">
      <c r="B522">
        <v>2000055448</v>
      </c>
      <c r="C522" s="1">
        <v>44417</v>
      </c>
      <c r="D522" t="s">
        <v>2477</v>
      </c>
      <c r="F522" t="s">
        <v>43</v>
      </c>
      <c r="G522" t="s">
        <v>1606</v>
      </c>
      <c r="H522" t="s">
        <v>2478</v>
      </c>
      <c r="I522" t="s">
        <v>41</v>
      </c>
      <c r="J522">
        <v>0.94399999999999995</v>
      </c>
      <c r="K522">
        <v>3</v>
      </c>
      <c r="L522">
        <v>2</v>
      </c>
      <c r="M522">
        <v>0.91</v>
      </c>
      <c r="N522" t="s">
        <v>2314</v>
      </c>
      <c r="O522" s="1">
        <v>45513</v>
      </c>
      <c r="S522" t="s">
        <v>915</v>
      </c>
      <c r="T522" s="6" t="s">
        <v>940</v>
      </c>
      <c r="U522" s="6" t="s">
        <v>942</v>
      </c>
      <c r="V522" s="2" t="s">
        <v>952</v>
      </c>
      <c r="W522" t="str">
        <f t="shared" si="8"/>
        <v>2000055448_20218</v>
      </c>
      <c r="X522" s="2" t="s">
        <v>1616</v>
      </c>
    </row>
    <row r="523" spans="1:24" hidden="1" x14ac:dyDescent="0.35">
      <c r="A523">
        <v>70</v>
      </c>
      <c r="B523">
        <v>2000055448</v>
      </c>
      <c r="C523" s="1">
        <v>45476</v>
      </c>
      <c r="D523" t="s">
        <v>1813</v>
      </c>
      <c r="E523" t="s">
        <v>18</v>
      </c>
      <c r="F523" t="s">
        <v>43</v>
      </c>
      <c r="G523" t="s">
        <v>1606</v>
      </c>
      <c r="H523" t="s">
        <v>1814</v>
      </c>
      <c r="I523" t="s">
        <v>41</v>
      </c>
      <c r="J523">
        <v>0.95499999999999996</v>
      </c>
      <c r="K523">
        <v>3</v>
      </c>
      <c r="L523">
        <v>1</v>
      </c>
      <c r="M523">
        <v>0.96</v>
      </c>
      <c r="N523" t="s">
        <v>23</v>
      </c>
      <c r="O523" s="1">
        <v>45841</v>
      </c>
      <c r="R523" t="s">
        <v>1815</v>
      </c>
      <c r="S523" t="s">
        <v>915</v>
      </c>
      <c r="T523" s="5" t="s">
        <v>936</v>
      </c>
      <c r="U523" s="5" t="s">
        <v>941</v>
      </c>
      <c r="V523" t="s">
        <v>956</v>
      </c>
      <c r="W523" t="str">
        <f t="shared" si="8"/>
        <v>2000055448_20247</v>
      </c>
      <c r="X523" s="2" t="s">
        <v>1616</v>
      </c>
    </row>
    <row r="524" spans="1:24" hidden="1" x14ac:dyDescent="0.35">
      <c r="B524">
        <v>2000055449</v>
      </c>
      <c r="C524" s="1">
        <v>44000</v>
      </c>
      <c r="D524" t="s">
        <v>2479</v>
      </c>
      <c r="F524" t="s">
        <v>43</v>
      </c>
      <c r="G524" t="s">
        <v>1606</v>
      </c>
      <c r="H524" t="s">
        <v>2480</v>
      </c>
      <c r="I524" t="s">
        <v>41</v>
      </c>
      <c r="J524">
        <v>0.94399999999999995</v>
      </c>
      <c r="K524">
        <v>3</v>
      </c>
      <c r="L524">
        <v>2</v>
      </c>
      <c r="M524">
        <v>0.82</v>
      </c>
      <c r="N524" t="s">
        <v>2310</v>
      </c>
      <c r="O524" s="1">
        <v>44730</v>
      </c>
      <c r="S524" t="s">
        <v>915</v>
      </c>
      <c r="T524" s="6" t="s">
        <v>927</v>
      </c>
      <c r="U524" s="6" t="s">
        <v>930</v>
      </c>
      <c r="V524" s="2" t="s">
        <v>923</v>
      </c>
      <c r="W524" t="str">
        <f t="shared" si="8"/>
        <v>2000055449_20206</v>
      </c>
      <c r="X524" s="2" t="s">
        <v>1616</v>
      </c>
    </row>
    <row r="525" spans="1:24" hidden="1" x14ac:dyDescent="0.35">
      <c r="B525">
        <v>2000055449</v>
      </c>
      <c r="C525" s="1">
        <v>44644</v>
      </c>
      <c r="D525" t="s">
        <v>2479</v>
      </c>
      <c r="F525" t="s">
        <v>43</v>
      </c>
      <c r="G525" t="s">
        <v>1606</v>
      </c>
      <c r="H525" t="s">
        <v>2481</v>
      </c>
      <c r="I525" t="s">
        <v>41</v>
      </c>
      <c r="J525">
        <v>0.97199999999999998</v>
      </c>
      <c r="K525">
        <v>3</v>
      </c>
      <c r="L525">
        <v>3</v>
      </c>
      <c r="M525">
        <v>0.97</v>
      </c>
      <c r="N525" t="s">
        <v>2314</v>
      </c>
      <c r="O525" s="1">
        <v>45740</v>
      </c>
      <c r="S525" t="s">
        <v>915</v>
      </c>
      <c r="T525" s="6" t="s">
        <v>941</v>
      </c>
      <c r="U525" s="6" t="s">
        <v>935</v>
      </c>
      <c r="V525" s="2" t="s">
        <v>954</v>
      </c>
      <c r="W525" t="str">
        <f t="shared" si="8"/>
        <v>2000055449_20223</v>
      </c>
      <c r="X525" s="2" t="s">
        <v>1616</v>
      </c>
    </row>
    <row r="526" spans="1:24" hidden="1" x14ac:dyDescent="0.35">
      <c r="A526">
        <v>20</v>
      </c>
      <c r="B526">
        <v>2000055922</v>
      </c>
      <c r="C526" s="1">
        <v>45715</v>
      </c>
      <c r="D526" t="s">
        <v>2567</v>
      </c>
      <c r="E526" t="s">
        <v>18</v>
      </c>
      <c r="F526" t="s">
        <v>52</v>
      </c>
      <c r="G526" t="s">
        <v>1606</v>
      </c>
      <c r="H526" t="s">
        <v>3518</v>
      </c>
      <c r="I526" t="s">
        <v>41</v>
      </c>
      <c r="J526">
        <v>1</v>
      </c>
      <c r="K526">
        <v>3</v>
      </c>
      <c r="L526">
        <v>0</v>
      </c>
      <c r="M526">
        <v>0.94</v>
      </c>
      <c r="N526" t="s">
        <v>2314</v>
      </c>
      <c r="O526" s="1">
        <v>46810</v>
      </c>
      <c r="R526" t="s">
        <v>1613</v>
      </c>
      <c r="S526" t="s">
        <v>915</v>
      </c>
      <c r="T526" s="5" t="s">
        <v>921</v>
      </c>
      <c r="U526" s="5" t="s">
        <v>925</v>
      </c>
      <c r="V526" t="s">
        <v>1650</v>
      </c>
      <c r="W526" t="str">
        <f t="shared" si="8"/>
        <v>2000055922_20252</v>
      </c>
      <c r="X526" t="s">
        <v>1616</v>
      </c>
    </row>
    <row r="527" spans="1:24" hidden="1" x14ac:dyDescent="0.35">
      <c r="B527">
        <v>2000055451</v>
      </c>
      <c r="C527" s="1">
        <v>44145</v>
      </c>
      <c r="D527" t="s">
        <v>2482</v>
      </c>
      <c r="F527" t="s">
        <v>43</v>
      </c>
      <c r="G527" t="s">
        <v>1606</v>
      </c>
      <c r="H527" t="s">
        <v>2483</v>
      </c>
      <c r="I527" t="s">
        <v>41</v>
      </c>
      <c r="J527">
        <v>0.72199999999999998</v>
      </c>
      <c r="K527">
        <v>2.2999999999999998</v>
      </c>
      <c r="L527">
        <v>4</v>
      </c>
      <c r="M527">
        <v>0.73</v>
      </c>
      <c r="N527" t="s">
        <v>2310</v>
      </c>
      <c r="O527" s="1">
        <v>44875</v>
      </c>
      <c r="S527" t="s">
        <v>915</v>
      </c>
      <c r="T527" s="6" t="s">
        <v>945</v>
      </c>
      <c r="U527" s="6" t="s">
        <v>948</v>
      </c>
      <c r="V527" s="2" t="s">
        <v>923</v>
      </c>
      <c r="W527" t="str">
        <f t="shared" si="8"/>
        <v>2000055451_202011</v>
      </c>
      <c r="X527" s="2" t="s">
        <v>1616</v>
      </c>
    </row>
    <row r="528" spans="1:24" hidden="1" x14ac:dyDescent="0.35">
      <c r="B528">
        <v>2000055451</v>
      </c>
      <c r="C528" s="1">
        <v>44844</v>
      </c>
      <c r="D528" t="s">
        <v>2482</v>
      </c>
      <c r="F528" t="s">
        <v>39</v>
      </c>
      <c r="G528" t="s">
        <v>1606</v>
      </c>
      <c r="H528" t="s">
        <v>2484</v>
      </c>
      <c r="I528" t="s">
        <v>41</v>
      </c>
      <c r="J528">
        <v>0.9</v>
      </c>
      <c r="K528">
        <v>2.7</v>
      </c>
      <c r="L528">
        <v>2</v>
      </c>
      <c r="M528">
        <v>0.76</v>
      </c>
      <c r="N528" t="s">
        <v>2310</v>
      </c>
      <c r="O528" s="1">
        <v>45575</v>
      </c>
      <c r="S528" t="s">
        <v>915</v>
      </c>
      <c r="T528" s="6" t="s">
        <v>948</v>
      </c>
      <c r="U528" s="6" t="s">
        <v>948</v>
      </c>
      <c r="V528" s="2" t="s">
        <v>954</v>
      </c>
      <c r="W528" t="str">
        <f t="shared" si="8"/>
        <v>2000055451_202210</v>
      </c>
      <c r="X528" s="2" t="s">
        <v>1616</v>
      </c>
    </row>
    <row r="529" spans="1:24" hidden="1" x14ac:dyDescent="0.35">
      <c r="A529">
        <v>138</v>
      </c>
      <c r="B529">
        <v>2000055451</v>
      </c>
      <c r="C529" s="1">
        <v>45589</v>
      </c>
      <c r="D529" t="s">
        <v>2482</v>
      </c>
      <c r="E529" t="s">
        <v>18</v>
      </c>
      <c r="F529" t="s">
        <v>43</v>
      </c>
      <c r="G529" t="s">
        <v>1606</v>
      </c>
      <c r="H529" t="s">
        <v>2484</v>
      </c>
      <c r="I529" t="s">
        <v>41</v>
      </c>
      <c r="J529">
        <v>1</v>
      </c>
      <c r="K529">
        <v>3</v>
      </c>
      <c r="L529">
        <v>0</v>
      </c>
      <c r="M529">
        <v>0.8</v>
      </c>
      <c r="N529" t="s">
        <v>368</v>
      </c>
      <c r="O529" s="1">
        <v>46684</v>
      </c>
      <c r="S529" t="s">
        <v>915</v>
      </c>
      <c r="T529" s="5" t="s">
        <v>948</v>
      </c>
      <c r="U529" s="5" t="s">
        <v>935</v>
      </c>
      <c r="V529" t="s">
        <v>956</v>
      </c>
      <c r="W529" t="str">
        <f t="shared" si="8"/>
        <v>2000055451_202410</v>
      </c>
      <c r="X529" t="s">
        <v>1616</v>
      </c>
    </row>
    <row r="530" spans="1:24" hidden="1" x14ac:dyDescent="0.35">
      <c r="A530">
        <v>153</v>
      </c>
      <c r="B530">
        <v>2000055452</v>
      </c>
      <c r="C530" s="1">
        <v>45614</v>
      </c>
      <c r="D530" t="s">
        <v>3269</v>
      </c>
      <c r="E530" t="s">
        <v>18</v>
      </c>
      <c r="F530" t="s">
        <v>43</v>
      </c>
      <c r="G530" t="s">
        <v>1606</v>
      </c>
      <c r="H530" t="s">
        <v>3270</v>
      </c>
      <c r="I530" t="s">
        <v>22</v>
      </c>
      <c r="J530">
        <v>0.99199999999999999</v>
      </c>
      <c r="K530">
        <v>3</v>
      </c>
      <c r="L530">
        <v>2</v>
      </c>
      <c r="M530">
        <v>0.98</v>
      </c>
      <c r="N530" t="s">
        <v>368</v>
      </c>
      <c r="O530" s="1">
        <v>46709</v>
      </c>
      <c r="S530" t="s">
        <v>915</v>
      </c>
      <c r="T530" s="5" t="s">
        <v>945</v>
      </c>
      <c r="U530" s="5" t="s">
        <v>930</v>
      </c>
      <c r="V530" t="s">
        <v>956</v>
      </c>
      <c r="W530" t="str">
        <f t="shared" si="8"/>
        <v>2000055452_202411</v>
      </c>
      <c r="X530" t="s">
        <v>1616</v>
      </c>
    </row>
    <row r="531" spans="1:24" hidden="1" x14ac:dyDescent="0.35">
      <c r="B531">
        <v>2000055453</v>
      </c>
      <c r="C531" s="1">
        <v>43984</v>
      </c>
      <c r="D531" t="s">
        <v>2489</v>
      </c>
      <c r="F531" t="s">
        <v>43</v>
      </c>
      <c r="G531" t="s">
        <v>1606</v>
      </c>
      <c r="H531" t="s">
        <v>2490</v>
      </c>
      <c r="I531" t="s">
        <v>41</v>
      </c>
      <c r="J531">
        <v>1</v>
      </c>
      <c r="K531">
        <v>3</v>
      </c>
      <c r="L531">
        <v>0</v>
      </c>
      <c r="M531">
        <v>1</v>
      </c>
      <c r="N531" t="s">
        <v>2310</v>
      </c>
      <c r="O531" s="1">
        <v>44714</v>
      </c>
      <c r="S531" t="s">
        <v>915</v>
      </c>
      <c r="T531" s="6" t="s">
        <v>927</v>
      </c>
      <c r="U531" s="6" t="s">
        <v>921</v>
      </c>
      <c r="V531" s="2" t="s">
        <v>923</v>
      </c>
      <c r="W531" t="str">
        <f t="shared" si="8"/>
        <v>2000055453_20206</v>
      </c>
      <c r="X531" s="2" t="s">
        <v>1616</v>
      </c>
    </row>
    <row r="532" spans="1:24" hidden="1" x14ac:dyDescent="0.35">
      <c r="B532">
        <v>2000055454</v>
      </c>
      <c r="C532" s="1">
        <v>44013</v>
      </c>
      <c r="D532" t="s">
        <v>2491</v>
      </c>
      <c r="F532" t="s">
        <v>43</v>
      </c>
      <c r="G532" t="s">
        <v>1606</v>
      </c>
      <c r="H532" t="s">
        <v>2492</v>
      </c>
      <c r="I532" t="s">
        <v>22</v>
      </c>
      <c r="J532">
        <v>0.96599999999999997</v>
      </c>
      <c r="K532">
        <v>3</v>
      </c>
      <c r="L532">
        <v>2</v>
      </c>
      <c r="M532">
        <v>0.93</v>
      </c>
      <c r="N532" t="s">
        <v>2310</v>
      </c>
      <c r="O532" s="1">
        <v>44743</v>
      </c>
      <c r="S532" t="s">
        <v>915</v>
      </c>
      <c r="T532" s="6" t="s">
        <v>936</v>
      </c>
      <c r="U532" s="6" t="s">
        <v>953</v>
      </c>
      <c r="V532" s="2" t="s">
        <v>923</v>
      </c>
      <c r="W532" t="str">
        <f t="shared" si="8"/>
        <v>2000055454_20207</v>
      </c>
      <c r="X532" s="2" t="s">
        <v>1616</v>
      </c>
    </row>
    <row r="533" spans="1:24" hidden="1" x14ac:dyDescent="0.35">
      <c r="B533">
        <v>2000055454</v>
      </c>
      <c r="C533" s="1">
        <v>44706</v>
      </c>
      <c r="D533" t="s">
        <v>2491</v>
      </c>
      <c r="F533" t="s">
        <v>43</v>
      </c>
      <c r="G533" t="s">
        <v>1606</v>
      </c>
      <c r="H533" t="s">
        <v>2493</v>
      </c>
      <c r="I533" t="s">
        <v>22</v>
      </c>
      <c r="J533">
        <v>0.98499999999999999</v>
      </c>
      <c r="K533">
        <v>3</v>
      </c>
      <c r="L533">
        <v>0</v>
      </c>
      <c r="M533">
        <v>1</v>
      </c>
      <c r="N533" t="s">
        <v>2314</v>
      </c>
      <c r="O533" s="1">
        <v>45802</v>
      </c>
      <c r="S533" t="s">
        <v>915</v>
      </c>
      <c r="T533" s="6" t="s">
        <v>947</v>
      </c>
      <c r="U533" s="6" t="s">
        <v>922</v>
      </c>
      <c r="V533" s="2" t="s">
        <v>954</v>
      </c>
      <c r="W533" t="str">
        <f t="shared" si="8"/>
        <v>2000055454_20225</v>
      </c>
      <c r="X533" s="2" t="s">
        <v>1616</v>
      </c>
    </row>
    <row r="534" spans="1:24" hidden="1" x14ac:dyDescent="0.35">
      <c r="A534">
        <v>21</v>
      </c>
      <c r="B534">
        <v>2000045041</v>
      </c>
      <c r="C534" s="1">
        <v>45716</v>
      </c>
      <c r="D534" t="s">
        <v>3109</v>
      </c>
      <c r="E534" t="s">
        <v>18</v>
      </c>
      <c r="F534" t="s">
        <v>19</v>
      </c>
      <c r="G534" t="s">
        <v>1817</v>
      </c>
      <c r="H534" t="s">
        <v>3110</v>
      </c>
      <c r="I534" t="s">
        <v>41</v>
      </c>
      <c r="J534">
        <v>1</v>
      </c>
      <c r="K534">
        <v>3</v>
      </c>
      <c r="L534">
        <v>0</v>
      </c>
      <c r="M534">
        <v>0.98</v>
      </c>
      <c r="N534" t="s">
        <v>2314</v>
      </c>
      <c r="O534" s="1">
        <v>46811</v>
      </c>
      <c r="P534" t="s">
        <v>3519</v>
      </c>
      <c r="Q534" t="s">
        <v>50</v>
      </c>
      <c r="R534" t="s">
        <v>1613</v>
      </c>
      <c r="S534" t="s">
        <v>915</v>
      </c>
      <c r="T534" s="5" t="s">
        <v>921</v>
      </c>
      <c r="U534" s="5" t="s">
        <v>926</v>
      </c>
      <c r="V534" t="s">
        <v>1650</v>
      </c>
      <c r="W534" t="str">
        <f t="shared" si="8"/>
        <v>2000045041_20252</v>
      </c>
      <c r="X534" t="s">
        <v>1616</v>
      </c>
    </row>
    <row r="535" spans="1:24" hidden="1" x14ac:dyDescent="0.35">
      <c r="B535">
        <v>2000055455</v>
      </c>
      <c r="C535" s="1">
        <v>43535</v>
      </c>
      <c r="D535" t="s">
        <v>2494</v>
      </c>
      <c r="F535" t="s">
        <v>19</v>
      </c>
      <c r="G535" t="s">
        <v>2341</v>
      </c>
      <c r="H535" t="s">
        <v>2495</v>
      </c>
      <c r="I535" t="s">
        <v>41</v>
      </c>
      <c r="J535">
        <v>0.86</v>
      </c>
      <c r="K535">
        <v>3</v>
      </c>
      <c r="L535">
        <v>1</v>
      </c>
      <c r="N535" t="s">
        <v>2310</v>
      </c>
      <c r="O535" s="1">
        <v>44266</v>
      </c>
      <c r="S535" t="s">
        <v>915</v>
      </c>
      <c r="T535" s="6" t="s">
        <v>941</v>
      </c>
      <c r="U535" s="6" t="s">
        <v>945</v>
      </c>
      <c r="V535" s="2" t="s">
        <v>1618</v>
      </c>
      <c r="W535" t="str">
        <f t="shared" si="8"/>
        <v>2000055455_20193</v>
      </c>
      <c r="X535" s="2" t="s">
        <v>1616</v>
      </c>
    </row>
    <row r="536" spans="1:24" hidden="1" x14ac:dyDescent="0.35">
      <c r="B536">
        <v>2000055455</v>
      </c>
      <c r="C536" s="1">
        <v>44286</v>
      </c>
      <c r="D536" t="s">
        <v>2494</v>
      </c>
      <c r="F536" t="s">
        <v>19</v>
      </c>
      <c r="G536" t="s">
        <v>1606</v>
      </c>
      <c r="H536" t="s">
        <v>2496</v>
      </c>
      <c r="I536" t="s">
        <v>41</v>
      </c>
      <c r="J536">
        <v>0.88900000000000001</v>
      </c>
      <c r="K536">
        <v>2.7</v>
      </c>
      <c r="L536">
        <v>1</v>
      </c>
      <c r="M536">
        <v>0.9</v>
      </c>
      <c r="N536" t="s">
        <v>2310</v>
      </c>
      <c r="O536" s="1">
        <v>45016</v>
      </c>
      <c r="S536" t="s">
        <v>915</v>
      </c>
      <c r="T536" s="6" t="s">
        <v>941</v>
      </c>
      <c r="U536" s="6" t="s">
        <v>939</v>
      </c>
      <c r="V536" s="2" t="s">
        <v>952</v>
      </c>
      <c r="W536" t="str">
        <f t="shared" si="8"/>
        <v>2000055455_20213</v>
      </c>
      <c r="X536" s="2" t="s">
        <v>1616</v>
      </c>
    </row>
    <row r="537" spans="1:24" hidden="1" x14ac:dyDescent="0.35">
      <c r="B537">
        <v>2000055455</v>
      </c>
      <c r="C537" s="1">
        <v>45090</v>
      </c>
      <c r="D537" t="s">
        <v>2494</v>
      </c>
      <c r="F537" t="s">
        <v>43</v>
      </c>
      <c r="G537" t="s">
        <v>1606</v>
      </c>
      <c r="H537" t="s">
        <v>2497</v>
      </c>
      <c r="I537" t="s">
        <v>41</v>
      </c>
      <c r="J537">
        <v>1</v>
      </c>
      <c r="K537">
        <v>3</v>
      </c>
      <c r="L537">
        <v>0</v>
      </c>
      <c r="M537">
        <v>0.96</v>
      </c>
      <c r="N537" t="s">
        <v>2314</v>
      </c>
      <c r="O537" s="1">
        <v>46186</v>
      </c>
      <c r="S537" t="s">
        <v>915</v>
      </c>
      <c r="T537" s="6" t="s">
        <v>927</v>
      </c>
      <c r="U537" s="6" t="s">
        <v>950</v>
      </c>
      <c r="V537" s="2" t="s">
        <v>955</v>
      </c>
      <c r="W537" t="str">
        <f t="shared" si="8"/>
        <v>2000055455_20236</v>
      </c>
      <c r="X537" s="2" t="s">
        <v>1616</v>
      </c>
    </row>
    <row r="538" spans="1:24" x14ac:dyDescent="0.35">
      <c r="B538">
        <v>2000055457</v>
      </c>
      <c r="C538" s="1">
        <v>43966</v>
      </c>
      <c r="D538" t="s">
        <v>2498</v>
      </c>
      <c r="F538" t="s">
        <v>43</v>
      </c>
      <c r="G538" t="s">
        <v>1609</v>
      </c>
      <c r="H538" t="s">
        <v>2499</v>
      </c>
      <c r="I538" t="s">
        <v>41</v>
      </c>
      <c r="J538">
        <v>0.97499999999999998</v>
      </c>
      <c r="K538">
        <v>3</v>
      </c>
      <c r="L538">
        <v>0</v>
      </c>
      <c r="M538">
        <v>1</v>
      </c>
      <c r="N538" t="s">
        <v>2310</v>
      </c>
      <c r="O538" s="1">
        <v>44696</v>
      </c>
      <c r="S538" t="s">
        <v>915</v>
      </c>
      <c r="T538" s="6" t="s">
        <v>947</v>
      </c>
      <c r="U538" s="6" t="s">
        <v>943</v>
      </c>
      <c r="V538" s="2" t="s">
        <v>923</v>
      </c>
      <c r="W538" t="str">
        <f t="shared" si="8"/>
        <v>2000055457_20205</v>
      </c>
      <c r="X538" s="2" t="s">
        <v>1616</v>
      </c>
    </row>
    <row r="539" spans="1:24" x14ac:dyDescent="0.35">
      <c r="B539">
        <v>2000055457</v>
      </c>
      <c r="C539" s="1">
        <v>44663</v>
      </c>
      <c r="D539" t="s">
        <v>2498</v>
      </c>
      <c r="F539" t="s">
        <v>43</v>
      </c>
      <c r="G539" t="s">
        <v>1609</v>
      </c>
      <c r="H539" t="s">
        <v>2500</v>
      </c>
      <c r="I539" t="s">
        <v>41</v>
      </c>
      <c r="J539">
        <v>1</v>
      </c>
      <c r="K539">
        <v>3</v>
      </c>
      <c r="L539">
        <v>0</v>
      </c>
      <c r="M539">
        <v>0.97</v>
      </c>
      <c r="N539" t="s">
        <v>2314</v>
      </c>
      <c r="O539" s="1">
        <v>45759</v>
      </c>
      <c r="S539" t="s">
        <v>915</v>
      </c>
      <c r="T539" s="6" t="s">
        <v>946</v>
      </c>
      <c r="U539" s="6" t="s">
        <v>949</v>
      </c>
      <c r="V539" s="2" t="s">
        <v>954</v>
      </c>
      <c r="W539" t="str">
        <f t="shared" si="8"/>
        <v>2000055457_20224</v>
      </c>
      <c r="X539" s="2" t="s">
        <v>1616</v>
      </c>
    </row>
    <row r="540" spans="1:24" hidden="1" x14ac:dyDescent="0.35">
      <c r="A540">
        <v>22</v>
      </c>
      <c r="B540">
        <v>2000057670</v>
      </c>
      <c r="C540" s="1">
        <v>45720</v>
      </c>
      <c r="D540" t="s">
        <v>1653</v>
      </c>
      <c r="E540" t="s">
        <v>18</v>
      </c>
      <c r="F540" t="s">
        <v>43</v>
      </c>
      <c r="G540" t="s">
        <v>3520</v>
      </c>
      <c r="H540" t="s">
        <v>3521</v>
      </c>
      <c r="I540" t="s">
        <v>22</v>
      </c>
      <c r="J540">
        <v>0.99299999999999999</v>
      </c>
      <c r="K540">
        <v>3</v>
      </c>
      <c r="L540">
        <v>1</v>
      </c>
      <c r="M540">
        <v>0.98</v>
      </c>
      <c r="N540" t="s">
        <v>2314</v>
      </c>
      <c r="O540" s="1">
        <v>46816</v>
      </c>
      <c r="P540" t="s">
        <v>3522</v>
      </c>
      <c r="Q540" t="s">
        <v>50</v>
      </c>
      <c r="R540" t="s">
        <v>3523</v>
      </c>
      <c r="S540" t="s">
        <v>915</v>
      </c>
      <c r="T540" s="5" t="s">
        <v>941</v>
      </c>
      <c r="U540" s="5" t="s">
        <v>946</v>
      </c>
      <c r="V540" t="s">
        <v>1650</v>
      </c>
      <c r="W540" t="str">
        <f t="shared" si="8"/>
        <v>2000057670_20253</v>
      </c>
      <c r="X540" t="s">
        <v>1616</v>
      </c>
    </row>
    <row r="541" spans="1:24" hidden="1" x14ac:dyDescent="0.35">
      <c r="B541">
        <v>2000055459</v>
      </c>
      <c r="C541" s="1">
        <v>44487</v>
      </c>
      <c r="D541" t="s">
        <v>2501</v>
      </c>
      <c r="F541" t="s">
        <v>52</v>
      </c>
      <c r="G541" t="s">
        <v>1606</v>
      </c>
      <c r="H541" t="s">
        <v>2502</v>
      </c>
      <c r="I541" t="s">
        <v>41</v>
      </c>
      <c r="J541">
        <v>0.88700000000000001</v>
      </c>
      <c r="K541">
        <v>2.6</v>
      </c>
      <c r="L541">
        <v>6</v>
      </c>
      <c r="M541">
        <v>0.91</v>
      </c>
      <c r="N541" t="s">
        <v>2310</v>
      </c>
      <c r="O541" s="1">
        <v>45217</v>
      </c>
      <c r="S541" t="s">
        <v>915</v>
      </c>
      <c r="T541" s="6" t="s">
        <v>948</v>
      </c>
      <c r="U541" s="6" t="s">
        <v>930</v>
      </c>
      <c r="V541" s="2" t="s">
        <v>952</v>
      </c>
      <c r="W541" t="str">
        <f t="shared" si="8"/>
        <v>2000055459_202110</v>
      </c>
      <c r="X541" s="2" t="s">
        <v>1616</v>
      </c>
    </row>
    <row r="542" spans="1:24" hidden="1" x14ac:dyDescent="0.35">
      <c r="B542">
        <v>2000055459</v>
      </c>
      <c r="C542" s="1">
        <v>45106</v>
      </c>
      <c r="D542" t="s">
        <v>2501</v>
      </c>
      <c r="F542" t="s">
        <v>376</v>
      </c>
      <c r="G542" t="s">
        <v>1606</v>
      </c>
      <c r="H542" t="s">
        <v>2503</v>
      </c>
      <c r="I542" t="s">
        <v>41</v>
      </c>
      <c r="J542">
        <v>0.80400000000000005</v>
      </c>
      <c r="K542">
        <v>3</v>
      </c>
      <c r="L542">
        <v>0</v>
      </c>
      <c r="M542">
        <v>0.76</v>
      </c>
      <c r="N542" t="s">
        <v>2310</v>
      </c>
      <c r="O542" s="1">
        <v>45837</v>
      </c>
      <c r="S542" t="s">
        <v>915</v>
      </c>
      <c r="T542" s="6" t="s">
        <v>927</v>
      </c>
      <c r="U542" s="6" t="s">
        <v>937</v>
      </c>
      <c r="V542" s="2" t="s">
        <v>955</v>
      </c>
      <c r="W542" t="str">
        <f t="shared" si="8"/>
        <v>2000055459_20236</v>
      </c>
      <c r="X542" s="2" t="s">
        <v>1616</v>
      </c>
    </row>
    <row r="543" spans="1:24" hidden="1" x14ac:dyDescent="0.35">
      <c r="A543">
        <v>23</v>
      </c>
      <c r="B543">
        <v>2000055462</v>
      </c>
      <c r="C543" s="1">
        <v>45394</v>
      </c>
      <c r="D543" t="s">
        <v>1695</v>
      </c>
      <c r="E543" t="s">
        <v>18</v>
      </c>
      <c r="F543" t="s">
        <v>376</v>
      </c>
      <c r="G543" t="s">
        <v>1687</v>
      </c>
      <c r="H543" t="s">
        <v>1696</v>
      </c>
      <c r="I543" t="s">
        <v>22</v>
      </c>
      <c r="J543">
        <v>0.98299999999999998</v>
      </c>
      <c r="K543">
        <v>3</v>
      </c>
      <c r="L543">
        <v>1</v>
      </c>
      <c r="M543">
        <v>0.91</v>
      </c>
      <c r="N543" t="s">
        <v>368</v>
      </c>
      <c r="O543" s="1">
        <v>46489</v>
      </c>
      <c r="S543" t="s">
        <v>915</v>
      </c>
      <c r="T543" s="5" t="s">
        <v>946</v>
      </c>
      <c r="U543" s="5" t="s">
        <v>949</v>
      </c>
      <c r="V543" t="s">
        <v>956</v>
      </c>
      <c r="W543" t="str">
        <f t="shared" si="8"/>
        <v>2000055462_20244</v>
      </c>
      <c r="X543" s="2" t="s">
        <v>1616</v>
      </c>
    </row>
    <row r="544" spans="1:24" hidden="1" x14ac:dyDescent="0.35">
      <c r="B544">
        <v>2000055468</v>
      </c>
      <c r="C544" s="1">
        <v>44761</v>
      </c>
      <c r="D544" t="s">
        <v>2504</v>
      </c>
      <c r="F544" t="s">
        <v>43</v>
      </c>
      <c r="G544" t="s">
        <v>1606</v>
      </c>
      <c r="H544" t="s">
        <v>2505</v>
      </c>
      <c r="I544" t="s">
        <v>41</v>
      </c>
      <c r="J544">
        <v>1</v>
      </c>
      <c r="K544">
        <v>3</v>
      </c>
      <c r="L544">
        <v>0</v>
      </c>
      <c r="M544">
        <v>0.93</v>
      </c>
      <c r="N544" t="s">
        <v>2314</v>
      </c>
      <c r="O544" s="1">
        <v>45857</v>
      </c>
      <c r="S544" t="s">
        <v>915</v>
      </c>
      <c r="T544" s="6" t="s">
        <v>936</v>
      </c>
      <c r="U544" s="6" t="s">
        <v>931</v>
      </c>
      <c r="V544" s="2" t="s">
        <v>954</v>
      </c>
      <c r="W544" t="str">
        <f t="shared" si="8"/>
        <v>2000055468_20227</v>
      </c>
      <c r="X544" s="2" t="s">
        <v>1616</v>
      </c>
    </row>
    <row r="545" spans="1:24" hidden="1" x14ac:dyDescent="0.35">
      <c r="B545">
        <v>2000055469</v>
      </c>
      <c r="C545" s="1">
        <v>44482</v>
      </c>
      <c r="D545" t="s">
        <v>2506</v>
      </c>
      <c r="F545" t="s">
        <v>39</v>
      </c>
      <c r="G545" t="s">
        <v>1911</v>
      </c>
      <c r="H545" t="s">
        <v>2507</v>
      </c>
      <c r="I545" t="s">
        <v>41</v>
      </c>
      <c r="J545">
        <v>0.94399999999999995</v>
      </c>
      <c r="K545">
        <v>2.2999999999999998</v>
      </c>
      <c r="L545">
        <v>6</v>
      </c>
      <c r="M545">
        <v>0.93</v>
      </c>
      <c r="N545" t="s">
        <v>2310</v>
      </c>
      <c r="O545" s="1">
        <v>45212</v>
      </c>
      <c r="S545" t="s">
        <v>915</v>
      </c>
      <c r="T545" s="6" t="s">
        <v>948</v>
      </c>
      <c r="U545" s="6" t="s">
        <v>950</v>
      </c>
      <c r="V545" s="2" t="s">
        <v>952</v>
      </c>
      <c r="W545" t="str">
        <f t="shared" si="8"/>
        <v>2000055469_202110</v>
      </c>
      <c r="X545" s="2" t="s">
        <v>1616</v>
      </c>
    </row>
    <row r="546" spans="1:24" hidden="1" x14ac:dyDescent="0.35">
      <c r="B546">
        <v>2000055469</v>
      </c>
      <c r="C546" s="1">
        <v>45022</v>
      </c>
      <c r="D546" t="s">
        <v>2506</v>
      </c>
      <c r="F546" t="s">
        <v>39</v>
      </c>
      <c r="G546" t="s">
        <v>1911</v>
      </c>
      <c r="H546" t="s">
        <v>2508</v>
      </c>
      <c r="I546" t="s">
        <v>41</v>
      </c>
      <c r="J546">
        <v>1</v>
      </c>
      <c r="K546">
        <v>3</v>
      </c>
      <c r="L546">
        <v>0</v>
      </c>
      <c r="M546">
        <v>0.92</v>
      </c>
      <c r="N546" t="s">
        <v>2314</v>
      </c>
      <c r="O546" s="1">
        <v>46118</v>
      </c>
      <c r="S546" t="s">
        <v>915</v>
      </c>
      <c r="T546" s="6" t="s">
        <v>946</v>
      </c>
      <c r="U546" s="6" t="s">
        <v>927</v>
      </c>
      <c r="V546" s="2" t="s">
        <v>955</v>
      </c>
      <c r="W546" t="str">
        <f t="shared" si="8"/>
        <v>2000055469_20234</v>
      </c>
      <c r="X546" s="2" t="s">
        <v>1616</v>
      </c>
    </row>
    <row r="547" spans="1:24" hidden="1" x14ac:dyDescent="0.35">
      <c r="A547">
        <v>71</v>
      </c>
      <c r="B547">
        <v>2000055474</v>
      </c>
      <c r="C547" s="1">
        <v>44466</v>
      </c>
      <c r="D547" t="s">
        <v>957</v>
      </c>
      <c r="E547" t="s">
        <v>18</v>
      </c>
      <c r="F547" t="s">
        <v>39</v>
      </c>
      <c r="G547" t="s">
        <v>245</v>
      </c>
      <c r="H547" t="s">
        <v>288</v>
      </c>
      <c r="I547" t="s">
        <v>41</v>
      </c>
      <c r="J547">
        <v>0.90900000000000003</v>
      </c>
      <c r="K547">
        <v>3</v>
      </c>
      <c r="L547">
        <v>2</v>
      </c>
      <c r="M547">
        <v>0.97</v>
      </c>
      <c r="N547" t="s">
        <v>368</v>
      </c>
      <c r="O547" s="1">
        <v>45562</v>
      </c>
      <c r="S547" t="s">
        <v>915</v>
      </c>
      <c r="T547" s="6" t="s">
        <v>942</v>
      </c>
      <c r="U547" s="6" t="s">
        <v>925</v>
      </c>
      <c r="V547" s="2" t="s">
        <v>952</v>
      </c>
      <c r="W547" t="str">
        <f t="shared" si="8"/>
        <v>2000055474_20219</v>
      </c>
      <c r="X547" s="2" t="s">
        <v>1615</v>
      </c>
    </row>
    <row r="548" spans="1:24" hidden="1" x14ac:dyDescent="0.35">
      <c r="A548">
        <v>61</v>
      </c>
      <c r="B548">
        <v>2000055474</v>
      </c>
      <c r="C548" s="1">
        <v>45520</v>
      </c>
      <c r="D548" t="s">
        <v>957</v>
      </c>
      <c r="E548" t="s">
        <v>18</v>
      </c>
      <c r="F548" t="s">
        <v>39</v>
      </c>
      <c r="G548" t="s">
        <v>245</v>
      </c>
      <c r="H548" t="s">
        <v>1577</v>
      </c>
      <c r="I548" t="s">
        <v>41</v>
      </c>
      <c r="J548">
        <v>0.87</v>
      </c>
      <c r="K548">
        <v>2.4</v>
      </c>
      <c r="L548">
        <v>5</v>
      </c>
      <c r="M548">
        <v>0.95</v>
      </c>
      <c r="N548" t="s">
        <v>28</v>
      </c>
      <c r="O548" s="1">
        <v>46250</v>
      </c>
      <c r="S548" t="s">
        <v>915</v>
      </c>
      <c r="T548" s="6" t="s">
        <v>940</v>
      </c>
      <c r="U548" s="6" t="s">
        <v>928</v>
      </c>
      <c r="V548" s="2" t="s">
        <v>956</v>
      </c>
      <c r="W548" t="str">
        <f t="shared" si="8"/>
        <v>2000055474_20248</v>
      </c>
      <c r="X548" s="2" t="s">
        <v>1615</v>
      </c>
    </row>
    <row r="549" spans="1:24" hidden="1" x14ac:dyDescent="0.35">
      <c r="B549">
        <v>2000055492</v>
      </c>
      <c r="C549" s="1">
        <v>44694</v>
      </c>
      <c r="D549" t="s">
        <v>2509</v>
      </c>
      <c r="F549" t="s">
        <v>19</v>
      </c>
      <c r="G549" t="s">
        <v>1911</v>
      </c>
      <c r="H549" t="s">
        <v>2510</v>
      </c>
      <c r="I549" t="s">
        <v>22</v>
      </c>
      <c r="J549">
        <v>0.91700000000000004</v>
      </c>
      <c r="K549">
        <v>3</v>
      </c>
      <c r="L549">
        <v>2</v>
      </c>
      <c r="M549">
        <v>0.87</v>
      </c>
      <c r="N549" t="s">
        <v>2314</v>
      </c>
      <c r="O549" s="1">
        <v>45790</v>
      </c>
      <c r="S549" t="s">
        <v>915</v>
      </c>
      <c r="T549" s="6" t="s">
        <v>947</v>
      </c>
      <c r="U549" s="6" t="s">
        <v>950</v>
      </c>
      <c r="V549" s="2" t="s">
        <v>954</v>
      </c>
      <c r="W549" t="str">
        <f t="shared" si="8"/>
        <v>2000055492_20225</v>
      </c>
      <c r="X549" s="2" t="s">
        <v>1616</v>
      </c>
    </row>
    <row r="550" spans="1:24" hidden="1" x14ac:dyDescent="0.35">
      <c r="A550">
        <v>23</v>
      </c>
      <c r="B550">
        <v>2000024640</v>
      </c>
      <c r="C550" s="1">
        <v>45721</v>
      </c>
      <c r="D550" t="s">
        <v>3524</v>
      </c>
      <c r="E550" t="s">
        <v>18</v>
      </c>
      <c r="F550" t="s">
        <v>32</v>
      </c>
      <c r="G550" t="s">
        <v>3525</v>
      </c>
      <c r="H550" t="s">
        <v>3526</v>
      </c>
      <c r="I550" t="s">
        <v>41</v>
      </c>
      <c r="J550">
        <v>1</v>
      </c>
      <c r="K550">
        <v>3</v>
      </c>
      <c r="L550">
        <v>0</v>
      </c>
      <c r="M550">
        <v>0.74</v>
      </c>
      <c r="N550" t="s">
        <v>2314</v>
      </c>
      <c r="O550" s="1">
        <v>46817</v>
      </c>
      <c r="S550" t="s">
        <v>915</v>
      </c>
      <c r="T550" s="5" t="s">
        <v>941</v>
      </c>
      <c r="U550" s="5" t="s">
        <v>947</v>
      </c>
      <c r="V550" t="s">
        <v>1650</v>
      </c>
      <c r="W550" t="str">
        <f t="shared" si="8"/>
        <v>2000024640_20253</v>
      </c>
      <c r="X550" t="s">
        <v>1616</v>
      </c>
    </row>
    <row r="551" spans="1:24" hidden="1" x14ac:dyDescent="0.35">
      <c r="A551">
        <v>96</v>
      </c>
      <c r="B551">
        <v>2000055532</v>
      </c>
      <c r="C551" s="1">
        <v>45272</v>
      </c>
      <c r="D551" t="s">
        <v>655</v>
      </c>
      <c r="E551" t="s">
        <v>18</v>
      </c>
      <c r="F551" t="s">
        <v>148</v>
      </c>
      <c r="G551" t="s">
        <v>20</v>
      </c>
      <c r="H551" t="s">
        <v>656</v>
      </c>
      <c r="I551" t="s">
        <v>148</v>
      </c>
      <c r="J551">
        <v>0.81</v>
      </c>
      <c r="K551">
        <v>2.4500000000000002</v>
      </c>
      <c r="L551">
        <v>4</v>
      </c>
      <c r="M551">
        <v>0.73</v>
      </c>
      <c r="N551" t="s">
        <v>28</v>
      </c>
      <c r="O551" s="1">
        <v>46003</v>
      </c>
      <c r="S551" t="s">
        <v>915</v>
      </c>
      <c r="T551" s="6" t="s">
        <v>949</v>
      </c>
      <c r="U551" s="6" t="s">
        <v>949</v>
      </c>
      <c r="V551" s="2" t="s">
        <v>955</v>
      </c>
      <c r="W551" t="str">
        <f t="shared" si="8"/>
        <v>2000055532_202312</v>
      </c>
      <c r="X551" s="2" t="s">
        <v>1615</v>
      </c>
    </row>
    <row r="552" spans="1:24" hidden="1" x14ac:dyDescent="0.35">
      <c r="A552">
        <v>24</v>
      </c>
      <c r="B552">
        <v>2000055539</v>
      </c>
      <c r="C552" s="1">
        <v>44308</v>
      </c>
      <c r="D552" t="s">
        <v>197</v>
      </c>
      <c r="E552" t="s">
        <v>18</v>
      </c>
      <c r="F552" t="s">
        <v>148</v>
      </c>
      <c r="G552" t="s">
        <v>20</v>
      </c>
      <c r="H552" t="s">
        <v>198</v>
      </c>
      <c r="I552" t="s">
        <v>41</v>
      </c>
      <c r="J552">
        <v>0.7</v>
      </c>
      <c r="K552">
        <v>2</v>
      </c>
      <c r="L552">
        <v>9</v>
      </c>
      <c r="M552">
        <v>0.64</v>
      </c>
      <c r="N552" t="s">
        <v>23</v>
      </c>
      <c r="O552" s="1">
        <v>44673</v>
      </c>
      <c r="S552" t="s">
        <v>915</v>
      </c>
      <c r="T552" s="6" t="s">
        <v>946</v>
      </c>
      <c r="U552" s="6" t="s">
        <v>933</v>
      </c>
      <c r="V552" s="2" t="s">
        <v>952</v>
      </c>
      <c r="W552" t="str">
        <f t="shared" si="8"/>
        <v>2000055539_20214</v>
      </c>
      <c r="X552" s="2" t="s">
        <v>1615</v>
      </c>
    </row>
    <row r="553" spans="1:24" hidden="1" x14ac:dyDescent="0.35">
      <c r="A553">
        <v>45</v>
      </c>
      <c r="B553">
        <v>2000055539</v>
      </c>
      <c r="C553" s="1">
        <v>45103</v>
      </c>
      <c r="D553" t="s">
        <v>197</v>
      </c>
      <c r="E553" t="s">
        <v>18</v>
      </c>
      <c r="F553" t="s">
        <v>148</v>
      </c>
      <c r="G553" t="s">
        <v>20</v>
      </c>
      <c r="H553" t="s">
        <v>588</v>
      </c>
      <c r="I553" t="s">
        <v>148</v>
      </c>
      <c r="J553">
        <v>0.86399999999999999</v>
      </c>
      <c r="K553">
        <v>2.5</v>
      </c>
      <c r="L553">
        <v>2</v>
      </c>
      <c r="M553">
        <v>0.72</v>
      </c>
      <c r="N553" t="s">
        <v>28</v>
      </c>
      <c r="O553" s="1">
        <v>45834</v>
      </c>
      <c r="S553" t="s">
        <v>915</v>
      </c>
      <c r="T553" s="6" t="s">
        <v>927</v>
      </c>
      <c r="U553" s="6" t="s">
        <v>924</v>
      </c>
      <c r="V553" s="2" t="s">
        <v>955</v>
      </c>
      <c r="W553" t="str">
        <f t="shared" si="8"/>
        <v>2000055539_20236</v>
      </c>
      <c r="X553" s="2" t="s">
        <v>1615</v>
      </c>
    </row>
    <row r="554" spans="1:24" hidden="1" x14ac:dyDescent="0.35">
      <c r="A554">
        <v>81</v>
      </c>
      <c r="B554">
        <v>2000055541</v>
      </c>
      <c r="C554" s="1">
        <v>45223</v>
      </c>
      <c r="D554" t="s">
        <v>321</v>
      </c>
      <c r="E554" t="s">
        <v>18</v>
      </c>
      <c r="F554" t="s">
        <v>39</v>
      </c>
      <c r="G554" t="s">
        <v>20</v>
      </c>
      <c r="H554" t="s">
        <v>627</v>
      </c>
      <c r="I554" t="s">
        <v>41</v>
      </c>
      <c r="J554">
        <v>0.91200000000000003</v>
      </c>
      <c r="K554">
        <v>2.6</v>
      </c>
      <c r="L554">
        <v>1</v>
      </c>
      <c r="M554">
        <v>0.92</v>
      </c>
      <c r="N554" t="s">
        <v>28</v>
      </c>
      <c r="O554" s="1">
        <v>45954</v>
      </c>
      <c r="S554" t="s">
        <v>915</v>
      </c>
      <c r="T554" s="6" t="s">
        <v>948</v>
      </c>
      <c r="U554" s="6" t="s">
        <v>935</v>
      </c>
      <c r="V554" s="2" t="s">
        <v>955</v>
      </c>
      <c r="W554" t="str">
        <f t="shared" si="8"/>
        <v>2000055541_202310</v>
      </c>
      <c r="X554" s="2" t="s">
        <v>1615</v>
      </c>
    </row>
    <row r="555" spans="1:24" hidden="1" x14ac:dyDescent="0.35">
      <c r="A555">
        <v>88</v>
      </c>
      <c r="B555">
        <v>2000055541</v>
      </c>
      <c r="C555" s="1">
        <v>44490</v>
      </c>
      <c r="D555" t="s">
        <v>321</v>
      </c>
      <c r="E555" t="s">
        <v>18</v>
      </c>
      <c r="F555" t="s">
        <v>39</v>
      </c>
      <c r="G555" t="s">
        <v>20</v>
      </c>
      <c r="H555" t="s">
        <v>322</v>
      </c>
      <c r="I555" t="s">
        <v>41</v>
      </c>
      <c r="J555">
        <v>0.8</v>
      </c>
      <c r="K555">
        <v>2.2999999999999998</v>
      </c>
      <c r="L555">
        <v>5</v>
      </c>
      <c r="M555">
        <v>0.79</v>
      </c>
      <c r="N555" t="s">
        <v>28</v>
      </c>
      <c r="O555" s="1">
        <v>45220</v>
      </c>
      <c r="Q555" t="s">
        <v>323</v>
      </c>
      <c r="S555" t="s">
        <v>915</v>
      </c>
      <c r="T555" s="6" t="s">
        <v>948</v>
      </c>
      <c r="U555" s="6" t="s">
        <v>944</v>
      </c>
      <c r="V555" s="2" t="s">
        <v>952</v>
      </c>
      <c r="W555" t="str">
        <f t="shared" si="8"/>
        <v>2000055541_202110</v>
      </c>
      <c r="X555" s="2" t="s">
        <v>1615</v>
      </c>
    </row>
    <row r="556" spans="1:24" hidden="1" x14ac:dyDescent="0.35">
      <c r="A556">
        <v>76</v>
      </c>
      <c r="B556">
        <v>2000055542</v>
      </c>
      <c r="C556" s="1">
        <v>45216</v>
      </c>
      <c r="D556" t="s">
        <v>623</v>
      </c>
      <c r="E556" t="s">
        <v>18</v>
      </c>
      <c r="F556" t="s">
        <v>32</v>
      </c>
      <c r="G556" t="s">
        <v>20</v>
      </c>
      <c r="H556" t="s">
        <v>624</v>
      </c>
      <c r="I556" t="s">
        <v>41</v>
      </c>
      <c r="J556">
        <v>0.76300000000000001</v>
      </c>
      <c r="K556">
        <v>2.2999999999999998</v>
      </c>
      <c r="L556">
        <v>6</v>
      </c>
      <c r="M556">
        <v>0.98</v>
      </c>
      <c r="N556" t="s">
        <v>23</v>
      </c>
      <c r="O556" s="1">
        <v>45582</v>
      </c>
      <c r="S556" t="s">
        <v>915</v>
      </c>
      <c r="T556" s="6" t="s">
        <v>948</v>
      </c>
      <c r="U556" s="6" t="s">
        <v>929</v>
      </c>
      <c r="V556" s="2" t="s">
        <v>955</v>
      </c>
      <c r="W556" t="str">
        <f t="shared" si="8"/>
        <v>2000055542_202310</v>
      </c>
      <c r="X556" s="2" t="s">
        <v>1615</v>
      </c>
    </row>
    <row r="557" spans="1:24" hidden="1" x14ac:dyDescent="0.35">
      <c r="A557">
        <v>8</v>
      </c>
      <c r="B557">
        <v>2000055567</v>
      </c>
      <c r="C557" s="1">
        <v>44994</v>
      </c>
      <c r="D557" t="s">
        <v>550</v>
      </c>
      <c r="E557" t="s">
        <v>18</v>
      </c>
      <c r="F557" t="s">
        <v>473</v>
      </c>
      <c r="G557" t="s">
        <v>20</v>
      </c>
      <c r="H557" t="s">
        <v>551</v>
      </c>
      <c r="I557" t="s">
        <v>22</v>
      </c>
      <c r="J557">
        <v>0.91900000000000004</v>
      </c>
      <c r="K557">
        <v>3</v>
      </c>
      <c r="L557">
        <v>3</v>
      </c>
      <c r="M557">
        <v>0.92</v>
      </c>
      <c r="N557" t="s">
        <v>368</v>
      </c>
      <c r="O557" s="1">
        <v>46090</v>
      </c>
      <c r="Q557" t="s">
        <v>552</v>
      </c>
      <c r="S557" t="s">
        <v>915</v>
      </c>
      <c r="T557" s="6" t="s">
        <v>941</v>
      </c>
      <c r="U557" s="6" t="s">
        <v>942</v>
      </c>
      <c r="V557" s="2" t="s">
        <v>955</v>
      </c>
      <c r="W557" t="str">
        <f t="shared" si="8"/>
        <v>2000055567_20233</v>
      </c>
      <c r="X557" s="2" t="s">
        <v>1615</v>
      </c>
    </row>
    <row r="558" spans="1:24" hidden="1" x14ac:dyDescent="0.35">
      <c r="A558">
        <v>52</v>
      </c>
      <c r="B558">
        <v>2000055570</v>
      </c>
      <c r="C558" s="1">
        <v>44149</v>
      </c>
      <c r="D558" t="s">
        <v>139</v>
      </c>
      <c r="E558" t="s">
        <v>18</v>
      </c>
      <c r="F558" t="s">
        <v>39</v>
      </c>
      <c r="G558" t="s">
        <v>20</v>
      </c>
      <c r="H558" t="s">
        <v>140</v>
      </c>
      <c r="I558" t="s">
        <v>41</v>
      </c>
      <c r="J558">
        <v>0.91200000000000003</v>
      </c>
      <c r="K558">
        <v>3</v>
      </c>
      <c r="L558">
        <v>0</v>
      </c>
      <c r="M558">
        <v>0.97</v>
      </c>
      <c r="N558" t="s">
        <v>28</v>
      </c>
      <c r="O558" s="1">
        <v>44879</v>
      </c>
      <c r="S558" t="s">
        <v>915</v>
      </c>
      <c r="T558" s="6" t="s">
        <v>945</v>
      </c>
      <c r="U558" s="6" t="s">
        <v>951</v>
      </c>
      <c r="V558" s="2" t="s">
        <v>923</v>
      </c>
      <c r="W558" t="str">
        <f t="shared" si="8"/>
        <v>2000055570_202011</v>
      </c>
      <c r="X558" s="2" t="s">
        <v>1615</v>
      </c>
    </row>
    <row r="559" spans="1:24" hidden="1" x14ac:dyDescent="0.35">
      <c r="A559">
        <v>112</v>
      </c>
      <c r="B559">
        <v>2000055570</v>
      </c>
      <c r="C559" s="1">
        <v>44875</v>
      </c>
      <c r="D559" t="s">
        <v>139</v>
      </c>
      <c r="E559" t="s">
        <v>18</v>
      </c>
      <c r="F559" t="s">
        <v>39</v>
      </c>
      <c r="G559" t="s">
        <v>20</v>
      </c>
      <c r="H559" t="s">
        <v>530</v>
      </c>
      <c r="I559" t="s">
        <v>41</v>
      </c>
      <c r="J559">
        <v>0.90700000000000003</v>
      </c>
      <c r="K559">
        <v>2.6</v>
      </c>
      <c r="L559">
        <v>1</v>
      </c>
      <c r="M559">
        <v>0.96</v>
      </c>
      <c r="N559" t="s">
        <v>28</v>
      </c>
      <c r="O559" s="1">
        <v>45606</v>
      </c>
      <c r="S559" t="s">
        <v>915</v>
      </c>
      <c r="T559" s="6" t="s">
        <v>945</v>
      </c>
      <c r="U559" s="6" t="s">
        <v>948</v>
      </c>
      <c r="V559" s="2" t="s">
        <v>954</v>
      </c>
      <c r="W559" t="str">
        <f t="shared" si="8"/>
        <v>2000055570_202211</v>
      </c>
      <c r="X559" s="2" t="s">
        <v>1615</v>
      </c>
    </row>
    <row r="560" spans="1:24" hidden="1" x14ac:dyDescent="0.35">
      <c r="A560">
        <v>81</v>
      </c>
      <c r="B560">
        <v>2000055570</v>
      </c>
      <c r="C560" s="1">
        <v>45610</v>
      </c>
      <c r="D560" t="s">
        <v>139</v>
      </c>
      <c r="E560" t="s">
        <v>18</v>
      </c>
      <c r="F560" t="s">
        <v>39</v>
      </c>
      <c r="G560" t="s">
        <v>20</v>
      </c>
      <c r="H560" t="s">
        <v>2305</v>
      </c>
      <c r="I560" t="s">
        <v>41</v>
      </c>
      <c r="J560">
        <v>0.95</v>
      </c>
      <c r="K560">
        <v>2.7</v>
      </c>
      <c r="L560">
        <v>1</v>
      </c>
      <c r="M560">
        <v>0.92</v>
      </c>
      <c r="N560" t="s">
        <v>28</v>
      </c>
      <c r="O560" s="1">
        <v>46340</v>
      </c>
      <c r="S560" t="s">
        <v>915</v>
      </c>
      <c r="T560" s="6" t="s">
        <v>945</v>
      </c>
      <c r="U560" s="6" t="s">
        <v>951</v>
      </c>
      <c r="V560" s="2" t="s">
        <v>956</v>
      </c>
      <c r="W560" t="str">
        <f t="shared" si="8"/>
        <v>2000055570_202411</v>
      </c>
      <c r="X560" s="2" t="s">
        <v>1615</v>
      </c>
    </row>
    <row r="561" spans="1:24" hidden="1" x14ac:dyDescent="0.35">
      <c r="A561">
        <v>30</v>
      </c>
      <c r="B561">
        <v>2000055571</v>
      </c>
      <c r="C561" s="1">
        <v>44391</v>
      </c>
      <c r="D561" t="s">
        <v>208</v>
      </c>
      <c r="E561" t="s">
        <v>18</v>
      </c>
      <c r="F561" t="s">
        <v>52</v>
      </c>
      <c r="G561" t="s">
        <v>20</v>
      </c>
      <c r="H561" t="s">
        <v>209</v>
      </c>
      <c r="I561" t="s">
        <v>41</v>
      </c>
      <c r="J561">
        <v>0.81499999999999995</v>
      </c>
      <c r="K561">
        <v>2.6</v>
      </c>
      <c r="L561">
        <v>5</v>
      </c>
      <c r="M561">
        <v>0.96</v>
      </c>
      <c r="N561" t="s">
        <v>28</v>
      </c>
      <c r="O561" s="1">
        <v>44391</v>
      </c>
      <c r="S561" t="s">
        <v>915</v>
      </c>
      <c r="T561" s="6" t="s">
        <v>936</v>
      </c>
      <c r="U561" s="6" t="s">
        <v>951</v>
      </c>
      <c r="V561" s="2" t="s">
        <v>952</v>
      </c>
      <c r="W561" t="str">
        <f t="shared" si="8"/>
        <v>2000055571_20217</v>
      </c>
      <c r="X561" s="2" t="s">
        <v>1615</v>
      </c>
    </row>
    <row r="562" spans="1:24" hidden="1" x14ac:dyDescent="0.35">
      <c r="B562">
        <v>2000055626</v>
      </c>
      <c r="C562" s="1">
        <v>45202</v>
      </c>
      <c r="D562" t="s">
        <v>2511</v>
      </c>
      <c r="F562" t="s">
        <v>39</v>
      </c>
      <c r="G562" t="s">
        <v>1687</v>
      </c>
      <c r="H562" t="s">
        <v>2512</v>
      </c>
      <c r="I562" t="s">
        <v>22</v>
      </c>
      <c r="J562">
        <v>0.85699999999999998</v>
      </c>
      <c r="K562">
        <v>3</v>
      </c>
      <c r="M562">
        <v>0.79</v>
      </c>
      <c r="N562" t="s">
        <v>2310</v>
      </c>
      <c r="O562" s="1">
        <v>45933</v>
      </c>
      <c r="S562" t="s">
        <v>915</v>
      </c>
      <c r="T562" s="6" t="s">
        <v>948</v>
      </c>
      <c r="U562" s="6" t="s">
        <v>941</v>
      </c>
      <c r="V562" s="2" t="s">
        <v>955</v>
      </c>
      <c r="W562" t="str">
        <f t="shared" si="8"/>
        <v>2000055626_202310</v>
      </c>
      <c r="X562" s="2" t="s">
        <v>1616</v>
      </c>
    </row>
    <row r="563" spans="1:24" hidden="1" x14ac:dyDescent="0.35">
      <c r="B563">
        <v>2000055631</v>
      </c>
      <c r="C563" s="1">
        <v>45176</v>
      </c>
      <c r="D563" t="s">
        <v>2513</v>
      </c>
      <c r="F563" t="s">
        <v>376</v>
      </c>
      <c r="G563" t="s">
        <v>1606</v>
      </c>
      <c r="H563" t="s">
        <v>2514</v>
      </c>
      <c r="I563" t="s">
        <v>22</v>
      </c>
      <c r="J563">
        <v>0.98799999999999999</v>
      </c>
      <c r="K563">
        <v>3</v>
      </c>
      <c r="M563">
        <v>0.97</v>
      </c>
      <c r="N563" t="s">
        <v>2314</v>
      </c>
      <c r="O563" s="1">
        <v>46272</v>
      </c>
      <c r="S563" t="s">
        <v>915</v>
      </c>
      <c r="T563" s="6" t="s">
        <v>942</v>
      </c>
      <c r="U563" s="6" t="s">
        <v>936</v>
      </c>
      <c r="V563" s="2" t="s">
        <v>955</v>
      </c>
      <c r="W563" t="str">
        <f t="shared" si="8"/>
        <v>2000055631_20239</v>
      </c>
      <c r="X563" s="2" t="s">
        <v>1616</v>
      </c>
    </row>
    <row r="564" spans="1:24" hidden="1" x14ac:dyDescent="0.35">
      <c r="B564">
        <v>2000055635</v>
      </c>
      <c r="C564" s="1">
        <v>43992</v>
      </c>
      <c r="D564" t="s">
        <v>2515</v>
      </c>
      <c r="F564" t="s">
        <v>52</v>
      </c>
      <c r="G564" t="s">
        <v>1606</v>
      </c>
      <c r="H564" t="s">
        <v>2516</v>
      </c>
      <c r="I564" t="s">
        <v>41</v>
      </c>
      <c r="J564">
        <v>0.86399999999999999</v>
      </c>
      <c r="K564">
        <v>3</v>
      </c>
      <c r="L564">
        <v>3</v>
      </c>
      <c r="M564">
        <v>0.92800000000000005</v>
      </c>
      <c r="N564" t="s">
        <v>2310</v>
      </c>
      <c r="O564" s="1">
        <v>44722</v>
      </c>
      <c r="S564" t="s">
        <v>915</v>
      </c>
      <c r="T564" s="6" t="s">
        <v>927</v>
      </c>
      <c r="U564" s="6" t="s">
        <v>948</v>
      </c>
      <c r="V564" s="2" t="s">
        <v>923</v>
      </c>
      <c r="W564" t="str">
        <f t="shared" si="8"/>
        <v>2000055635_20206</v>
      </c>
      <c r="X564" s="2" t="s">
        <v>1616</v>
      </c>
    </row>
    <row r="565" spans="1:24" hidden="1" x14ac:dyDescent="0.35">
      <c r="B565">
        <v>2000055635</v>
      </c>
      <c r="C565" s="1">
        <v>44755</v>
      </c>
      <c r="D565" t="s">
        <v>2515</v>
      </c>
      <c r="F565" t="s">
        <v>52</v>
      </c>
      <c r="G565" t="s">
        <v>1606</v>
      </c>
      <c r="H565" t="s">
        <v>2517</v>
      </c>
      <c r="I565" t="s">
        <v>41</v>
      </c>
      <c r="J565">
        <v>0.86399999999999999</v>
      </c>
      <c r="K565">
        <v>3</v>
      </c>
      <c r="L565">
        <v>1</v>
      </c>
      <c r="M565">
        <v>0.82</v>
      </c>
      <c r="N565" t="s">
        <v>2310</v>
      </c>
      <c r="O565" s="1">
        <v>45486</v>
      </c>
      <c r="S565" t="s">
        <v>915</v>
      </c>
      <c r="T565" s="6" t="s">
        <v>936</v>
      </c>
      <c r="U565" s="6" t="s">
        <v>950</v>
      </c>
      <c r="V565" s="2" t="s">
        <v>954</v>
      </c>
      <c r="W565" t="str">
        <f t="shared" si="8"/>
        <v>2000055635_20227</v>
      </c>
      <c r="X565" s="2" t="s">
        <v>1616</v>
      </c>
    </row>
    <row r="566" spans="1:24" hidden="1" x14ac:dyDescent="0.35">
      <c r="A566">
        <v>145</v>
      </c>
      <c r="B566">
        <v>2000055635</v>
      </c>
      <c r="C566" s="1">
        <v>45602</v>
      </c>
      <c r="D566" t="s">
        <v>2515</v>
      </c>
      <c r="E566" t="s">
        <v>18</v>
      </c>
      <c r="F566" t="s">
        <v>1701</v>
      </c>
      <c r="G566" t="s">
        <v>1606</v>
      </c>
      <c r="H566" t="s">
        <v>2517</v>
      </c>
      <c r="I566" t="s">
        <v>41</v>
      </c>
      <c r="J566">
        <v>0.97799999999999998</v>
      </c>
      <c r="K566">
        <v>3</v>
      </c>
      <c r="L566">
        <v>0</v>
      </c>
      <c r="M566">
        <v>0.83</v>
      </c>
      <c r="N566" t="s">
        <v>368</v>
      </c>
      <c r="O566" s="1">
        <v>46697</v>
      </c>
      <c r="R566" t="s">
        <v>1613</v>
      </c>
      <c r="S566" t="s">
        <v>915</v>
      </c>
      <c r="T566" s="5" t="s">
        <v>945</v>
      </c>
      <c r="U566" s="5" t="s">
        <v>927</v>
      </c>
      <c r="V566" t="s">
        <v>956</v>
      </c>
      <c r="W566" t="str">
        <f t="shared" si="8"/>
        <v>2000055635_202411</v>
      </c>
      <c r="X566" t="s">
        <v>1616</v>
      </c>
    </row>
    <row r="567" spans="1:24" hidden="1" x14ac:dyDescent="0.35">
      <c r="A567">
        <v>20</v>
      </c>
      <c r="B567">
        <v>2000055636</v>
      </c>
      <c r="C567" s="1">
        <v>44303</v>
      </c>
      <c r="D567" t="s">
        <v>191</v>
      </c>
      <c r="E567" t="s">
        <v>18</v>
      </c>
      <c r="F567" t="s">
        <v>19</v>
      </c>
      <c r="G567" t="s">
        <v>33</v>
      </c>
      <c r="H567" t="s">
        <v>192</v>
      </c>
      <c r="I567" t="s">
        <v>22</v>
      </c>
      <c r="J567">
        <v>0.8</v>
      </c>
      <c r="K567">
        <v>2.6</v>
      </c>
      <c r="L567">
        <v>2</v>
      </c>
      <c r="M567">
        <v>0.91</v>
      </c>
      <c r="N567" t="s">
        <v>28</v>
      </c>
      <c r="O567" s="1">
        <v>45033</v>
      </c>
      <c r="P567" t="s">
        <v>193</v>
      </c>
      <c r="R567" t="s">
        <v>24</v>
      </c>
      <c r="S567" t="s">
        <v>915</v>
      </c>
      <c r="T567" s="6" t="s">
        <v>946</v>
      </c>
      <c r="U567" s="6" t="s">
        <v>929</v>
      </c>
      <c r="V567" s="2" t="s">
        <v>952</v>
      </c>
      <c r="W567" t="str">
        <f t="shared" si="8"/>
        <v>2000055636_20214</v>
      </c>
      <c r="X567" s="2" t="s">
        <v>1615</v>
      </c>
    </row>
    <row r="568" spans="1:24" hidden="1" x14ac:dyDescent="0.35">
      <c r="A568">
        <v>32</v>
      </c>
      <c r="B568">
        <v>2000055636</v>
      </c>
      <c r="C568" s="1">
        <v>45033</v>
      </c>
      <c r="D568" t="s">
        <v>191</v>
      </c>
      <c r="E568" t="s">
        <v>18</v>
      </c>
      <c r="F568" t="s">
        <v>19</v>
      </c>
      <c r="G568" t="s">
        <v>33</v>
      </c>
      <c r="H568" t="s">
        <v>192</v>
      </c>
      <c r="I568" t="s">
        <v>22</v>
      </c>
      <c r="J568">
        <v>0.89500000000000002</v>
      </c>
      <c r="K568">
        <v>2.6</v>
      </c>
      <c r="L568">
        <v>2</v>
      </c>
      <c r="M568">
        <v>0.93</v>
      </c>
      <c r="N568" t="s">
        <v>28</v>
      </c>
      <c r="O568" s="1">
        <v>45764</v>
      </c>
      <c r="P568" t="s">
        <v>470</v>
      </c>
      <c r="S568" t="s">
        <v>915</v>
      </c>
      <c r="T568" s="6" t="s">
        <v>946</v>
      </c>
      <c r="U568" s="6" t="s">
        <v>929</v>
      </c>
      <c r="V568" s="2" t="s">
        <v>955</v>
      </c>
      <c r="W568" t="str">
        <f t="shared" si="8"/>
        <v>2000055636_20234</v>
      </c>
      <c r="X568" s="2" t="s">
        <v>1615</v>
      </c>
    </row>
    <row r="569" spans="1:24" hidden="1" x14ac:dyDescent="0.35">
      <c r="A569">
        <v>11</v>
      </c>
      <c r="B569">
        <v>2000055636</v>
      </c>
      <c r="C569" s="1">
        <v>43557</v>
      </c>
      <c r="D569" t="s">
        <v>191</v>
      </c>
      <c r="E569" t="s">
        <v>18</v>
      </c>
      <c r="F569" t="s">
        <v>19</v>
      </c>
      <c r="G569" t="s">
        <v>33</v>
      </c>
      <c r="H569" t="s">
        <v>1623</v>
      </c>
      <c r="I569" t="s">
        <v>22</v>
      </c>
      <c r="J569">
        <v>0.83</v>
      </c>
      <c r="K569">
        <v>2.4</v>
      </c>
      <c r="L569">
        <v>4</v>
      </c>
      <c r="N569" t="s">
        <v>28</v>
      </c>
      <c r="O569" s="1">
        <v>44288</v>
      </c>
      <c r="S569" t="s">
        <v>915</v>
      </c>
      <c r="T569" s="5" t="s">
        <v>946</v>
      </c>
      <c r="U569" s="5">
        <v>2</v>
      </c>
      <c r="V569" t="s">
        <v>1618</v>
      </c>
      <c r="W569" t="str">
        <f t="shared" si="8"/>
        <v>2000055636_20194</v>
      </c>
      <c r="X569" s="2" t="s">
        <v>1615</v>
      </c>
    </row>
    <row r="570" spans="1:24" hidden="1" x14ac:dyDescent="0.35">
      <c r="A570">
        <v>7</v>
      </c>
      <c r="B570">
        <v>2000056483</v>
      </c>
      <c r="C570" s="1">
        <v>45707</v>
      </c>
      <c r="D570" t="s">
        <v>541</v>
      </c>
      <c r="E570" t="s">
        <v>18</v>
      </c>
      <c r="F570" t="s">
        <v>19</v>
      </c>
      <c r="G570" t="s">
        <v>92</v>
      </c>
      <c r="H570" t="s">
        <v>3432</v>
      </c>
      <c r="I570" t="s">
        <v>22</v>
      </c>
      <c r="J570">
        <v>0.97</v>
      </c>
      <c r="K570">
        <v>3</v>
      </c>
      <c r="L570">
        <v>0</v>
      </c>
      <c r="M570">
        <v>0.93</v>
      </c>
      <c r="N570" t="s">
        <v>368</v>
      </c>
      <c r="O570" s="1">
        <v>46802</v>
      </c>
      <c r="Q570" t="s">
        <v>3433</v>
      </c>
      <c r="S570" t="s">
        <v>915</v>
      </c>
      <c r="T570" s="5" t="s">
        <v>921</v>
      </c>
      <c r="U570" s="5" t="s">
        <v>931</v>
      </c>
      <c r="V570" t="s">
        <v>1650</v>
      </c>
      <c r="W570" t="str">
        <f t="shared" si="8"/>
        <v>2000056483_20252</v>
      </c>
      <c r="X570" t="s">
        <v>1615</v>
      </c>
    </row>
    <row r="571" spans="1:24" hidden="1" x14ac:dyDescent="0.35">
      <c r="B571">
        <v>2000055647</v>
      </c>
      <c r="C571" s="1">
        <v>43920</v>
      </c>
      <c r="D571" t="s">
        <v>2518</v>
      </c>
      <c r="F571" t="s">
        <v>32</v>
      </c>
      <c r="G571" t="s">
        <v>1609</v>
      </c>
      <c r="H571" t="s">
        <v>2519</v>
      </c>
      <c r="I571" t="s">
        <v>41</v>
      </c>
      <c r="J571">
        <v>0.75680000000000003</v>
      </c>
      <c r="K571">
        <v>2</v>
      </c>
      <c r="L571">
        <v>8</v>
      </c>
      <c r="M571">
        <v>0.876</v>
      </c>
      <c r="N571" t="s">
        <v>23</v>
      </c>
      <c r="O571" s="1">
        <v>44285</v>
      </c>
      <c r="S571" t="s">
        <v>915</v>
      </c>
      <c r="T571" s="6" t="s">
        <v>941</v>
      </c>
      <c r="U571" s="6" t="s">
        <v>938</v>
      </c>
      <c r="V571" s="2" t="s">
        <v>923</v>
      </c>
      <c r="W571" t="str">
        <f t="shared" si="8"/>
        <v>2000055647_20203</v>
      </c>
      <c r="X571" s="2" t="s">
        <v>1616</v>
      </c>
    </row>
    <row r="572" spans="1:24" hidden="1" x14ac:dyDescent="0.35">
      <c r="B572">
        <v>2000055647</v>
      </c>
      <c r="C572" s="1">
        <v>44294</v>
      </c>
      <c r="D572" t="s">
        <v>2518</v>
      </c>
      <c r="F572" t="s">
        <v>32</v>
      </c>
      <c r="G572" t="s">
        <v>1609</v>
      </c>
      <c r="H572" t="s">
        <v>2520</v>
      </c>
      <c r="I572" t="s">
        <v>41</v>
      </c>
      <c r="J572">
        <v>0.96599999999999997</v>
      </c>
      <c r="K572">
        <v>2.7</v>
      </c>
      <c r="L572">
        <v>2</v>
      </c>
      <c r="M572">
        <v>0.83</v>
      </c>
      <c r="N572" t="s">
        <v>2310</v>
      </c>
      <c r="O572" s="1">
        <v>45024</v>
      </c>
      <c r="S572" t="s">
        <v>915</v>
      </c>
      <c r="T572" s="6" t="s">
        <v>946</v>
      </c>
      <c r="U572" s="6" t="s">
        <v>940</v>
      </c>
      <c r="V572" s="2" t="s">
        <v>952</v>
      </c>
      <c r="W572" t="str">
        <f t="shared" si="8"/>
        <v>2000055647_20214</v>
      </c>
      <c r="X572" s="2" t="s">
        <v>1616</v>
      </c>
    </row>
    <row r="573" spans="1:24" hidden="1" x14ac:dyDescent="0.35">
      <c r="B573">
        <v>2000055647</v>
      </c>
      <c r="C573" s="1">
        <v>45174</v>
      </c>
      <c r="D573" t="s">
        <v>2518</v>
      </c>
      <c r="F573" t="s">
        <v>32</v>
      </c>
      <c r="G573" t="s">
        <v>1609</v>
      </c>
      <c r="H573" t="s">
        <v>2521</v>
      </c>
      <c r="I573" t="s">
        <v>41</v>
      </c>
      <c r="J573">
        <v>0.96199999999999997</v>
      </c>
      <c r="K573">
        <v>3</v>
      </c>
      <c r="M573">
        <v>0.84</v>
      </c>
      <c r="N573" t="s">
        <v>2314</v>
      </c>
      <c r="O573" s="1">
        <v>46270</v>
      </c>
      <c r="S573" t="s">
        <v>915</v>
      </c>
      <c r="T573" s="6" t="s">
        <v>942</v>
      </c>
      <c r="U573" s="6" t="s">
        <v>947</v>
      </c>
      <c r="V573" s="2" t="s">
        <v>955</v>
      </c>
      <c r="W573" t="str">
        <f t="shared" si="8"/>
        <v>2000055647_20239</v>
      </c>
      <c r="X573" s="2" t="s">
        <v>1616</v>
      </c>
    </row>
    <row r="574" spans="1:24" hidden="1" x14ac:dyDescent="0.35">
      <c r="B574">
        <v>2000055658</v>
      </c>
      <c r="C574" s="1">
        <v>44159</v>
      </c>
      <c r="D574" t="s">
        <v>3832</v>
      </c>
      <c r="F574" t="s">
        <v>43</v>
      </c>
      <c r="G574" t="s">
        <v>1606</v>
      </c>
      <c r="H574" t="s">
        <v>2522</v>
      </c>
      <c r="I574" t="s">
        <v>41</v>
      </c>
      <c r="J574">
        <v>0.93500000000000005</v>
      </c>
      <c r="K574">
        <v>2.2999999999999998</v>
      </c>
      <c r="L574">
        <v>2</v>
      </c>
      <c r="M574">
        <v>0.89</v>
      </c>
      <c r="N574" t="s">
        <v>2310</v>
      </c>
      <c r="O574" s="1">
        <v>44889</v>
      </c>
      <c r="S574" t="s">
        <v>915</v>
      </c>
      <c r="T574" s="6" t="s">
        <v>945</v>
      </c>
      <c r="U574" s="6" t="s">
        <v>935</v>
      </c>
      <c r="V574" s="2" t="s">
        <v>923</v>
      </c>
      <c r="W574" t="str">
        <f t="shared" si="8"/>
        <v>2000055658_202011</v>
      </c>
      <c r="X574" s="2" t="s">
        <v>1616</v>
      </c>
    </row>
    <row r="575" spans="1:24" hidden="1" x14ac:dyDescent="0.35">
      <c r="B575">
        <v>2000055658</v>
      </c>
      <c r="C575" s="1">
        <v>44777</v>
      </c>
      <c r="D575" t="s">
        <v>3832</v>
      </c>
      <c r="F575" t="s">
        <v>43</v>
      </c>
      <c r="G575" t="s">
        <v>1606</v>
      </c>
      <c r="H575" t="s">
        <v>2523</v>
      </c>
      <c r="I575" t="s">
        <v>41</v>
      </c>
      <c r="J575">
        <v>0.91900000000000004</v>
      </c>
      <c r="K575">
        <v>3</v>
      </c>
      <c r="L575">
        <v>2</v>
      </c>
      <c r="M575">
        <v>0.89</v>
      </c>
      <c r="N575" t="s">
        <v>2314</v>
      </c>
      <c r="O575" s="1">
        <v>45873</v>
      </c>
      <c r="S575" t="s">
        <v>915</v>
      </c>
      <c r="T575" s="6" t="s">
        <v>940</v>
      </c>
      <c r="U575" s="6" t="s">
        <v>946</v>
      </c>
      <c r="V575" s="2" t="s">
        <v>954</v>
      </c>
      <c r="W575" t="str">
        <f t="shared" si="8"/>
        <v>2000055658_20228</v>
      </c>
      <c r="X575" s="2" t="s">
        <v>1616</v>
      </c>
    </row>
    <row r="576" spans="1:24" hidden="1" x14ac:dyDescent="0.35">
      <c r="B576">
        <v>2000055659</v>
      </c>
      <c r="C576" s="1">
        <v>43581</v>
      </c>
      <c r="D576" t="s">
        <v>1902</v>
      </c>
      <c r="F576" t="s">
        <v>19</v>
      </c>
      <c r="G576" t="s">
        <v>1720</v>
      </c>
      <c r="H576" t="s">
        <v>2524</v>
      </c>
      <c r="I576" t="s">
        <v>22</v>
      </c>
      <c r="J576">
        <v>0.78</v>
      </c>
      <c r="K576">
        <v>2</v>
      </c>
      <c r="L576">
        <v>10</v>
      </c>
      <c r="N576" t="s">
        <v>23</v>
      </c>
      <c r="O576" s="1">
        <v>43947</v>
      </c>
      <c r="S576" t="s">
        <v>915</v>
      </c>
      <c r="T576" s="6" t="s">
        <v>946</v>
      </c>
      <c r="U576" s="6" t="s">
        <v>924</v>
      </c>
      <c r="V576" s="2" t="s">
        <v>1618</v>
      </c>
      <c r="W576" t="str">
        <f t="shared" si="8"/>
        <v>2000055659_20194</v>
      </c>
      <c r="X576" s="2" t="s">
        <v>1616</v>
      </c>
    </row>
    <row r="577" spans="1:24" hidden="1" x14ac:dyDescent="0.35">
      <c r="B577">
        <v>2000055659</v>
      </c>
      <c r="C577" s="1">
        <v>44043</v>
      </c>
      <c r="D577" t="s">
        <v>1902</v>
      </c>
      <c r="F577" t="s">
        <v>19</v>
      </c>
      <c r="G577" t="s">
        <v>1720</v>
      </c>
      <c r="H577" t="s">
        <v>2525</v>
      </c>
      <c r="I577" t="s">
        <v>22</v>
      </c>
      <c r="J577">
        <v>0.92600000000000005</v>
      </c>
      <c r="K577">
        <v>2.6</v>
      </c>
      <c r="L577">
        <v>4</v>
      </c>
      <c r="M577">
        <v>0.86</v>
      </c>
      <c r="N577" t="s">
        <v>2310</v>
      </c>
      <c r="O577" s="1">
        <v>44773</v>
      </c>
      <c r="S577" t="s">
        <v>915</v>
      </c>
      <c r="T577" s="6" t="s">
        <v>936</v>
      </c>
      <c r="U577" s="6" t="s">
        <v>939</v>
      </c>
      <c r="V577" s="2" t="s">
        <v>923</v>
      </c>
      <c r="W577" t="str">
        <f t="shared" si="8"/>
        <v>2000055659_20207</v>
      </c>
      <c r="X577" s="2" t="s">
        <v>1616</v>
      </c>
    </row>
    <row r="578" spans="1:24" hidden="1" x14ac:dyDescent="0.35">
      <c r="A578">
        <v>107</v>
      </c>
      <c r="B578">
        <v>2000055659</v>
      </c>
      <c r="C578" s="1">
        <v>45530</v>
      </c>
      <c r="D578" t="s">
        <v>1902</v>
      </c>
      <c r="E578" t="s">
        <v>18</v>
      </c>
      <c r="F578" t="s">
        <v>19</v>
      </c>
      <c r="G578" t="s">
        <v>1720</v>
      </c>
      <c r="H578" t="s">
        <v>1903</v>
      </c>
      <c r="I578" t="s">
        <v>22</v>
      </c>
      <c r="J578">
        <v>0.98799999999999999</v>
      </c>
      <c r="K578">
        <v>3</v>
      </c>
      <c r="L578">
        <v>4</v>
      </c>
      <c r="M578">
        <v>0.98</v>
      </c>
      <c r="N578" t="s">
        <v>368</v>
      </c>
      <c r="O578" s="1">
        <v>46625</v>
      </c>
      <c r="S578" t="s">
        <v>915</v>
      </c>
      <c r="T578" s="5" t="s">
        <v>940</v>
      </c>
      <c r="U578" s="5" t="s">
        <v>924</v>
      </c>
      <c r="V578" t="s">
        <v>956</v>
      </c>
      <c r="W578" t="str">
        <f t="shared" ref="W578:W641" si="9">CONCATENATE(B578,"_",V578,T578)</f>
        <v>2000055659_20248</v>
      </c>
      <c r="X578" s="2" t="s">
        <v>1616</v>
      </c>
    </row>
    <row r="579" spans="1:24" hidden="1" x14ac:dyDescent="0.35">
      <c r="B579">
        <v>2000055690</v>
      </c>
      <c r="C579" s="1">
        <v>44116</v>
      </c>
      <c r="D579" t="s">
        <v>2526</v>
      </c>
      <c r="F579" t="s">
        <v>19</v>
      </c>
      <c r="G579" t="s">
        <v>1606</v>
      </c>
      <c r="H579" t="s">
        <v>2527</v>
      </c>
      <c r="I579" t="s">
        <v>22</v>
      </c>
      <c r="J579">
        <v>0.97899999999999998</v>
      </c>
      <c r="K579">
        <v>3</v>
      </c>
      <c r="L579">
        <v>0</v>
      </c>
      <c r="M579">
        <v>0.86</v>
      </c>
      <c r="N579" t="s">
        <v>2310</v>
      </c>
      <c r="O579" s="1">
        <v>44846</v>
      </c>
      <c r="S579" t="s">
        <v>915</v>
      </c>
      <c r="T579" s="6" t="s">
        <v>948</v>
      </c>
      <c r="U579" s="6" t="s">
        <v>949</v>
      </c>
      <c r="V579" s="2" t="s">
        <v>923</v>
      </c>
      <c r="W579" t="str">
        <f t="shared" si="9"/>
        <v>2000055690_202010</v>
      </c>
      <c r="X579" s="2" t="s">
        <v>1616</v>
      </c>
    </row>
    <row r="580" spans="1:24" hidden="1" x14ac:dyDescent="0.35">
      <c r="B580">
        <v>2000055690</v>
      </c>
      <c r="C580" s="1">
        <v>44720</v>
      </c>
      <c r="D580" t="s">
        <v>2526</v>
      </c>
      <c r="F580" t="s">
        <v>19</v>
      </c>
      <c r="G580" t="s">
        <v>1606</v>
      </c>
      <c r="H580" t="s">
        <v>2528</v>
      </c>
      <c r="I580" t="s">
        <v>22</v>
      </c>
      <c r="J580">
        <v>0.93799999999999994</v>
      </c>
      <c r="K580">
        <v>3</v>
      </c>
      <c r="L580">
        <v>0</v>
      </c>
      <c r="M580">
        <v>0.98</v>
      </c>
      <c r="N580" t="s">
        <v>2314</v>
      </c>
      <c r="O580" s="1">
        <v>45816</v>
      </c>
      <c r="S580" t="s">
        <v>915</v>
      </c>
      <c r="T580" s="6" t="s">
        <v>927</v>
      </c>
      <c r="U580" s="6" t="s">
        <v>940</v>
      </c>
      <c r="V580" s="2" t="s">
        <v>954</v>
      </c>
      <c r="W580" t="str">
        <f t="shared" si="9"/>
        <v>2000055690_20226</v>
      </c>
      <c r="X580" s="2" t="s">
        <v>1616</v>
      </c>
    </row>
    <row r="581" spans="1:24" hidden="1" x14ac:dyDescent="0.35">
      <c r="A581">
        <v>24</v>
      </c>
      <c r="B581">
        <v>2000068379</v>
      </c>
      <c r="C581" s="1">
        <v>45722</v>
      </c>
      <c r="D581" t="s">
        <v>3527</v>
      </c>
      <c r="E581" t="s">
        <v>18</v>
      </c>
      <c r="F581" t="s">
        <v>32</v>
      </c>
      <c r="G581" t="s">
        <v>2016</v>
      </c>
      <c r="H581" t="s">
        <v>3528</v>
      </c>
      <c r="I581" t="s">
        <v>41</v>
      </c>
      <c r="J581">
        <v>0.97899999999999998</v>
      </c>
      <c r="K581">
        <v>3</v>
      </c>
      <c r="L581">
        <v>0</v>
      </c>
      <c r="M581">
        <v>0.86</v>
      </c>
      <c r="N581" t="s">
        <v>2314</v>
      </c>
      <c r="O581" s="1">
        <v>46818</v>
      </c>
      <c r="S581" t="s">
        <v>915</v>
      </c>
      <c r="T581" s="5" t="s">
        <v>941</v>
      </c>
      <c r="U581" s="5" t="s">
        <v>927</v>
      </c>
      <c r="V581" t="s">
        <v>1650</v>
      </c>
      <c r="W581" t="str">
        <f t="shared" si="9"/>
        <v>2000068379_20253</v>
      </c>
      <c r="X581" t="s">
        <v>1616</v>
      </c>
    </row>
    <row r="582" spans="1:24" hidden="1" x14ac:dyDescent="0.35">
      <c r="A582">
        <v>37</v>
      </c>
      <c r="B582">
        <v>2000055692</v>
      </c>
      <c r="C582" s="1">
        <v>45422</v>
      </c>
      <c r="D582" t="s">
        <v>1730</v>
      </c>
      <c r="E582" t="s">
        <v>18</v>
      </c>
      <c r="F582" t="s">
        <v>19</v>
      </c>
      <c r="G582" t="s">
        <v>1720</v>
      </c>
      <c r="H582" t="s">
        <v>1731</v>
      </c>
      <c r="I582" t="s">
        <v>22</v>
      </c>
      <c r="J582">
        <v>0.99199999999999999</v>
      </c>
      <c r="K582">
        <v>3</v>
      </c>
      <c r="L582">
        <v>0</v>
      </c>
      <c r="M582">
        <v>0.98</v>
      </c>
      <c r="N582" t="s">
        <v>368</v>
      </c>
      <c r="O582" s="1">
        <v>46517</v>
      </c>
      <c r="P582" t="s">
        <v>1732</v>
      </c>
      <c r="Q582" t="s">
        <v>1733</v>
      </c>
      <c r="R582" t="s">
        <v>1723</v>
      </c>
      <c r="S582" t="s">
        <v>915</v>
      </c>
      <c r="T582" s="5" t="s">
        <v>947</v>
      </c>
      <c r="U582" s="5" t="s">
        <v>948</v>
      </c>
      <c r="V582" t="s">
        <v>956</v>
      </c>
      <c r="W582" t="str">
        <f t="shared" si="9"/>
        <v>2000055692_20245</v>
      </c>
      <c r="X582" s="2" t="s">
        <v>1616</v>
      </c>
    </row>
    <row r="583" spans="1:24" hidden="1" x14ac:dyDescent="0.35">
      <c r="B583">
        <v>2000055692</v>
      </c>
      <c r="C583" s="1">
        <v>43574</v>
      </c>
      <c r="D583" t="s">
        <v>1730</v>
      </c>
      <c r="F583" t="s">
        <v>19</v>
      </c>
      <c r="G583" t="s">
        <v>1720</v>
      </c>
      <c r="H583" t="s">
        <v>2529</v>
      </c>
      <c r="I583" t="s">
        <v>22</v>
      </c>
      <c r="J583">
        <v>0.93500000000000005</v>
      </c>
      <c r="K583">
        <v>2.6</v>
      </c>
      <c r="L583">
        <v>2</v>
      </c>
      <c r="N583" t="s">
        <v>2310</v>
      </c>
      <c r="O583" s="1">
        <v>44305</v>
      </c>
      <c r="S583" t="s">
        <v>915</v>
      </c>
      <c r="T583" s="6" t="s">
        <v>946</v>
      </c>
      <c r="U583" s="6" t="s">
        <v>931</v>
      </c>
      <c r="V583" s="2" t="s">
        <v>1618</v>
      </c>
      <c r="W583" t="str">
        <f t="shared" si="9"/>
        <v>2000055692_20194</v>
      </c>
      <c r="X583" s="2" t="s">
        <v>1616</v>
      </c>
    </row>
    <row r="584" spans="1:24" hidden="1" x14ac:dyDescent="0.35">
      <c r="B584">
        <v>2000055692</v>
      </c>
      <c r="C584" s="1">
        <v>44309</v>
      </c>
      <c r="D584" t="s">
        <v>1730</v>
      </c>
      <c r="F584" t="s">
        <v>19</v>
      </c>
      <c r="G584" t="s">
        <v>1720</v>
      </c>
      <c r="H584" t="s">
        <v>2530</v>
      </c>
      <c r="I584" t="s">
        <v>22</v>
      </c>
      <c r="J584">
        <v>0.93400000000000005</v>
      </c>
      <c r="K584">
        <v>3</v>
      </c>
      <c r="L584">
        <v>0</v>
      </c>
      <c r="M584">
        <v>1</v>
      </c>
      <c r="N584" t="s">
        <v>2314</v>
      </c>
      <c r="O584" s="1">
        <v>45405</v>
      </c>
      <c r="S584" t="s">
        <v>915</v>
      </c>
      <c r="T584" s="6" t="s">
        <v>946</v>
      </c>
      <c r="U584" s="6" t="s">
        <v>934</v>
      </c>
      <c r="V584" s="2" t="s">
        <v>952</v>
      </c>
      <c r="W584" t="str">
        <f t="shared" si="9"/>
        <v>2000055692_20214</v>
      </c>
      <c r="X584" s="2" t="s">
        <v>1616</v>
      </c>
    </row>
    <row r="585" spans="1:24" hidden="1" x14ac:dyDescent="0.35">
      <c r="A585">
        <v>85</v>
      </c>
      <c r="B585">
        <v>2000055694</v>
      </c>
      <c r="C585" s="1">
        <v>45251</v>
      </c>
      <c r="D585" t="s">
        <v>633</v>
      </c>
      <c r="E585" t="s">
        <v>18</v>
      </c>
      <c r="F585" t="s">
        <v>39</v>
      </c>
      <c r="G585" t="s">
        <v>20</v>
      </c>
      <c r="H585" t="s">
        <v>634</v>
      </c>
      <c r="I585" t="s">
        <v>41</v>
      </c>
      <c r="J585">
        <v>0.79400000000000004</v>
      </c>
      <c r="K585">
        <v>2.4</v>
      </c>
      <c r="L585">
        <v>7</v>
      </c>
      <c r="M585">
        <v>0.73</v>
      </c>
      <c r="N585" t="s">
        <v>23</v>
      </c>
      <c r="O585" s="1">
        <v>45617</v>
      </c>
      <c r="S585" t="s">
        <v>915</v>
      </c>
      <c r="T585" s="6" t="s">
        <v>945</v>
      </c>
      <c r="U585" s="6" t="s">
        <v>944</v>
      </c>
      <c r="V585" s="2" t="s">
        <v>955</v>
      </c>
      <c r="W585" t="str">
        <f t="shared" si="9"/>
        <v>2000055694_202311</v>
      </c>
      <c r="X585" s="2" t="s">
        <v>1615</v>
      </c>
    </row>
    <row r="586" spans="1:24" hidden="1" x14ac:dyDescent="0.35">
      <c r="A586">
        <v>133</v>
      </c>
      <c r="B586">
        <v>2000055717</v>
      </c>
      <c r="C586" s="1">
        <v>45580</v>
      </c>
      <c r="D586" t="s">
        <v>3239</v>
      </c>
      <c r="E586" t="s">
        <v>18</v>
      </c>
      <c r="F586" t="s">
        <v>52</v>
      </c>
      <c r="G586" t="s">
        <v>1603</v>
      </c>
      <c r="H586" t="s">
        <v>3240</v>
      </c>
      <c r="I586" t="s">
        <v>41</v>
      </c>
      <c r="J586">
        <v>0.97899999999999998</v>
      </c>
      <c r="K586">
        <v>3</v>
      </c>
      <c r="L586">
        <v>1</v>
      </c>
      <c r="M586">
        <v>0.88</v>
      </c>
      <c r="N586" t="s">
        <v>368</v>
      </c>
      <c r="O586" s="1">
        <v>46675</v>
      </c>
      <c r="S586" t="s">
        <v>915</v>
      </c>
      <c r="T586" s="5" t="s">
        <v>948</v>
      </c>
      <c r="U586" s="5" t="s">
        <v>943</v>
      </c>
      <c r="V586" t="s">
        <v>956</v>
      </c>
      <c r="W586" t="str">
        <f t="shared" si="9"/>
        <v>2000055717_202410</v>
      </c>
      <c r="X586" t="s">
        <v>1616</v>
      </c>
    </row>
    <row r="587" spans="1:24" hidden="1" x14ac:dyDescent="0.35">
      <c r="A587">
        <v>15</v>
      </c>
      <c r="B587">
        <v>2000055718</v>
      </c>
      <c r="C587" s="1">
        <v>45372</v>
      </c>
      <c r="D587" t="s">
        <v>1675</v>
      </c>
      <c r="E587" t="s">
        <v>18</v>
      </c>
      <c r="F587" t="s">
        <v>32</v>
      </c>
      <c r="G587" t="s">
        <v>1676</v>
      </c>
      <c r="H587" t="s">
        <v>1677</v>
      </c>
      <c r="I587" t="s">
        <v>41</v>
      </c>
      <c r="J587">
        <v>0.93200000000000005</v>
      </c>
      <c r="K587">
        <v>3</v>
      </c>
      <c r="L587">
        <v>2</v>
      </c>
      <c r="M587">
        <v>0.85</v>
      </c>
      <c r="N587" t="s">
        <v>368</v>
      </c>
      <c r="O587" s="1">
        <v>46467</v>
      </c>
      <c r="S587" t="s">
        <v>915</v>
      </c>
      <c r="T587" s="5" t="s">
        <v>941</v>
      </c>
      <c r="U587" s="5" t="s">
        <v>944</v>
      </c>
      <c r="V587" t="s">
        <v>956</v>
      </c>
      <c r="W587" t="str">
        <f t="shared" si="9"/>
        <v>2000055718_20243</v>
      </c>
      <c r="X587" s="2" t="s">
        <v>1616</v>
      </c>
    </row>
    <row r="588" spans="1:24" hidden="1" x14ac:dyDescent="0.35">
      <c r="B588">
        <v>2000055718</v>
      </c>
      <c r="C588" s="1">
        <v>43978</v>
      </c>
      <c r="D588" t="s">
        <v>1675</v>
      </c>
      <c r="F588" t="s">
        <v>32</v>
      </c>
      <c r="G588" t="s">
        <v>2073</v>
      </c>
      <c r="H588" t="s">
        <v>2531</v>
      </c>
      <c r="I588" t="s">
        <v>41</v>
      </c>
      <c r="J588">
        <v>0.92</v>
      </c>
      <c r="K588">
        <v>2.6</v>
      </c>
      <c r="L588">
        <v>3</v>
      </c>
      <c r="M588">
        <v>0.90700000000000003</v>
      </c>
      <c r="N588" t="s">
        <v>2310</v>
      </c>
      <c r="O588" s="1">
        <v>44708</v>
      </c>
      <c r="S588" t="s">
        <v>915</v>
      </c>
      <c r="T588" s="6" t="s">
        <v>947</v>
      </c>
      <c r="U588" s="6" t="s">
        <v>925</v>
      </c>
      <c r="V588" s="2" t="s">
        <v>923</v>
      </c>
      <c r="W588" t="str">
        <f t="shared" si="9"/>
        <v>2000055718_20205</v>
      </c>
      <c r="X588" s="2" t="s">
        <v>1616</v>
      </c>
    </row>
    <row r="589" spans="1:24" hidden="1" x14ac:dyDescent="0.35">
      <c r="B589">
        <v>2000055718</v>
      </c>
      <c r="C589" s="1">
        <v>44648</v>
      </c>
      <c r="D589" t="s">
        <v>1675</v>
      </c>
      <c r="F589" t="s">
        <v>32</v>
      </c>
      <c r="G589" t="s">
        <v>2073</v>
      </c>
      <c r="H589" t="s">
        <v>2532</v>
      </c>
      <c r="I589" t="s">
        <v>41</v>
      </c>
      <c r="J589">
        <v>0.93200000000000005</v>
      </c>
      <c r="K589">
        <v>2.6</v>
      </c>
      <c r="L589">
        <v>2</v>
      </c>
      <c r="M589">
        <v>0.87</v>
      </c>
      <c r="N589" t="s">
        <v>2310</v>
      </c>
      <c r="O589" s="1">
        <v>45379</v>
      </c>
      <c r="S589" t="s">
        <v>915</v>
      </c>
      <c r="T589" s="6" t="s">
        <v>941</v>
      </c>
      <c r="U589" s="6" t="s">
        <v>926</v>
      </c>
      <c r="V589" s="2" t="s">
        <v>954</v>
      </c>
      <c r="W589" t="str">
        <f t="shared" si="9"/>
        <v>2000055718_20223</v>
      </c>
      <c r="X589" s="2" t="s">
        <v>1616</v>
      </c>
    </row>
    <row r="590" spans="1:24" hidden="1" x14ac:dyDescent="0.35">
      <c r="A590">
        <v>28</v>
      </c>
      <c r="B590">
        <v>2000055752</v>
      </c>
      <c r="C590" s="1">
        <v>44382</v>
      </c>
      <c r="D590" t="s">
        <v>204</v>
      </c>
      <c r="E590" t="s">
        <v>18</v>
      </c>
      <c r="F590" t="s">
        <v>148</v>
      </c>
      <c r="G590" t="s">
        <v>20</v>
      </c>
      <c r="H590" t="s">
        <v>205</v>
      </c>
      <c r="I590" t="s">
        <v>148</v>
      </c>
      <c r="J590">
        <v>0.83299999999999996</v>
      </c>
      <c r="K590">
        <v>2.8</v>
      </c>
      <c r="L590">
        <v>3</v>
      </c>
      <c r="M590">
        <v>0.59</v>
      </c>
      <c r="N590" t="s">
        <v>28</v>
      </c>
      <c r="O590" s="1">
        <v>45112</v>
      </c>
      <c r="S590" t="s">
        <v>915</v>
      </c>
      <c r="T590" s="6" t="s">
        <v>936</v>
      </c>
      <c r="U590" s="6" t="s">
        <v>947</v>
      </c>
      <c r="V590" s="2" t="s">
        <v>952</v>
      </c>
      <c r="W590" t="str">
        <f t="shared" si="9"/>
        <v>2000055752_20217</v>
      </c>
      <c r="X590" s="2" t="s">
        <v>1615</v>
      </c>
    </row>
    <row r="591" spans="1:24" hidden="1" x14ac:dyDescent="0.35">
      <c r="A591">
        <v>48</v>
      </c>
      <c r="B591">
        <v>2000055752</v>
      </c>
      <c r="C591" s="1">
        <v>45106</v>
      </c>
      <c r="D591" t="s">
        <v>204</v>
      </c>
      <c r="E591" t="s">
        <v>18</v>
      </c>
      <c r="F591" t="s">
        <v>148</v>
      </c>
      <c r="G591" t="s">
        <v>20</v>
      </c>
      <c r="H591" t="s">
        <v>591</v>
      </c>
      <c r="I591" t="s">
        <v>148</v>
      </c>
      <c r="J591">
        <v>0.84799999999999998</v>
      </c>
      <c r="K591">
        <v>2.5</v>
      </c>
      <c r="L591">
        <v>4</v>
      </c>
      <c r="M591">
        <v>0.64</v>
      </c>
      <c r="N591" t="s">
        <v>28</v>
      </c>
      <c r="O591" s="1">
        <v>45837</v>
      </c>
      <c r="S591" t="s">
        <v>915</v>
      </c>
      <c r="T591" s="6" t="s">
        <v>927</v>
      </c>
      <c r="U591" s="6" t="s">
        <v>937</v>
      </c>
      <c r="V591" s="2" t="s">
        <v>955</v>
      </c>
      <c r="W591" t="str">
        <f t="shared" si="9"/>
        <v>2000055752_20236</v>
      </c>
      <c r="X591" s="2" t="s">
        <v>1615</v>
      </c>
    </row>
    <row r="592" spans="1:24" hidden="1" x14ac:dyDescent="0.35">
      <c r="A592">
        <v>15</v>
      </c>
      <c r="B592">
        <v>2000055754</v>
      </c>
      <c r="C592" s="1">
        <v>45007</v>
      </c>
      <c r="D592" t="s">
        <v>378</v>
      </c>
      <c r="E592" t="s">
        <v>18</v>
      </c>
      <c r="F592" t="s">
        <v>39</v>
      </c>
      <c r="G592" t="s">
        <v>168</v>
      </c>
      <c r="H592" t="s">
        <v>379</v>
      </c>
      <c r="I592" t="s">
        <v>148</v>
      </c>
      <c r="J592">
        <v>0.93100000000000005</v>
      </c>
      <c r="K592">
        <v>2.8</v>
      </c>
      <c r="L592">
        <v>4</v>
      </c>
      <c r="M592">
        <v>0.77</v>
      </c>
      <c r="N592" t="s">
        <v>28</v>
      </c>
      <c r="O592" s="1">
        <v>45738</v>
      </c>
      <c r="S592" t="s">
        <v>915</v>
      </c>
      <c r="T592" s="6" t="s">
        <v>941</v>
      </c>
      <c r="U592" s="6" t="s">
        <v>933</v>
      </c>
      <c r="V592" s="2" t="s">
        <v>955</v>
      </c>
      <c r="W592" t="str">
        <f t="shared" si="9"/>
        <v>2000055754_20233</v>
      </c>
      <c r="X592" s="2" t="s">
        <v>1615</v>
      </c>
    </row>
    <row r="593" spans="1:24" hidden="1" x14ac:dyDescent="0.35">
      <c r="A593">
        <v>16</v>
      </c>
      <c r="B593">
        <v>2000055754</v>
      </c>
      <c r="C593" s="1">
        <v>44638</v>
      </c>
      <c r="D593" t="s">
        <v>378</v>
      </c>
      <c r="E593" t="s">
        <v>18</v>
      </c>
      <c r="F593" t="s">
        <v>39</v>
      </c>
      <c r="G593" t="s">
        <v>168</v>
      </c>
      <c r="H593" t="s">
        <v>379</v>
      </c>
      <c r="I593" t="s">
        <v>22</v>
      </c>
      <c r="J593">
        <v>0.76300000000000001</v>
      </c>
      <c r="K593">
        <v>2.4</v>
      </c>
      <c r="L593">
        <v>7</v>
      </c>
      <c r="M593">
        <v>0.56000000000000005</v>
      </c>
      <c r="N593" t="s">
        <v>23</v>
      </c>
      <c r="O593" s="1">
        <v>45003</v>
      </c>
      <c r="S593" t="s">
        <v>915</v>
      </c>
      <c r="T593" s="6" t="s">
        <v>941</v>
      </c>
      <c r="U593" s="6" t="s">
        <v>930</v>
      </c>
      <c r="V593" s="2" t="s">
        <v>954</v>
      </c>
      <c r="W593" t="str">
        <f t="shared" si="9"/>
        <v>2000055754_20223</v>
      </c>
      <c r="X593" s="2" t="s">
        <v>1615</v>
      </c>
    </row>
    <row r="594" spans="1:24" hidden="1" x14ac:dyDescent="0.35">
      <c r="A594">
        <v>7</v>
      </c>
      <c r="B594">
        <v>2000056483</v>
      </c>
      <c r="C594" s="1">
        <v>45707</v>
      </c>
      <c r="D594" t="s">
        <v>541</v>
      </c>
      <c r="E594" t="s">
        <v>18</v>
      </c>
      <c r="F594" t="s">
        <v>19</v>
      </c>
      <c r="G594" t="s">
        <v>92</v>
      </c>
      <c r="H594" t="s">
        <v>3432</v>
      </c>
      <c r="I594" t="s">
        <v>22</v>
      </c>
      <c r="J594">
        <v>0.97</v>
      </c>
      <c r="K594">
        <v>3</v>
      </c>
      <c r="L594">
        <v>0</v>
      </c>
      <c r="M594">
        <v>0.93</v>
      </c>
      <c r="N594" t="s">
        <v>368</v>
      </c>
      <c r="O594" s="1">
        <v>46802</v>
      </c>
      <c r="Q594" t="s">
        <v>3458</v>
      </c>
      <c r="S594" t="s">
        <v>915</v>
      </c>
      <c r="T594" s="5" t="s">
        <v>921</v>
      </c>
      <c r="U594" s="5" t="s">
        <v>931</v>
      </c>
      <c r="V594" t="s">
        <v>1650</v>
      </c>
      <c r="W594" t="str">
        <f t="shared" si="9"/>
        <v>2000056483_20252</v>
      </c>
      <c r="X594" t="s">
        <v>1615</v>
      </c>
    </row>
    <row r="595" spans="1:24" hidden="1" x14ac:dyDescent="0.35">
      <c r="A595">
        <v>8</v>
      </c>
      <c r="B595">
        <v>2000056643</v>
      </c>
      <c r="C595" s="1">
        <v>45708</v>
      </c>
      <c r="D595" t="s">
        <v>548</v>
      </c>
      <c r="E595" t="s">
        <v>18</v>
      </c>
      <c r="F595" t="s">
        <v>148</v>
      </c>
      <c r="G595" t="s">
        <v>20</v>
      </c>
      <c r="H595" t="s">
        <v>3434</v>
      </c>
      <c r="I595" t="s">
        <v>148</v>
      </c>
      <c r="J595">
        <v>0.92500000000000004</v>
      </c>
      <c r="K595">
        <v>3</v>
      </c>
      <c r="L595">
        <v>1</v>
      </c>
      <c r="M595">
        <v>0.81</v>
      </c>
      <c r="N595" t="s">
        <v>368</v>
      </c>
      <c r="O595" s="1">
        <v>46803</v>
      </c>
      <c r="S595" t="s">
        <v>915</v>
      </c>
      <c r="T595" s="5" t="s">
        <v>921</v>
      </c>
      <c r="U595" s="5" t="s">
        <v>932</v>
      </c>
      <c r="V595" t="s">
        <v>1650</v>
      </c>
      <c r="W595" t="str">
        <f t="shared" si="9"/>
        <v>2000056643_20252</v>
      </c>
      <c r="X595" t="s">
        <v>1615</v>
      </c>
    </row>
    <row r="596" spans="1:24" hidden="1" x14ac:dyDescent="0.35">
      <c r="B596">
        <v>2000055778</v>
      </c>
      <c r="C596" s="1">
        <v>44203</v>
      </c>
      <c r="D596" t="s">
        <v>1846</v>
      </c>
      <c r="F596" t="s">
        <v>376</v>
      </c>
      <c r="G596" t="s">
        <v>1603</v>
      </c>
      <c r="H596" t="s">
        <v>2533</v>
      </c>
      <c r="I596" t="s">
        <v>41</v>
      </c>
      <c r="J596">
        <v>0.90400000000000003</v>
      </c>
      <c r="K596">
        <v>3</v>
      </c>
      <c r="L596">
        <v>3</v>
      </c>
      <c r="M596">
        <v>0.81</v>
      </c>
      <c r="N596" t="s">
        <v>2314</v>
      </c>
      <c r="O596" s="1">
        <v>45298</v>
      </c>
      <c r="S596" t="s">
        <v>915</v>
      </c>
      <c r="T596" s="6" t="s">
        <v>953</v>
      </c>
      <c r="U596" s="6" t="s">
        <v>936</v>
      </c>
      <c r="V596" s="2" t="s">
        <v>952</v>
      </c>
      <c r="W596" t="str">
        <f t="shared" si="9"/>
        <v>2000055778_20211</v>
      </c>
      <c r="X596" s="2" t="s">
        <v>1616</v>
      </c>
    </row>
    <row r="597" spans="1:24" hidden="1" x14ac:dyDescent="0.35">
      <c r="A597">
        <v>84</v>
      </c>
      <c r="B597">
        <v>2000055778</v>
      </c>
      <c r="C597" s="1">
        <v>45491</v>
      </c>
      <c r="D597" t="s">
        <v>1846</v>
      </c>
      <c r="E597" t="s">
        <v>18</v>
      </c>
      <c r="F597" t="s">
        <v>148</v>
      </c>
      <c r="G597" t="s">
        <v>1687</v>
      </c>
      <c r="H597" t="s">
        <v>1845</v>
      </c>
      <c r="I597" t="s">
        <v>148</v>
      </c>
      <c r="J597">
        <v>1</v>
      </c>
      <c r="K597">
        <v>3</v>
      </c>
      <c r="L597">
        <v>0</v>
      </c>
      <c r="M597">
        <v>0.74</v>
      </c>
      <c r="N597" t="s">
        <v>368</v>
      </c>
      <c r="O597" s="1">
        <v>46586</v>
      </c>
      <c r="R597" t="s">
        <v>1723</v>
      </c>
      <c r="S597" t="s">
        <v>915</v>
      </c>
      <c r="T597" s="5" t="s">
        <v>936</v>
      </c>
      <c r="U597" s="5" t="s">
        <v>930</v>
      </c>
      <c r="V597" t="s">
        <v>956</v>
      </c>
      <c r="W597" t="str">
        <f t="shared" si="9"/>
        <v>2000055778_20247</v>
      </c>
      <c r="X597" s="2" t="s">
        <v>1616</v>
      </c>
    </row>
    <row r="598" spans="1:24" hidden="1" x14ac:dyDescent="0.35">
      <c r="B598">
        <v>2000055791</v>
      </c>
      <c r="C598" s="1">
        <v>44123</v>
      </c>
      <c r="D598" t="s">
        <v>2536</v>
      </c>
      <c r="F598" t="s">
        <v>43</v>
      </c>
      <c r="G598" t="s">
        <v>1606</v>
      </c>
      <c r="H598" t="s">
        <v>2537</v>
      </c>
      <c r="I598" t="s">
        <v>22</v>
      </c>
      <c r="J598">
        <v>0.96399999999999997</v>
      </c>
      <c r="K598">
        <v>2.6</v>
      </c>
      <c r="L598">
        <v>3</v>
      </c>
      <c r="M598">
        <v>0.89</v>
      </c>
      <c r="N598" t="s">
        <v>2310</v>
      </c>
      <c r="O598" s="1">
        <v>44853</v>
      </c>
      <c r="S598" t="s">
        <v>915</v>
      </c>
      <c r="T598" s="6" t="s">
        <v>948</v>
      </c>
      <c r="U598" s="6" t="s">
        <v>931</v>
      </c>
      <c r="V598" s="2" t="s">
        <v>923</v>
      </c>
      <c r="W598" t="str">
        <f t="shared" si="9"/>
        <v>2000055791_202010</v>
      </c>
      <c r="X598" s="2" t="s">
        <v>1616</v>
      </c>
    </row>
    <row r="599" spans="1:24" hidden="1" x14ac:dyDescent="0.35">
      <c r="B599">
        <v>2000055791</v>
      </c>
      <c r="C599" s="1">
        <v>44776</v>
      </c>
      <c r="D599" t="s">
        <v>2536</v>
      </c>
      <c r="F599" t="s">
        <v>43</v>
      </c>
      <c r="G599" t="s">
        <v>1606</v>
      </c>
      <c r="H599" t="s">
        <v>2537</v>
      </c>
      <c r="I599" t="s">
        <v>22</v>
      </c>
      <c r="J599">
        <v>0.98299999999999998</v>
      </c>
      <c r="K599">
        <v>3</v>
      </c>
      <c r="L599">
        <v>1</v>
      </c>
      <c r="M599">
        <v>0.98</v>
      </c>
      <c r="N599" t="s">
        <v>2314</v>
      </c>
      <c r="O599" s="1">
        <v>45872</v>
      </c>
      <c r="S599" t="s">
        <v>915</v>
      </c>
      <c r="T599" s="6" t="s">
        <v>940</v>
      </c>
      <c r="U599" s="6" t="s">
        <v>941</v>
      </c>
      <c r="V599" s="2" t="s">
        <v>954</v>
      </c>
      <c r="W599" t="str">
        <f t="shared" si="9"/>
        <v>2000055791_20228</v>
      </c>
      <c r="X599" s="2" t="s">
        <v>1616</v>
      </c>
    </row>
    <row r="600" spans="1:24" hidden="1" x14ac:dyDescent="0.35">
      <c r="A600">
        <v>25</v>
      </c>
      <c r="B600">
        <v>2000057923</v>
      </c>
      <c r="C600" s="1">
        <v>45724</v>
      </c>
      <c r="D600" t="s">
        <v>2967</v>
      </c>
      <c r="E600" t="s">
        <v>18</v>
      </c>
      <c r="F600" t="s">
        <v>148</v>
      </c>
      <c r="G600" t="s">
        <v>3529</v>
      </c>
      <c r="H600" t="s">
        <v>2969</v>
      </c>
      <c r="I600" t="s">
        <v>22</v>
      </c>
      <c r="J600">
        <v>0.95199999999999996</v>
      </c>
      <c r="K600">
        <v>3</v>
      </c>
      <c r="L600">
        <v>1</v>
      </c>
      <c r="M600">
        <v>0.73</v>
      </c>
      <c r="N600" t="s">
        <v>2314</v>
      </c>
      <c r="O600" s="1">
        <v>46820</v>
      </c>
      <c r="S600" t="s">
        <v>915</v>
      </c>
      <c r="T600" s="5" t="s">
        <v>941</v>
      </c>
      <c r="U600" s="5" t="s">
        <v>940</v>
      </c>
      <c r="V600" t="s">
        <v>1650</v>
      </c>
      <c r="W600" t="str">
        <f t="shared" si="9"/>
        <v>2000057923_20253</v>
      </c>
      <c r="X600" t="s">
        <v>1616</v>
      </c>
    </row>
    <row r="601" spans="1:24" hidden="1" x14ac:dyDescent="0.35">
      <c r="B601">
        <v>2000055825</v>
      </c>
      <c r="C601" s="1">
        <v>44139</v>
      </c>
      <c r="D601" t="s">
        <v>2544</v>
      </c>
      <c r="F601" t="s">
        <v>43</v>
      </c>
      <c r="G601" t="s">
        <v>1606</v>
      </c>
      <c r="H601" t="s">
        <v>2545</v>
      </c>
      <c r="I601" t="s">
        <v>41</v>
      </c>
      <c r="J601">
        <v>0.73299999999999998</v>
      </c>
      <c r="K601">
        <v>2.4</v>
      </c>
      <c r="L601">
        <v>2</v>
      </c>
      <c r="M601">
        <v>0.85</v>
      </c>
      <c r="N601" t="s">
        <v>2310</v>
      </c>
      <c r="O601" s="1">
        <v>44869</v>
      </c>
      <c r="S601" t="s">
        <v>915</v>
      </c>
      <c r="T601" s="6" t="s">
        <v>945</v>
      </c>
      <c r="U601" s="6" t="s">
        <v>946</v>
      </c>
      <c r="V601" s="2" t="s">
        <v>923</v>
      </c>
      <c r="W601" t="str">
        <f t="shared" si="9"/>
        <v>2000055825_202011</v>
      </c>
      <c r="X601" s="2" t="s">
        <v>1616</v>
      </c>
    </row>
    <row r="602" spans="1:24" hidden="1" x14ac:dyDescent="0.35">
      <c r="B602">
        <v>2000055825</v>
      </c>
      <c r="C602" s="1">
        <v>44788</v>
      </c>
      <c r="D602" t="s">
        <v>2544</v>
      </c>
      <c r="F602" t="s">
        <v>43</v>
      </c>
      <c r="G602" t="s">
        <v>1606</v>
      </c>
      <c r="H602" t="s">
        <v>2546</v>
      </c>
      <c r="I602" t="s">
        <v>41</v>
      </c>
      <c r="J602">
        <v>0.95199999999999996</v>
      </c>
      <c r="K602">
        <v>3</v>
      </c>
      <c r="L602">
        <v>1</v>
      </c>
      <c r="M602">
        <v>0.93</v>
      </c>
      <c r="N602" t="s">
        <v>2314</v>
      </c>
      <c r="O602" s="1">
        <v>45884</v>
      </c>
      <c r="S602" t="s">
        <v>915</v>
      </c>
      <c r="T602" s="6" t="s">
        <v>940</v>
      </c>
      <c r="U602" s="6" t="s">
        <v>943</v>
      </c>
      <c r="V602" s="2" t="s">
        <v>954</v>
      </c>
      <c r="W602" t="str">
        <f t="shared" si="9"/>
        <v>2000055825_20228</v>
      </c>
      <c r="X602" s="2" t="s">
        <v>1616</v>
      </c>
    </row>
    <row r="603" spans="1:24" hidden="1" x14ac:dyDescent="0.35">
      <c r="B603">
        <v>2000055829</v>
      </c>
      <c r="C603" s="1">
        <v>44313</v>
      </c>
      <c r="D603" t="s">
        <v>2547</v>
      </c>
      <c r="F603" t="s">
        <v>148</v>
      </c>
      <c r="G603" t="s">
        <v>1606</v>
      </c>
      <c r="H603" t="s">
        <v>2548</v>
      </c>
      <c r="I603" t="s">
        <v>148</v>
      </c>
      <c r="J603">
        <v>0.85099999999999998</v>
      </c>
      <c r="K603">
        <v>2.8</v>
      </c>
      <c r="L603">
        <v>6</v>
      </c>
      <c r="M603">
        <v>0.78</v>
      </c>
      <c r="N603" t="s">
        <v>2310</v>
      </c>
      <c r="O603" s="1">
        <v>45043</v>
      </c>
      <c r="S603" t="s">
        <v>915</v>
      </c>
      <c r="T603" s="6" t="s">
        <v>946</v>
      </c>
      <c r="U603" s="6" t="s">
        <v>925</v>
      </c>
      <c r="V603" s="2" t="s">
        <v>952</v>
      </c>
      <c r="W603" t="str">
        <f t="shared" si="9"/>
        <v>2000055829_20214</v>
      </c>
      <c r="X603" s="2" t="s">
        <v>1616</v>
      </c>
    </row>
    <row r="604" spans="1:24" hidden="1" x14ac:dyDescent="0.35">
      <c r="B604">
        <v>2000055829</v>
      </c>
      <c r="C604" s="1">
        <v>45159</v>
      </c>
      <c r="D604" t="s">
        <v>2547</v>
      </c>
      <c r="F604" t="s">
        <v>148</v>
      </c>
      <c r="G604" t="s">
        <v>1606</v>
      </c>
      <c r="H604" t="s">
        <v>2549</v>
      </c>
      <c r="I604" t="s">
        <v>41</v>
      </c>
      <c r="J604">
        <v>0.93799999999999994</v>
      </c>
      <c r="K604">
        <v>3</v>
      </c>
      <c r="M604">
        <v>0.96</v>
      </c>
      <c r="N604" t="s">
        <v>2314</v>
      </c>
      <c r="O604" s="1">
        <v>46255</v>
      </c>
      <c r="S604" t="s">
        <v>915</v>
      </c>
      <c r="T604" s="6" t="s">
        <v>940</v>
      </c>
      <c r="U604" s="6" t="s">
        <v>944</v>
      </c>
      <c r="V604" s="2" t="s">
        <v>955</v>
      </c>
      <c r="W604" t="str">
        <f t="shared" si="9"/>
        <v>2000055829_20238</v>
      </c>
      <c r="X604" s="2" t="s">
        <v>1616</v>
      </c>
    </row>
    <row r="605" spans="1:24" hidden="1" x14ac:dyDescent="0.35">
      <c r="B605">
        <v>2000055847</v>
      </c>
      <c r="C605" s="1">
        <v>44391</v>
      </c>
      <c r="D605" t="s">
        <v>2550</v>
      </c>
      <c r="F605" t="s">
        <v>39</v>
      </c>
      <c r="G605" t="s">
        <v>1606</v>
      </c>
      <c r="H605" t="s">
        <v>2551</v>
      </c>
      <c r="I605" t="s">
        <v>41</v>
      </c>
      <c r="J605">
        <v>0.90900000000000003</v>
      </c>
      <c r="K605">
        <v>2.6</v>
      </c>
      <c r="L605">
        <v>6</v>
      </c>
      <c r="M605">
        <v>0.93</v>
      </c>
      <c r="N605" t="s">
        <v>2310</v>
      </c>
      <c r="O605" s="1">
        <v>45121</v>
      </c>
      <c r="S605" t="s">
        <v>915</v>
      </c>
      <c r="T605" s="6" t="s">
        <v>936</v>
      </c>
      <c r="U605" s="6" t="s">
        <v>951</v>
      </c>
      <c r="V605" s="2" t="s">
        <v>952</v>
      </c>
      <c r="W605" t="str">
        <f t="shared" si="9"/>
        <v>2000055847_20217</v>
      </c>
      <c r="X605" s="2" t="s">
        <v>1616</v>
      </c>
    </row>
    <row r="606" spans="1:24" hidden="1" x14ac:dyDescent="0.35">
      <c r="B606">
        <v>2000055847</v>
      </c>
      <c r="C606" s="1">
        <v>45077</v>
      </c>
      <c r="D606" t="s">
        <v>2550</v>
      </c>
      <c r="F606" t="s">
        <v>39</v>
      </c>
      <c r="G606" t="s">
        <v>1606</v>
      </c>
      <c r="H606" t="s">
        <v>2551</v>
      </c>
      <c r="I606" t="s">
        <v>41</v>
      </c>
      <c r="J606">
        <v>0.94399999999999995</v>
      </c>
      <c r="K606">
        <v>3</v>
      </c>
      <c r="L606">
        <v>1</v>
      </c>
      <c r="M606">
        <v>0.88</v>
      </c>
      <c r="N606" t="s">
        <v>2314</v>
      </c>
      <c r="O606" s="1">
        <v>46173</v>
      </c>
      <c r="S606" t="s">
        <v>915</v>
      </c>
      <c r="T606" s="6" t="s">
        <v>947</v>
      </c>
      <c r="U606" s="6" t="s">
        <v>939</v>
      </c>
      <c r="V606" s="2" t="s">
        <v>955</v>
      </c>
      <c r="W606" t="str">
        <f t="shared" si="9"/>
        <v>2000055847_20235</v>
      </c>
      <c r="X606" s="2" t="s">
        <v>1616</v>
      </c>
    </row>
    <row r="607" spans="1:24" hidden="1" x14ac:dyDescent="0.35">
      <c r="B607">
        <v>2000055859</v>
      </c>
      <c r="C607" s="1">
        <v>43593</v>
      </c>
      <c r="D607" t="s">
        <v>1804</v>
      </c>
      <c r="F607" t="s">
        <v>39</v>
      </c>
      <c r="G607" t="s">
        <v>2341</v>
      </c>
      <c r="H607" t="s">
        <v>2552</v>
      </c>
      <c r="I607" t="s">
        <v>41</v>
      </c>
      <c r="J607">
        <v>0.97</v>
      </c>
      <c r="K607">
        <v>2.6</v>
      </c>
      <c r="L607">
        <v>5</v>
      </c>
      <c r="N607" t="s">
        <v>2310</v>
      </c>
      <c r="O607" s="1">
        <v>44324</v>
      </c>
      <c r="S607" t="s">
        <v>915</v>
      </c>
      <c r="T607" s="6" t="s">
        <v>947</v>
      </c>
      <c r="U607" s="6" t="s">
        <v>940</v>
      </c>
      <c r="V607" s="2" t="s">
        <v>1618</v>
      </c>
      <c r="W607" t="str">
        <f t="shared" si="9"/>
        <v>2000055859_20195</v>
      </c>
      <c r="X607" s="2" t="s">
        <v>1616</v>
      </c>
    </row>
    <row r="608" spans="1:24" hidden="1" x14ac:dyDescent="0.35">
      <c r="B608">
        <v>2000055859</v>
      </c>
      <c r="C608" s="1">
        <v>44390</v>
      </c>
      <c r="D608" t="s">
        <v>1804</v>
      </c>
      <c r="F608" t="s">
        <v>39</v>
      </c>
      <c r="G608" t="s">
        <v>1606</v>
      </c>
      <c r="H608" t="s">
        <v>2553</v>
      </c>
      <c r="I608" t="s">
        <v>41</v>
      </c>
      <c r="J608">
        <v>0.96</v>
      </c>
      <c r="K608">
        <v>3</v>
      </c>
      <c r="L608">
        <v>1</v>
      </c>
      <c r="M608">
        <v>0.88</v>
      </c>
      <c r="N608" t="s">
        <v>2314</v>
      </c>
      <c r="O608" s="1">
        <v>45486</v>
      </c>
      <c r="S608" t="s">
        <v>915</v>
      </c>
      <c r="T608" s="6" t="s">
        <v>936</v>
      </c>
      <c r="U608" s="6" t="s">
        <v>950</v>
      </c>
      <c r="V608" s="2" t="s">
        <v>952</v>
      </c>
      <c r="W608" t="str">
        <f t="shared" si="9"/>
        <v>2000055859_20217</v>
      </c>
      <c r="X608" s="2" t="s">
        <v>1616</v>
      </c>
    </row>
    <row r="609" spans="1:24" hidden="1" x14ac:dyDescent="0.35">
      <c r="A609">
        <v>66</v>
      </c>
      <c r="B609">
        <v>2000055859</v>
      </c>
      <c r="C609" s="1">
        <v>45469</v>
      </c>
      <c r="D609" t="s">
        <v>1804</v>
      </c>
      <c r="E609" t="s">
        <v>18</v>
      </c>
      <c r="F609" t="s">
        <v>39</v>
      </c>
      <c r="G609" t="s">
        <v>1606</v>
      </c>
      <c r="H609" t="s">
        <v>1805</v>
      </c>
      <c r="I609" t="s">
        <v>41</v>
      </c>
      <c r="J609">
        <v>0.95799999999999996</v>
      </c>
      <c r="K609">
        <v>3</v>
      </c>
      <c r="L609">
        <v>1</v>
      </c>
      <c r="M609">
        <v>0.88</v>
      </c>
      <c r="N609" t="s">
        <v>368</v>
      </c>
      <c r="O609" s="1">
        <v>46533</v>
      </c>
      <c r="R609" t="s">
        <v>1723</v>
      </c>
      <c r="S609" t="s">
        <v>915</v>
      </c>
      <c r="T609" s="5" t="s">
        <v>927</v>
      </c>
      <c r="U609" s="5" t="s">
        <v>924</v>
      </c>
      <c r="V609" t="s">
        <v>956</v>
      </c>
      <c r="W609" t="str">
        <f t="shared" si="9"/>
        <v>2000055859_20246</v>
      </c>
      <c r="X609" s="2" t="s">
        <v>1616</v>
      </c>
    </row>
    <row r="610" spans="1:24" hidden="1" x14ac:dyDescent="0.35">
      <c r="B610">
        <v>2000055861</v>
      </c>
      <c r="C610" s="1">
        <v>44418</v>
      </c>
      <c r="D610" t="s">
        <v>2554</v>
      </c>
      <c r="F610" t="s">
        <v>52</v>
      </c>
      <c r="G610" t="s">
        <v>1606</v>
      </c>
      <c r="H610" t="s">
        <v>2555</v>
      </c>
      <c r="I610" t="s">
        <v>41</v>
      </c>
      <c r="J610">
        <v>0.92400000000000004</v>
      </c>
      <c r="K610">
        <v>2.6</v>
      </c>
      <c r="L610">
        <v>8</v>
      </c>
      <c r="M610">
        <v>0.94</v>
      </c>
      <c r="N610" t="s">
        <v>2310</v>
      </c>
      <c r="O610" s="1">
        <v>45148</v>
      </c>
      <c r="S610" t="s">
        <v>915</v>
      </c>
      <c r="T610" s="6" t="s">
        <v>940</v>
      </c>
      <c r="U610" s="6" t="s">
        <v>948</v>
      </c>
      <c r="V610" s="2" t="s">
        <v>952</v>
      </c>
      <c r="W610" t="str">
        <f t="shared" si="9"/>
        <v>2000055861_20218</v>
      </c>
      <c r="X610" s="2" t="s">
        <v>1616</v>
      </c>
    </row>
    <row r="611" spans="1:24" hidden="1" x14ac:dyDescent="0.35">
      <c r="B611">
        <v>2000055861</v>
      </c>
      <c r="C611" s="1">
        <v>45133</v>
      </c>
      <c r="D611" t="s">
        <v>2554</v>
      </c>
      <c r="F611" t="s">
        <v>52</v>
      </c>
      <c r="G611" t="s">
        <v>1606</v>
      </c>
      <c r="H611" t="s">
        <v>2556</v>
      </c>
      <c r="I611" t="s">
        <v>41</v>
      </c>
      <c r="J611">
        <v>0.9</v>
      </c>
      <c r="K611">
        <v>3</v>
      </c>
      <c r="L611">
        <v>2</v>
      </c>
      <c r="M611">
        <v>0.88</v>
      </c>
      <c r="N611" t="s">
        <v>2314</v>
      </c>
      <c r="O611" s="1">
        <v>46229</v>
      </c>
      <c r="S611" t="s">
        <v>915</v>
      </c>
      <c r="T611" s="6" t="s">
        <v>936</v>
      </c>
      <c r="U611" s="6" t="s">
        <v>924</v>
      </c>
      <c r="V611" s="2" t="s">
        <v>955</v>
      </c>
      <c r="W611" t="str">
        <f t="shared" si="9"/>
        <v>2000055861_20237</v>
      </c>
      <c r="X611" s="2" t="s">
        <v>1616</v>
      </c>
    </row>
    <row r="612" spans="1:24" hidden="1" x14ac:dyDescent="0.35">
      <c r="B612">
        <v>2000055863</v>
      </c>
      <c r="C612" s="1">
        <v>44279</v>
      </c>
      <c r="D612" t="s">
        <v>2557</v>
      </c>
      <c r="F612" t="s">
        <v>148</v>
      </c>
      <c r="G612" t="s">
        <v>1603</v>
      </c>
      <c r="H612" t="s">
        <v>2558</v>
      </c>
      <c r="I612" t="s">
        <v>148</v>
      </c>
      <c r="J612">
        <v>0.88600000000000001</v>
      </c>
      <c r="K612">
        <v>2.8</v>
      </c>
      <c r="L612">
        <v>2</v>
      </c>
      <c r="M612">
        <v>0.95</v>
      </c>
      <c r="N612" t="s">
        <v>2310</v>
      </c>
      <c r="O612" s="1">
        <v>45009</v>
      </c>
      <c r="S612" t="s">
        <v>915</v>
      </c>
      <c r="T612" s="6" t="s">
        <v>941</v>
      </c>
      <c r="U612" s="6" t="s">
        <v>935</v>
      </c>
      <c r="V612" s="2" t="s">
        <v>952</v>
      </c>
      <c r="W612" t="str">
        <f t="shared" si="9"/>
        <v>2000055863_20213</v>
      </c>
      <c r="X612" s="2" t="s">
        <v>1616</v>
      </c>
    </row>
    <row r="613" spans="1:24" hidden="1" x14ac:dyDescent="0.35">
      <c r="B613">
        <v>2000055863</v>
      </c>
      <c r="C613" s="1">
        <v>44978</v>
      </c>
      <c r="D613" t="s">
        <v>2557</v>
      </c>
      <c r="F613" t="s">
        <v>148</v>
      </c>
      <c r="G613" t="s">
        <v>1603</v>
      </c>
      <c r="H613" t="s">
        <v>2559</v>
      </c>
      <c r="I613" t="s">
        <v>148</v>
      </c>
      <c r="J613">
        <v>1</v>
      </c>
      <c r="K613">
        <v>3</v>
      </c>
      <c r="L613">
        <v>0</v>
      </c>
      <c r="M613">
        <v>0.95</v>
      </c>
      <c r="N613" t="s">
        <v>2314</v>
      </c>
      <c r="O613" s="1">
        <v>46074</v>
      </c>
      <c r="S613" t="s">
        <v>915</v>
      </c>
      <c r="T613" s="6" t="s">
        <v>921</v>
      </c>
      <c r="U613" s="6" t="s">
        <v>944</v>
      </c>
      <c r="V613" s="2" t="s">
        <v>955</v>
      </c>
      <c r="W613" t="str">
        <f t="shared" si="9"/>
        <v>2000055863_20232</v>
      </c>
      <c r="X613" s="2" t="s">
        <v>1616</v>
      </c>
    </row>
    <row r="614" spans="1:24" hidden="1" x14ac:dyDescent="0.35">
      <c r="B614">
        <v>2000055867</v>
      </c>
      <c r="C614" s="1">
        <v>44544</v>
      </c>
      <c r="D614" t="s">
        <v>1932</v>
      </c>
      <c r="F614" t="s">
        <v>39</v>
      </c>
      <c r="G614" t="s">
        <v>1606</v>
      </c>
      <c r="H614" t="s">
        <v>1933</v>
      </c>
      <c r="I614" t="s">
        <v>41</v>
      </c>
      <c r="J614">
        <v>0.93200000000000005</v>
      </c>
      <c r="K614">
        <v>3</v>
      </c>
      <c r="L614">
        <v>2</v>
      </c>
      <c r="M614">
        <v>0.94</v>
      </c>
      <c r="N614" t="s">
        <v>2314</v>
      </c>
      <c r="O614" s="1">
        <v>45640</v>
      </c>
      <c r="S614" t="s">
        <v>915</v>
      </c>
      <c r="T614" s="6" t="s">
        <v>949</v>
      </c>
      <c r="U614" s="6" t="s">
        <v>951</v>
      </c>
      <c r="V614" s="2" t="s">
        <v>952</v>
      </c>
      <c r="W614" t="str">
        <f t="shared" si="9"/>
        <v>2000055867_202112</v>
      </c>
      <c r="X614" s="2" t="s">
        <v>1616</v>
      </c>
    </row>
    <row r="615" spans="1:24" hidden="1" x14ac:dyDescent="0.35">
      <c r="A615">
        <v>120</v>
      </c>
      <c r="B615">
        <v>2000055867</v>
      </c>
      <c r="C615" s="1">
        <v>45558</v>
      </c>
      <c r="D615" t="s">
        <v>1932</v>
      </c>
      <c r="E615" t="s">
        <v>18</v>
      </c>
      <c r="F615" t="s">
        <v>39</v>
      </c>
      <c r="G615" t="s">
        <v>1606</v>
      </c>
      <c r="H615" t="s">
        <v>1933</v>
      </c>
      <c r="I615" t="s">
        <v>41</v>
      </c>
      <c r="J615">
        <v>1</v>
      </c>
      <c r="K615">
        <v>3</v>
      </c>
      <c r="L615">
        <v>0</v>
      </c>
      <c r="M615">
        <v>0.94</v>
      </c>
      <c r="N615" t="s">
        <v>368</v>
      </c>
      <c r="O615" s="1">
        <v>46653</v>
      </c>
      <c r="S615" t="s">
        <v>915</v>
      </c>
      <c r="T615" s="5" t="s">
        <v>942</v>
      </c>
      <c r="U615" s="5" t="s">
        <v>934</v>
      </c>
      <c r="V615" t="s">
        <v>956</v>
      </c>
      <c r="W615" t="str">
        <f t="shared" si="9"/>
        <v>2000055867_20249</v>
      </c>
      <c r="X615" s="2" t="s">
        <v>1616</v>
      </c>
    </row>
    <row r="616" spans="1:24" hidden="1" x14ac:dyDescent="0.35">
      <c r="A616">
        <v>79</v>
      </c>
      <c r="B616">
        <v>2000055869</v>
      </c>
      <c r="C616" s="1">
        <v>45488</v>
      </c>
      <c r="D616" t="s">
        <v>1835</v>
      </c>
      <c r="E616" t="s">
        <v>18</v>
      </c>
      <c r="F616" t="s">
        <v>39</v>
      </c>
      <c r="G616" t="s">
        <v>1606</v>
      </c>
      <c r="H616" t="s">
        <v>1836</v>
      </c>
      <c r="I616" t="s">
        <v>22</v>
      </c>
      <c r="J616">
        <v>0.95699999999999996</v>
      </c>
      <c r="K616">
        <v>3</v>
      </c>
      <c r="L616">
        <v>1</v>
      </c>
      <c r="M616">
        <v>0.88</v>
      </c>
      <c r="N616" t="s">
        <v>368</v>
      </c>
      <c r="O616" s="1">
        <v>46583</v>
      </c>
      <c r="S616" t="s">
        <v>915</v>
      </c>
      <c r="T616" s="5" t="s">
        <v>936</v>
      </c>
      <c r="U616" s="5" t="s">
        <v>943</v>
      </c>
      <c r="V616" t="s">
        <v>956</v>
      </c>
      <c r="W616" t="str">
        <f t="shared" si="9"/>
        <v>2000055869_20247</v>
      </c>
      <c r="X616" s="2" t="s">
        <v>1616</v>
      </c>
    </row>
    <row r="617" spans="1:24" hidden="1" x14ac:dyDescent="0.35">
      <c r="B617">
        <v>2000055880</v>
      </c>
      <c r="C617" s="1">
        <v>43573</v>
      </c>
      <c r="D617" t="s">
        <v>1849</v>
      </c>
      <c r="F617" t="s">
        <v>19</v>
      </c>
      <c r="G617" t="s">
        <v>1720</v>
      </c>
      <c r="H617" t="s">
        <v>2560</v>
      </c>
      <c r="I617" t="s">
        <v>22</v>
      </c>
      <c r="J617">
        <v>0.98399999999999999</v>
      </c>
      <c r="K617">
        <v>3</v>
      </c>
      <c r="L617">
        <v>1</v>
      </c>
      <c r="N617" t="s">
        <v>2310</v>
      </c>
      <c r="O617" s="1">
        <v>44304</v>
      </c>
      <c r="S617" t="s">
        <v>915</v>
      </c>
      <c r="T617" s="6" t="s">
        <v>946</v>
      </c>
      <c r="U617" s="6" t="s">
        <v>930</v>
      </c>
      <c r="V617" s="2" t="s">
        <v>1618</v>
      </c>
      <c r="W617" t="str">
        <f t="shared" si="9"/>
        <v>2000055880_20194</v>
      </c>
      <c r="X617" s="2" t="s">
        <v>1616</v>
      </c>
    </row>
    <row r="618" spans="1:24" hidden="1" x14ac:dyDescent="0.35">
      <c r="B618">
        <v>2000055880</v>
      </c>
      <c r="C618" s="1">
        <v>44532</v>
      </c>
      <c r="D618" t="s">
        <v>1849</v>
      </c>
      <c r="F618" t="s">
        <v>19</v>
      </c>
      <c r="G618" t="s">
        <v>1720</v>
      </c>
      <c r="H618" t="s">
        <v>2561</v>
      </c>
      <c r="I618" t="s">
        <v>22</v>
      </c>
      <c r="J618">
        <v>1</v>
      </c>
      <c r="K618">
        <v>3</v>
      </c>
      <c r="L618">
        <v>0</v>
      </c>
      <c r="M618">
        <v>0.92</v>
      </c>
      <c r="N618" t="s">
        <v>2314</v>
      </c>
      <c r="O618" s="1">
        <v>45628</v>
      </c>
      <c r="S618" t="s">
        <v>915</v>
      </c>
      <c r="T618" s="6" t="s">
        <v>949</v>
      </c>
      <c r="U618" s="6" t="s">
        <v>921</v>
      </c>
      <c r="V618" s="2" t="s">
        <v>952</v>
      </c>
      <c r="W618" t="str">
        <f t="shared" si="9"/>
        <v>2000055880_202112</v>
      </c>
      <c r="X618" s="2" t="s">
        <v>1616</v>
      </c>
    </row>
    <row r="619" spans="1:24" hidden="1" x14ac:dyDescent="0.35">
      <c r="A619">
        <v>86</v>
      </c>
      <c r="B619">
        <v>2000055880</v>
      </c>
      <c r="C619" s="1">
        <v>45496</v>
      </c>
      <c r="D619" t="s">
        <v>1849</v>
      </c>
      <c r="E619" t="s">
        <v>18</v>
      </c>
      <c r="F619" t="s">
        <v>19</v>
      </c>
      <c r="G619" t="s">
        <v>1820</v>
      </c>
      <c r="H619" t="s">
        <v>1850</v>
      </c>
      <c r="I619" t="s">
        <v>22</v>
      </c>
      <c r="J619">
        <v>1</v>
      </c>
      <c r="K619">
        <v>3</v>
      </c>
      <c r="L619">
        <v>0</v>
      </c>
      <c r="M619">
        <v>1</v>
      </c>
      <c r="N619" t="s">
        <v>368</v>
      </c>
      <c r="O619" s="1">
        <v>46591</v>
      </c>
      <c r="P619" t="s">
        <v>1851</v>
      </c>
      <c r="Q619" t="s">
        <v>1852</v>
      </c>
      <c r="R619" t="s">
        <v>1723</v>
      </c>
      <c r="S619" t="s">
        <v>915</v>
      </c>
      <c r="T619" s="5" t="s">
        <v>936</v>
      </c>
      <c r="U619" s="5" t="s">
        <v>934</v>
      </c>
      <c r="V619" t="s">
        <v>956</v>
      </c>
      <c r="W619" t="str">
        <f t="shared" si="9"/>
        <v>2000055880_20247</v>
      </c>
      <c r="X619" s="2" t="s">
        <v>1616</v>
      </c>
    </row>
    <row r="620" spans="1:24" hidden="1" x14ac:dyDescent="0.35">
      <c r="B620">
        <v>2000055885</v>
      </c>
      <c r="C620" s="1">
        <v>44512</v>
      </c>
      <c r="D620" t="s">
        <v>2562</v>
      </c>
      <c r="F620" t="s">
        <v>39</v>
      </c>
      <c r="G620" t="s">
        <v>1603</v>
      </c>
      <c r="H620" t="s">
        <v>2563</v>
      </c>
      <c r="I620" t="s">
        <v>41</v>
      </c>
      <c r="J620">
        <v>0.70599999999999996</v>
      </c>
      <c r="K620">
        <v>2.7</v>
      </c>
      <c r="L620">
        <v>6</v>
      </c>
      <c r="M620">
        <v>0.91</v>
      </c>
      <c r="N620" t="s">
        <v>2361</v>
      </c>
      <c r="O620" s="1">
        <v>44877</v>
      </c>
      <c r="S620" t="s">
        <v>915</v>
      </c>
      <c r="T620" s="6" t="s">
        <v>945</v>
      </c>
      <c r="U620" s="6" t="s">
        <v>949</v>
      </c>
      <c r="V620" s="2" t="s">
        <v>952</v>
      </c>
      <c r="W620" t="str">
        <f t="shared" si="9"/>
        <v>2000055885_202111</v>
      </c>
      <c r="X620" s="2" t="s">
        <v>1616</v>
      </c>
    </row>
    <row r="621" spans="1:24" hidden="1" x14ac:dyDescent="0.35">
      <c r="B621">
        <v>2000055885</v>
      </c>
      <c r="C621" s="1">
        <v>44802</v>
      </c>
      <c r="D621" t="s">
        <v>2562</v>
      </c>
      <c r="F621" t="s">
        <v>39</v>
      </c>
      <c r="G621" t="s">
        <v>1603</v>
      </c>
      <c r="H621" t="s">
        <v>2563</v>
      </c>
      <c r="I621" t="s">
        <v>41</v>
      </c>
      <c r="J621">
        <v>0.92900000000000005</v>
      </c>
      <c r="K621">
        <v>3</v>
      </c>
      <c r="L621">
        <v>1</v>
      </c>
      <c r="M621">
        <v>0.93</v>
      </c>
      <c r="N621" t="s">
        <v>2314</v>
      </c>
      <c r="O621" s="1">
        <v>45898</v>
      </c>
      <c r="S621" t="s">
        <v>915</v>
      </c>
      <c r="T621" s="6" t="s">
        <v>940</v>
      </c>
      <c r="U621" s="6" t="s">
        <v>937</v>
      </c>
      <c r="V621" s="2" t="s">
        <v>954</v>
      </c>
      <c r="W621" t="str">
        <f t="shared" si="9"/>
        <v>2000055885_20228</v>
      </c>
      <c r="X621" s="2" t="s">
        <v>1616</v>
      </c>
    </row>
    <row r="622" spans="1:24" hidden="1" x14ac:dyDescent="0.35">
      <c r="B622">
        <v>2000055912</v>
      </c>
      <c r="C622" s="1">
        <v>44124</v>
      </c>
      <c r="D622" t="s">
        <v>2564</v>
      </c>
      <c r="F622" t="s">
        <v>43</v>
      </c>
      <c r="G622" t="s">
        <v>1609</v>
      </c>
      <c r="H622" t="s">
        <v>2565</v>
      </c>
      <c r="I622" t="s">
        <v>41</v>
      </c>
      <c r="J622">
        <v>0.90600000000000003</v>
      </c>
      <c r="K622">
        <v>3</v>
      </c>
      <c r="L622">
        <v>2</v>
      </c>
      <c r="M622">
        <v>0.86</v>
      </c>
      <c r="N622" t="s">
        <v>2310</v>
      </c>
      <c r="O622" s="1">
        <v>44854</v>
      </c>
      <c r="S622" t="s">
        <v>915</v>
      </c>
      <c r="T622" s="6" t="s">
        <v>948</v>
      </c>
      <c r="U622" s="6" t="s">
        <v>932</v>
      </c>
      <c r="V622" s="2" t="s">
        <v>923</v>
      </c>
      <c r="W622" t="str">
        <f t="shared" si="9"/>
        <v>2000055912_202010</v>
      </c>
      <c r="X622" s="2" t="s">
        <v>1616</v>
      </c>
    </row>
    <row r="623" spans="1:24" hidden="1" x14ac:dyDescent="0.35">
      <c r="B623">
        <v>2000055912</v>
      </c>
      <c r="C623" s="1">
        <v>44789</v>
      </c>
      <c r="D623" t="s">
        <v>2564</v>
      </c>
      <c r="F623" t="s">
        <v>43</v>
      </c>
      <c r="G623" t="s">
        <v>1609</v>
      </c>
      <c r="H623" t="s">
        <v>2566</v>
      </c>
      <c r="I623" t="s">
        <v>41</v>
      </c>
      <c r="J623">
        <v>1</v>
      </c>
      <c r="K623">
        <v>3</v>
      </c>
      <c r="L623">
        <v>1</v>
      </c>
      <c r="M623">
        <v>0.93</v>
      </c>
      <c r="N623" t="s">
        <v>2314</v>
      </c>
      <c r="O623" s="1">
        <v>45885</v>
      </c>
      <c r="S623" t="s">
        <v>915</v>
      </c>
      <c r="T623" s="6" t="s">
        <v>940</v>
      </c>
      <c r="U623" s="6" t="s">
        <v>928</v>
      </c>
      <c r="V623" s="2" t="s">
        <v>954</v>
      </c>
      <c r="W623" t="str">
        <f t="shared" si="9"/>
        <v>2000055912_20228</v>
      </c>
      <c r="X623" s="2" t="s">
        <v>1616</v>
      </c>
    </row>
    <row r="624" spans="1:24" hidden="1" x14ac:dyDescent="0.35">
      <c r="B624">
        <v>2000055922</v>
      </c>
      <c r="C624" s="1">
        <v>43627</v>
      </c>
      <c r="D624" t="s">
        <v>2567</v>
      </c>
      <c r="F624" t="s">
        <v>52</v>
      </c>
      <c r="G624" t="s">
        <v>2341</v>
      </c>
      <c r="H624" t="s">
        <v>2568</v>
      </c>
      <c r="I624" t="s">
        <v>41</v>
      </c>
      <c r="J624">
        <v>0.75</v>
      </c>
      <c r="K624">
        <v>2.4</v>
      </c>
      <c r="L624">
        <v>10</v>
      </c>
      <c r="N624" t="s">
        <v>23</v>
      </c>
      <c r="O624" s="1">
        <v>43993</v>
      </c>
      <c r="S624" t="s">
        <v>915</v>
      </c>
      <c r="T624" s="6" t="s">
        <v>927</v>
      </c>
      <c r="U624" s="6" t="s">
        <v>945</v>
      </c>
      <c r="V624" s="2" t="s">
        <v>1618</v>
      </c>
      <c r="W624" t="str">
        <f t="shared" si="9"/>
        <v>2000055922_20196</v>
      </c>
      <c r="X624" s="2" t="s">
        <v>1616</v>
      </c>
    </row>
    <row r="625" spans="1:24" hidden="1" x14ac:dyDescent="0.35">
      <c r="B625">
        <v>2000055922</v>
      </c>
      <c r="C625" s="1">
        <v>43987</v>
      </c>
      <c r="D625" t="s">
        <v>2567</v>
      </c>
      <c r="F625" t="s">
        <v>52</v>
      </c>
      <c r="G625" t="s">
        <v>1606</v>
      </c>
      <c r="H625" t="s">
        <v>2569</v>
      </c>
      <c r="I625" t="s">
        <v>41</v>
      </c>
      <c r="J625">
        <v>0.93899999999999995</v>
      </c>
      <c r="K625">
        <v>3</v>
      </c>
      <c r="L625">
        <v>2</v>
      </c>
      <c r="M625">
        <v>0.94699999999999995</v>
      </c>
      <c r="N625" t="s">
        <v>2310</v>
      </c>
      <c r="O625" s="1">
        <v>44717</v>
      </c>
      <c r="S625" t="s">
        <v>915</v>
      </c>
      <c r="T625" s="6" t="s">
        <v>927</v>
      </c>
      <c r="U625" s="6" t="s">
        <v>947</v>
      </c>
      <c r="V625" s="2" t="s">
        <v>923</v>
      </c>
      <c r="W625" t="str">
        <f t="shared" si="9"/>
        <v>2000055922_20206</v>
      </c>
      <c r="X625" s="2" t="s">
        <v>1616</v>
      </c>
    </row>
    <row r="626" spans="1:24" hidden="1" x14ac:dyDescent="0.35">
      <c r="B626">
        <v>2000055922</v>
      </c>
      <c r="C626" s="1">
        <v>44637</v>
      </c>
      <c r="D626" t="s">
        <v>2567</v>
      </c>
      <c r="F626" t="s">
        <v>52</v>
      </c>
      <c r="G626" t="s">
        <v>1606</v>
      </c>
      <c r="H626" t="s">
        <v>2570</v>
      </c>
      <c r="I626" t="s">
        <v>41</v>
      </c>
      <c r="J626">
        <v>1</v>
      </c>
      <c r="K626">
        <v>3</v>
      </c>
      <c r="L626">
        <v>0</v>
      </c>
      <c r="M626">
        <v>0.93</v>
      </c>
      <c r="N626" t="s">
        <v>2314</v>
      </c>
      <c r="O626" s="1">
        <v>45733</v>
      </c>
      <c r="S626" t="s">
        <v>915</v>
      </c>
      <c r="T626" s="6" t="s">
        <v>941</v>
      </c>
      <c r="U626" s="6" t="s">
        <v>929</v>
      </c>
      <c r="V626" s="2" t="s">
        <v>954</v>
      </c>
      <c r="W626" t="str">
        <f t="shared" si="9"/>
        <v>2000055922_20223</v>
      </c>
      <c r="X626" s="2" t="s">
        <v>1616</v>
      </c>
    </row>
    <row r="627" spans="1:24" hidden="1" x14ac:dyDescent="0.35">
      <c r="A627">
        <v>27</v>
      </c>
      <c r="B627">
        <v>2000057809</v>
      </c>
      <c r="C627" s="1">
        <v>45726</v>
      </c>
      <c r="D627" t="s">
        <v>2941</v>
      </c>
      <c r="E627" t="s">
        <v>18</v>
      </c>
      <c r="F627" t="s">
        <v>376</v>
      </c>
      <c r="G627" t="s">
        <v>3529</v>
      </c>
      <c r="H627" t="s">
        <v>3532</v>
      </c>
      <c r="I627" t="s">
        <v>41</v>
      </c>
      <c r="J627">
        <v>0.95799999999999996</v>
      </c>
      <c r="K627">
        <v>3</v>
      </c>
      <c r="L627">
        <v>1</v>
      </c>
      <c r="M627">
        <v>0.82</v>
      </c>
      <c r="N627" t="s">
        <v>2314</v>
      </c>
      <c r="O627" s="1">
        <v>46822</v>
      </c>
      <c r="R627" t="s">
        <v>1613</v>
      </c>
      <c r="S627" t="s">
        <v>915</v>
      </c>
      <c r="T627" s="5" t="s">
        <v>941</v>
      </c>
      <c r="U627" s="5" t="s">
        <v>948</v>
      </c>
      <c r="V627" t="s">
        <v>1650</v>
      </c>
      <c r="W627" t="str">
        <f t="shared" si="9"/>
        <v>2000057809_20253</v>
      </c>
      <c r="X627" t="s">
        <v>1616</v>
      </c>
    </row>
    <row r="628" spans="1:24" hidden="1" x14ac:dyDescent="0.35">
      <c r="B628">
        <v>2000055928</v>
      </c>
      <c r="C628" s="1">
        <v>45231</v>
      </c>
      <c r="D628" t="s">
        <v>2571</v>
      </c>
      <c r="F628" t="s">
        <v>39</v>
      </c>
      <c r="G628" t="s">
        <v>1606</v>
      </c>
      <c r="H628" t="s">
        <v>2572</v>
      </c>
      <c r="I628" t="s">
        <v>22</v>
      </c>
      <c r="J628">
        <v>0.91200000000000003</v>
      </c>
      <c r="K628">
        <v>3</v>
      </c>
      <c r="M628">
        <v>0.98</v>
      </c>
      <c r="N628" t="s">
        <v>2314</v>
      </c>
      <c r="O628" s="1">
        <v>46327</v>
      </c>
      <c r="S628" t="s">
        <v>915</v>
      </c>
      <c r="T628" s="6" t="s">
        <v>945</v>
      </c>
      <c r="U628" s="6" t="s">
        <v>953</v>
      </c>
      <c r="V628" s="2" t="s">
        <v>955</v>
      </c>
      <c r="W628" t="str">
        <f t="shared" si="9"/>
        <v>2000055928_202311</v>
      </c>
      <c r="X628" s="2" t="s">
        <v>1616</v>
      </c>
    </row>
    <row r="629" spans="1:24" hidden="1" x14ac:dyDescent="0.35">
      <c r="B629">
        <v>2000055935</v>
      </c>
      <c r="C629" s="1">
        <v>44838</v>
      </c>
      <c r="D629" t="s">
        <v>2573</v>
      </c>
      <c r="F629" t="s">
        <v>1859</v>
      </c>
      <c r="G629" t="s">
        <v>1609</v>
      </c>
      <c r="H629" t="s">
        <v>2574</v>
      </c>
      <c r="I629" t="s">
        <v>22</v>
      </c>
      <c r="J629">
        <v>1</v>
      </c>
      <c r="K629">
        <v>3</v>
      </c>
      <c r="L629">
        <v>0</v>
      </c>
      <c r="M629">
        <v>1</v>
      </c>
      <c r="N629" t="s">
        <v>2314</v>
      </c>
      <c r="O629" s="1">
        <v>45934</v>
      </c>
      <c r="S629" t="s">
        <v>915</v>
      </c>
      <c r="T629" s="6" t="s">
        <v>948</v>
      </c>
      <c r="U629" s="6" t="s">
        <v>946</v>
      </c>
      <c r="V629" s="2" t="s">
        <v>954</v>
      </c>
      <c r="W629" t="str">
        <f t="shared" si="9"/>
        <v>2000055935_202210</v>
      </c>
      <c r="X629" s="2" t="s">
        <v>1616</v>
      </c>
    </row>
    <row r="630" spans="1:24" hidden="1" x14ac:dyDescent="0.35">
      <c r="B630">
        <v>2000055936</v>
      </c>
      <c r="C630" s="1">
        <v>44130</v>
      </c>
      <c r="D630" t="s">
        <v>2575</v>
      </c>
      <c r="F630" t="s">
        <v>43</v>
      </c>
      <c r="G630" t="s">
        <v>1606</v>
      </c>
      <c r="H630" t="s">
        <v>2576</v>
      </c>
      <c r="I630" t="s">
        <v>41</v>
      </c>
      <c r="J630">
        <v>0.85899999999999999</v>
      </c>
      <c r="K630">
        <v>3</v>
      </c>
      <c r="L630">
        <v>4</v>
      </c>
      <c r="M630">
        <v>0.94</v>
      </c>
      <c r="N630" t="s">
        <v>2310</v>
      </c>
      <c r="O630" s="1">
        <v>44860</v>
      </c>
      <c r="S630" t="s">
        <v>915</v>
      </c>
      <c r="T630" s="6" t="s">
        <v>948</v>
      </c>
      <c r="U630" s="6" t="s">
        <v>924</v>
      </c>
      <c r="V630" s="2" t="s">
        <v>923</v>
      </c>
      <c r="W630" t="str">
        <f t="shared" si="9"/>
        <v>2000055936_202010</v>
      </c>
      <c r="X630" s="2" t="s">
        <v>1616</v>
      </c>
    </row>
    <row r="631" spans="1:24" hidden="1" x14ac:dyDescent="0.35">
      <c r="B631">
        <v>2000055936</v>
      </c>
      <c r="C631" s="1">
        <v>44726</v>
      </c>
      <c r="D631" t="s">
        <v>2575</v>
      </c>
      <c r="F631" t="s">
        <v>52</v>
      </c>
      <c r="G631" t="s">
        <v>1606</v>
      </c>
      <c r="H631" t="s">
        <v>2576</v>
      </c>
      <c r="I631" t="s">
        <v>41</v>
      </c>
      <c r="J631">
        <v>1</v>
      </c>
      <c r="K631">
        <v>3</v>
      </c>
      <c r="L631">
        <v>0</v>
      </c>
      <c r="M631">
        <v>0.95</v>
      </c>
      <c r="N631" t="s">
        <v>2314</v>
      </c>
      <c r="O631" s="1">
        <v>45822</v>
      </c>
      <c r="S631" t="s">
        <v>915</v>
      </c>
      <c r="T631" s="6" t="s">
        <v>927</v>
      </c>
      <c r="U631" s="6" t="s">
        <v>951</v>
      </c>
      <c r="V631" s="2" t="s">
        <v>954</v>
      </c>
      <c r="W631" t="str">
        <f t="shared" si="9"/>
        <v>2000055936_20226</v>
      </c>
      <c r="X631" s="2" t="s">
        <v>1616</v>
      </c>
    </row>
    <row r="632" spans="1:24" hidden="1" x14ac:dyDescent="0.35">
      <c r="A632">
        <v>143</v>
      </c>
      <c r="B632">
        <v>2000055953</v>
      </c>
      <c r="C632" s="1">
        <v>45597</v>
      </c>
      <c r="D632" t="s">
        <v>3253</v>
      </c>
      <c r="E632" t="s">
        <v>18</v>
      </c>
      <c r="F632" t="s">
        <v>39</v>
      </c>
      <c r="G632" t="s">
        <v>1606</v>
      </c>
      <c r="H632" t="s">
        <v>3254</v>
      </c>
      <c r="I632" t="s">
        <v>41</v>
      </c>
      <c r="J632">
        <v>1</v>
      </c>
      <c r="K632">
        <v>3</v>
      </c>
      <c r="L632">
        <v>0</v>
      </c>
      <c r="M632">
        <v>0.88</v>
      </c>
      <c r="N632" t="s">
        <v>368</v>
      </c>
      <c r="O632" s="1">
        <v>46692</v>
      </c>
      <c r="S632" t="s">
        <v>915</v>
      </c>
      <c r="T632" s="5" t="s">
        <v>945</v>
      </c>
      <c r="U632" s="5" t="s">
        <v>953</v>
      </c>
      <c r="V632" t="s">
        <v>956</v>
      </c>
      <c r="W632" t="str">
        <f t="shared" si="9"/>
        <v>2000055953_202411</v>
      </c>
      <c r="X632" t="s">
        <v>1616</v>
      </c>
    </row>
    <row r="633" spans="1:24" hidden="1" x14ac:dyDescent="0.35">
      <c r="A633">
        <v>8</v>
      </c>
      <c r="B633">
        <v>2000055956</v>
      </c>
      <c r="C633" s="1">
        <v>44000</v>
      </c>
      <c r="D633" t="s">
        <v>47</v>
      </c>
      <c r="E633" t="s">
        <v>18</v>
      </c>
      <c r="F633" t="s">
        <v>39</v>
      </c>
      <c r="G633" t="s">
        <v>20</v>
      </c>
      <c r="H633" t="s">
        <v>48</v>
      </c>
      <c r="I633" t="s">
        <v>41</v>
      </c>
      <c r="J633">
        <v>0.75</v>
      </c>
      <c r="K633">
        <v>3</v>
      </c>
      <c r="L633">
        <v>3</v>
      </c>
      <c r="M633">
        <v>0.8</v>
      </c>
      <c r="N633" t="s">
        <v>28</v>
      </c>
      <c r="O633" s="1">
        <v>44730</v>
      </c>
      <c r="S633" t="s">
        <v>915</v>
      </c>
      <c r="T633" s="6" t="s">
        <v>927</v>
      </c>
      <c r="U633" s="6" t="s">
        <v>930</v>
      </c>
      <c r="V633" s="2" t="s">
        <v>923</v>
      </c>
      <c r="W633" t="str">
        <f t="shared" si="9"/>
        <v>2000055956_20206</v>
      </c>
      <c r="X633" s="2" t="s">
        <v>1615</v>
      </c>
    </row>
    <row r="634" spans="1:24" hidden="1" x14ac:dyDescent="0.35">
      <c r="A634">
        <v>62</v>
      </c>
      <c r="B634">
        <v>2000055956</v>
      </c>
      <c r="C634" s="1">
        <v>44727</v>
      </c>
      <c r="D634" t="s">
        <v>47</v>
      </c>
      <c r="E634" t="s">
        <v>18</v>
      </c>
      <c r="F634" t="s">
        <v>39</v>
      </c>
      <c r="G634" t="s">
        <v>20</v>
      </c>
      <c r="H634" t="s">
        <v>462</v>
      </c>
      <c r="I634" t="s">
        <v>148</v>
      </c>
      <c r="J634">
        <v>0.81299999999999994</v>
      </c>
      <c r="K634">
        <v>2.5</v>
      </c>
      <c r="L634">
        <v>6</v>
      </c>
      <c r="M634">
        <v>0.73</v>
      </c>
      <c r="N634" t="s">
        <v>28</v>
      </c>
      <c r="O634" s="1">
        <v>45458</v>
      </c>
      <c r="S634" t="s">
        <v>915</v>
      </c>
      <c r="T634" s="6" t="s">
        <v>927</v>
      </c>
      <c r="U634" s="6" t="s">
        <v>943</v>
      </c>
      <c r="V634" s="2" t="s">
        <v>954</v>
      </c>
      <c r="W634" t="str">
        <f t="shared" si="9"/>
        <v>2000055956_20226</v>
      </c>
      <c r="X634" s="2" t="s">
        <v>1615</v>
      </c>
    </row>
    <row r="635" spans="1:24" hidden="1" x14ac:dyDescent="0.35">
      <c r="A635">
        <v>40</v>
      </c>
      <c r="B635">
        <v>2000055956</v>
      </c>
      <c r="C635" s="1">
        <v>45449</v>
      </c>
      <c r="D635" t="s">
        <v>47</v>
      </c>
      <c r="E635" t="s">
        <v>18</v>
      </c>
      <c r="F635" t="s">
        <v>148</v>
      </c>
      <c r="G635" t="s">
        <v>20</v>
      </c>
      <c r="H635" t="s">
        <v>462</v>
      </c>
      <c r="I635" t="s">
        <v>148</v>
      </c>
      <c r="J635">
        <v>0.88900000000000001</v>
      </c>
      <c r="K635">
        <v>2.5</v>
      </c>
      <c r="L635">
        <v>2</v>
      </c>
      <c r="M635">
        <v>0.73</v>
      </c>
      <c r="N635" t="s">
        <v>28</v>
      </c>
      <c r="O635" s="1">
        <v>46179</v>
      </c>
      <c r="S635" t="s">
        <v>915</v>
      </c>
      <c r="T635" s="6" t="s">
        <v>927</v>
      </c>
      <c r="U635" s="6" t="s">
        <v>927</v>
      </c>
      <c r="V635" s="2" t="s">
        <v>956</v>
      </c>
      <c r="W635" t="str">
        <f t="shared" si="9"/>
        <v>2000055956_20246</v>
      </c>
      <c r="X635" s="2" t="s">
        <v>1615</v>
      </c>
    </row>
    <row r="636" spans="1:24" hidden="1" x14ac:dyDescent="0.35">
      <c r="A636">
        <v>34</v>
      </c>
      <c r="B636">
        <v>2000055961</v>
      </c>
      <c r="C636" s="1">
        <v>45420</v>
      </c>
      <c r="D636" t="s">
        <v>1724</v>
      </c>
      <c r="E636" t="s">
        <v>18</v>
      </c>
      <c r="F636" t="s">
        <v>148</v>
      </c>
      <c r="G636" t="s">
        <v>1606</v>
      </c>
      <c r="H636" t="s">
        <v>1725</v>
      </c>
      <c r="I636" t="s">
        <v>148</v>
      </c>
      <c r="J636">
        <v>0.95199999999999996</v>
      </c>
      <c r="K636">
        <v>3</v>
      </c>
      <c r="L636">
        <v>1</v>
      </c>
      <c r="M636">
        <v>0.87</v>
      </c>
      <c r="N636" t="s">
        <v>368</v>
      </c>
      <c r="O636" s="1">
        <v>46515</v>
      </c>
      <c r="R636" t="s">
        <v>1613</v>
      </c>
      <c r="S636" t="s">
        <v>915</v>
      </c>
      <c r="T636" s="5" t="s">
        <v>947</v>
      </c>
      <c r="U636" s="5" t="s">
        <v>940</v>
      </c>
      <c r="V636" t="s">
        <v>956</v>
      </c>
      <c r="W636" t="str">
        <f t="shared" si="9"/>
        <v>2000055961_20245</v>
      </c>
      <c r="X636" s="2" t="s">
        <v>1616</v>
      </c>
    </row>
    <row r="637" spans="1:24" hidden="1" x14ac:dyDescent="0.35">
      <c r="B637">
        <v>2000055961</v>
      </c>
      <c r="C637" s="1">
        <v>44398</v>
      </c>
      <c r="D637" t="s">
        <v>1724</v>
      </c>
      <c r="F637" t="s">
        <v>148</v>
      </c>
      <c r="G637" t="s">
        <v>1606</v>
      </c>
      <c r="H637" t="s">
        <v>2577</v>
      </c>
      <c r="I637" t="s">
        <v>22</v>
      </c>
      <c r="J637">
        <v>0.78300000000000003</v>
      </c>
      <c r="K637">
        <v>2</v>
      </c>
      <c r="L637">
        <v>9</v>
      </c>
      <c r="M637">
        <v>0.59</v>
      </c>
      <c r="N637" t="s">
        <v>2361</v>
      </c>
      <c r="O637" s="1">
        <v>44763</v>
      </c>
      <c r="S637" t="s">
        <v>915</v>
      </c>
      <c r="T637" s="6" t="s">
        <v>936</v>
      </c>
      <c r="U637" s="6" t="s">
        <v>944</v>
      </c>
      <c r="V637" s="2" t="s">
        <v>952</v>
      </c>
      <c r="W637" t="str">
        <f t="shared" si="9"/>
        <v>2000055961_20217</v>
      </c>
      <c r="X637" s="2" t="s">
        <v>1616</v>
      </c>
    </row>
    <row r="638" spans="1:24" hidden="1" x14ac:dyDescent="0.35">
      <c r="B638">
        <v>2000055961</v>
      </c>
      <c r="C638" s="1">
        <v>44708</v>
      </c>
      <c r="D638" t="s">
        <v>1724</v>
      </c>
      <c r="F638" t="s">
        <v>148</v>
      </c>
      <c r="G638" t="s">
        <v>1606</v>
      </c>
      <c r="H638" t="s">
        <v>1725</v>
      </c>
      <c r="I638" t="s">
        <v>148</v>
      </c>
      <c r="J638">
        <v>0.87</v>
      </c>
      <c r="K638">
        <v>2.6</v>
      </c>
      <c r="L638">
        <v>2</v>
      </c>
      <c r="M638">
        <v>0.79</v>
      </c>
      <c r="N638" t="s">
        <v>2310</v>
      </c>
      <c r="O638" s="1">
        <v>45439</v>
      </c>
      <c r="S638" t="s">
        <v>915</v>
      </c>
      <c r="T638" s="6" t="s">
        <v>947</v>
      </c>
      <c r="U638" s="6" t="s">
        <v>925</v>
      </c>
      <c r="V638" s="2" t="s">
        <v>954</v>
      </c>
      <c r="W638" t="str">
        <f t="shared" si="9"/>
        <v>2000055961_20225</v>
      </c>
      <c r="X638" s="2" t="s">
        <v>1616</v>
      </c>
    </row>
    <row r="639" spans="1:24" hidden="1" x14ac:dyDescent="0.35">
      <c r="B639">
        <v>2000055972</v>
      </c>
      <c r="C639" s="1">
        <v>44020</v>
      </c>
      <c r="D639" t="s">
        <v>3996</v>
      </c>
      <c r="F639" t="s">
        <v>19</v>
      </c>
      <c r="G639" t="s">
        <v>1941</v>
      </c>
      <c r="H639" t="s">
        <v>2578</v>
      </c>
      <c r="I639" t="s">
        <v>22</v>
      </c>
      <c r="J639">
        <v>0.98199999999999998</v>
      </c>
      <c r="K639">
        <v>3</v>
      </c>
      <c r="L639">
        <v>0</v>
      </c>
      <c r="M639">
        <v>1</v>
      </c>
      <c r="N639" t="s">
        <v>2310</v>
      </c>
      <c r="O639" s="1">
        <v>44750</v>
      </c>
      <c r="S639" t="s">
        <v>915</v>
      </c>
      <c r="T639" s="6" t="s">
        <v>936</v>
      </c>
      <c r="U639" s="6" t="s">
        <v>940</v>
      </c>
      <c r="V639" s="2" t="s">
        <v>923</v>
      </c>
      <c r="W639" t="str">
        <f t="shared" si="9"/>
        <v>2000055972_20207</v>
      </c>
      <c r="X639" s="2" t="s">
        <v>1616</v>
      </c>
    </row>
    <row r="640" spans="1:24" hidden="1" x14ac:dyDescent="0.35">
      <c r="B640">
        <v>2000055972</v>
      </c>
      <c r="C640" s="1">
        <v>44747</v>
      </c>
      <c r="D640" t="s">
        <v>3996</v>
      </c>
      <c r="F640" t="s">
        <v>19</v>
      </c>
      <c r="G640" t="s">
        <v>1941</v>
      </c>
      <c r="H640" t="s">
        <v>2579</v>
      </c>
      <c r="I640" t="s">
        <v>22</v>
      </c>
      <c r="J640">
        <v>1</v>
      </c>
      <c r="K640">
        <v>3</v>
      </c>
      <c r="L640">
        <v>0</v>
      </c>
      <c r="M640">
        <v>1</v>
      </c>
      <c r="N640" t="s">
        <v>2314</v>
      </c>
      <c r="O640" s="1">
        <v>45843</v>
      </c>
      <c r="S640" t="s">
        <v>915</v>
      </c>
      <c r="T640" s="6" t="s">
        <v>936</v>
      </c>
      <c r="U640" s="6" t="s">
        <v>947</v>
      </c>
      <c r="V640" s="2" t="s">
        <v>954</v>
      </c>
      <c r="W640" t="str">
        <f t="shared" si="9"/>
        <v>2000055972_20227</v>
      </c>
      <c r="X640" s="2" t="s">
        <v>1616</v>
      </c>
    </row>
    <row r="641" spans="1:24" hidden="1" x14ac:dyDescent="0.35">
      <c r="A641">
        <v>39</v>
      </c>
      <c r="B641">
        <v>2000055978</v>
      </c>
      <c r="C641" s="1">
        <v>45426</v>
      </c>
      <c r="D641" t="s">
        <v>1737</v>
      </c>
      <c r="E641" t="s">
        <v>18</v>
      </c>
      <c r="F641" t="s">
        <v>32</v>
      </c>
      <c r="G641" t="s">
        <v>1735</v>
      </c>
      <c r="H641" t="s">
        <v>1738</v>
      </c>
      <c r="I641" t="s">
        <v>41</v>
      </c>
      <c r="J641">
        <v>1</v>
      </c>
      <c r="K641">
        <v>3</v>
      </c>
      <c r="L641">
        <v>0</v>
      </c>
      <c r="M641">
        <v>0.94</v>
      </c>
      <c r="N641" t="s">
        <v>368</v>
      </c>
      <c r="O641" s="1">
        <v>46521</v>
      </c>
      <c r="R641" t="s">
        <v>1613</v>
      </c>
      <c r="S641" t="s">
        <v>915</v>
      </c>
      <c r="T641" s="5" t="s">
        <v>947</v>
      </c>
      <c r="U641" s="5" t="s">
        <v>951</v>
      </c>
      <c r="V641" t="s">
        <v>956</v>
      </c>
      <c r="W641" t="str">
        <f t="shared" si="9"/>
        <v>2000055978_20245</v>
      </c>
      <c r="X641" s="2" t="s">
        <v>1616</v>
      </c>
    </row>
    <row r="642" spans="1:24" hidden="1" x14ac:dyDescent="0.35">
      <c r="B642">
        <v>2000055978</v>
      </c>
      <c r="C642" s="1">
        <v>44023</v>
      </c>
      <c r="D642" t="s">
        <v>1737</v>
      </c>
      <c r="F642" t="s">
        <v>32</v>
      </c>
      <c r="G642" t="s">
        <v>1735</v>
      </c>
      <c r="H642" t="s">
        <v>2583</v>
      </c>
      <c r="I642" t="s">
        <v>41</v>
      </c>
      <c r="J642">
        <v>0.82099999999999995</v>
      </c>
      <c r="K642">
        <v>2.4</v>
      </c>
      <c r="L642">
        <v>5</v>
      </c>
      <c r="M642">
        <v>0.85</v>
      </c>
      <c r="N642" t="s">
        <v>2310</v>
      </c>
      <c r="O642" s="1">
        <v>44753</v>
      </c>
      <c r="S642" t="s">
        <v>915</v>
      </c>
      <c r="T642" s="6" t="s">
        <v>936</v>
      </c>
      <c r="U642" s="6" t="s">
        <v>945</v>
      </c>
      <c r="V642" s="2" t="s">
        <v>923</v>
      </c>
      <c r="W642" t="str">
        <f t="shared" ref="W642:W705" si="10">CONCATENATE(B642,"_",V642,T642)</f>
        <v>2000055978_20207</v>
      </c>
      <c r="X642" s="2" t="s">
        <v>1616</v>
      </c>
    </row>
    <row r="643" spans="1:24" hidden="1" x14ac:dyDescent="0.35">
      <c r="B643">
        <v>2000055978</v>
      </c>
      <c r="C643" s="1">
        <v>44672</v>
      </c>
      <c r="D643" t="s">
        <v>1737</v>
      </c>
      <c r="F643" t="s">
        <v>32</v>
      </c>
      <c r="G643" t="s">
        <v>1735</v>
      </c>
      <c r="H643" t="s">
        <v>2584</v>
      </c>
      <c r="I643" t="s">
        <v>41</v>
      </c>
      <c r="J643">
        <v>0.95699999999999996</v>
      </c>
      <c r="K643">
        <v>2.6</v>
      </c>
      <c r="L643">
        <v>1</v>
      </c>
      <c r="M643">
        <v>0.91</v>
      </c>
      <c r="N643" t="s">
        <v>2310</v>
      </c>
      <c r="O643" s="1">
        <v>45403</v>
      </c>
      <c r="S643" t="s">
        <v>915</v>
      </c>
      <c r="T643" s="6" t="s">
        <v>946</v>
      </c>
      <c r="U643" s="6" t="s">
        <v>944</v>
      </c>
      <c r="V643" s="2" t="s">
        <v>954</v>
      </c>
      <c r="W643" t="str">
        <f t="shared" si="10"/>
        <v>2000055978_20224</v>
      </c>
      <c r="X643" s="2" t="s">
        <v>1616</v>
      </c>
    </row>
    <row r="644" spans="1:24" hidden="1" x14ac:dyDescent="0.35">
      <c r="A644">
        <v>86</v>
      </c>
      <c r="B644">
        <v>2000055984</v>
      </c>
      <c r="C644" s="1">
        <v>44488</v>
      </c>
      <c r="D644" t="s">
        <v>317</v>
      </c>
      <c r="E644" t="s">
        <v>18</v>
      </c>
      <c r="F644" t="s">
        <v>39</v>
      </c>
      <c r="G644" t="s">
        <v>20</v>
      </c>
      <c r="H644" t="s">
        <v>318</v>
      </c>
      <c r="I644" t="s">
        <v>41</v>
      </c>
      <c r="J644">
        <v>0.78</v>
      </c>
      <c r="K644">
        <v>2.2999999999999998</v>
      </c>
      <c r="L644">
        <v>7</v>
      </c>
      <c r="M644">
        <v>0.73</v>
      </c>
      <c r="N644" t="s">
        <v>23</v>
      </c>
      <c r="O644" s="1">
        <v>44853</v>
      </c>
      <c r="S644" t="s">
        <v>915</v>
      </c>
      <c r="T644" s="6" t="s">
        <v>948</v>
      </c>
      <c r="U644" s="6" t="s">
        <v>931</v>
      </c>
      <c r="V644" s="2" t="s">
        <v>952</v>
      </c>
      <c r="W644" t="str">
        <f t="shared" si="10"/>
        <v>2000055984_202110</v>
      </c>
      <c r="X644" s="2" t="s">
        <v>1615</v>
      </c>
    </row>
    <row r="645" spans="1:24" hidden="1" x14ac:dyDescent="0.35">
      <c r="A645">
        <v>99</v>
      </c>
      <c r="B645">
        <v>2000055984</v>
      </c>
      <c r="C645" s="1">
        <v>44845</v>
      </c>
      <c r="D645" t="s">
        <v>317</v>
      </c>
      <c r="E645" t="s">
        <v>18</v>
      </c>
      <c r="F645" t="s">
        <v>39</v>
      </c>
      <c r="G645" t="s">
        <v>20</v>
      </c>
      <c r="H645" t="s">
        <v>517</v>
      </c>
      <c r="I645" t="s">
        <v>41</v>
      </c>
      <c r="J645">
        <v>0.84199999999999997</v>
      </c>
      <c r="K645">
        <v>2.6</v>
      </c>
      <c r="L645">
        <v>4</v>
      </c>
      <c r="M645">
        <v>0.79</v>
      </c>
      <c r="N645" t="s">
        <v>28</v>
      </c>
      <c r="O645" s="1">
        <v>45576</v>
      </c>
      <c r="S645" t="s">
        <v>915</v>
      </c>
      <c r="T645" s="6" t="s">
        <v>948</v>
      </c>
      <c r="U645" s="6" t="s">
        <v>945</v>
      </c>
      <c r="V645" s="2" t="s">
        <v>954</v>
      </c>
      <c r="W645" t="str">
        <f t="shared" si="10"/>
        <v>2000055984_202210</v>
      </c>
      <c r="X645" s="2" t="s">
        <v>1615</v>
      </c>
    </row>
    <row r="646" spans="1:24" hidden="1" x14ac:dyDescent="0.35">
      <c r="A646">
        <v>75</v>
      </c>
      <c r="B646">
        <v>2000055984</v>
      </c>
      <c r="C646" s="1">
        <v>45581</v>
      </c>
      <c r="D646" t="s">
        <v>317</v>
      </c>
      <c r="E646" t="s">
        <v>18</v>
      </c>
      <c r="F646" t="s">
        <v>39</v>
      </c>
      <c r="G646" t="s">
        <v>20</v>
      </c>
      <c r="H646" t="s">
        <v>2299</v>
      </c>
      <c r="I646" t="s">
        <v>41</v>
      </c>
      <c r="J646">
        <v>0.94699999999999995</v>
      </c>
      <c r="K646">
        <v>3</v>
      </c>
      <c r="L646">
        <v>1</v>
      </c>
      <c r="M646">
        <v>0.86</v>
      </c>
      <c r="N646" t="s">
        <v>368</v>
      </c>
      <c r="O646" s="1">
        <v>46676</v>
      </c>
      <c r="S646" t="s">
        <v>915</v>
      </c>
      <c r="T646" s="6" t="s">
        <v>948</v>
      </c>
      <c r="U646" s="6" t="s">
        <v>928</v>
      </c>
      <c r="V646" s="2" t="s">
        <v>956</v>
      </c>
      <c r="W646" t="str">
        <f t="shared" si="10"/>
        <v>2000055984_202410</v>
      </c>
      <c r="X646" s="2" t="s">
        <v>1615</v>
      </c>
    </row>
    <row r="647" spans="1:24" hidden="1" x14ac:dyDescent="0.35">
      <c r="A647">
        <v>38</v>
      </c>
      <c r="B647">
        <v>2000055985</v>
      </c>
      <c r="C647" s="1">
        <v>44103</v>
      </c>
      <c r="D647" t="s">
        <v>3880</v>
      </c>
      <c r="E647" t="s">
        <v>18</v>
      </c>
      <c r="F647" t="s">
        <v>52</v>
      </c>
      <c r="G647" t="s">
        <v>82</v>
      </c>
      <c r="H647" t="s">
        <v>111</v>
      </c>
      <c r="I647" t="s">
        <v>41</v>
      </c>
      <c r="J647">
        <v>0.96</v>
      </c>
      <c r="K647">
        <v>3</v>
      </c>
      <c r="L647">
        <v>0</v>
      </c>
      <c r="M647">
        <v>0.98</v>
      </c>
      <c r="N647" t="s">
        <v>28</v>
      </c>
      <c r="O647" s="1">
        <v>44833</v>
      </c>
      <c r="S647" t="s">
        <v>915</v>
      </c>
      <c r="T647" s="6" t="s">
        <v>942</v>
      </c>
      <c r="U647" s="6" t="s">
        <v>937</v>
      </c>
      <c r="V647" s="2" t="s">
        <v>923</v>
      </c>
      <c r="W647" t="str">
        <f t="shared" si="10"/>
        <v>2000055985_20209</v>
      </c>
      <c r="X647" s="2" t="s">
        <v>1615</v>
      </c>
    </row>
    <row r="648" spans="1:24" hidden="1" x14ac:dyDescent="0.35">
      <c r="A648">
        <v>95</v>
      </c>
      <c r="B648">
        <v>2000055985</v>
      </c>
      <c r="C648" s="1">
        <v>44832</v>
      </c>
      <c r="D648" t="s">
        <v>3880</v>
      </c>
      <c r="E648" t="s">
        <v>18</v>
      </c>
      <c r="F648" t="s">
        <v>373</v>
      </c>
      <c r="G648" t="s">
        <v>82</v>
      </c>
      <c r="H648" t="s">
        <v>512</v>
      </c>
      <c r="I648" t="s">
        <v>41</v>
      </c>
      <c r="J648">
        <v>1</v>
      </c>
      <c r="K648">
        <v>3</v>
      </c>
      <c r="L648">
        <v>0</v>
      </c>
      <c r="M648">
        <v>0.91</v>
      </c>
      <c r="N648" t="s">
        <v>368</v>
      </c>
      <c r="O648" s="1">
        <v>45928</v>
      </c>
      <c r="S648" t="s">
        <v>915</v>
      </c>
      <c r="T648" s="6" t="s">
        <v>942</v>
      </c>
      <c r="U648" s="6" t="s">
        <v>926</v>
      </c>
      <c r="V648" s="2" t="s">
        <v>954</v>
      </c>
      <c r="W648" t="str">
        <f t="shared" si="10"/>
        <v>2000055985_20229</v>
      </c>
      <c r="X648" s="2" t="s">
        <v>1615</v>
      </c>
    </row>
    <row r="649" spans="1:24" hidden="1" x14ac:dyDescent="0.35">
      <c r="A649">
        <v>26</v>
      </c>
      <c r="B649">
        <v>2000063282</v>
      </c>
      <c r="C649" s="1">
        <v>45726</v>
      </c>
      <c r="D649" t="s">
        <v>3530</v>
      </c>
      <c r="E649" t="s">
        <v>18</v>
      </c>
      <c r="F649" t="s">
        <v>148</v>
      </c>
      <c r="G649" t="s">
        <v>3529</v>
      </c>
      <c r="H649" t="s">
        <v>3531</v>
      </c>
      <c r="I649" t="s">
        <v>22</v>
      </c>
      <c r="J649">
        <v>0.94099999999999995</v>
      </c>
      <c r="K649">
        <v>3</v>
      </c>
      <c r="L649">
        <v>1</v>
      </c>
      <c r="M649">
        <v>0.75</v>
      </c>
      <c r="N649" t="s">
        <v>2314</v>
      </c>
      <c r="O649" s="1">
        <v>46822</v>
      </c>
      <c r="S649" t="s">
        <v>915</v>
      </c>
      <c r="T649" s="5" t="s">
        <v>941</v>
      </c>
      <c r="U649" s="5" t="s">
        <v>948</v>
      </c>
      <c r="V649" t="s">
        <v>1650</v>
      </c>
      <c r="W649" t="str">
        <f t="shared" si="10"/>
        <v>2000063282_20253</v>
      </c>
      <c r="X649" t="s">
        <v>1616</v>
      </c>
    </row>
    <row r="650" spans="1:24" hidden="1" x14ac:dyDescent="0.35">
      <c r="B650">
        <v>2000056026</v>
      </c>
      <c r="C650" s="1">
        <v>44146</v>
      </c>
      <c r="D650" t="s">
        <v>3826</v>
      </c>
      <c r="F650" t="s">
        <v>19</v>
      </c>
      <c r="G650" t="s">
        <v>1606</v>
      </c>
      <c r="H650" t="s">
        <v>2587</v>
      </c>
      <c r="I650" t="s">
        <v>41</v>
      </c>
      <c r="J650">
        <v>0.90900000000000003</v>
      </c>
      <c r="K650">
        <v>2.2999999999999998</v>
      </c>
      <c r="L650">
        <v>3</v>
      </c>
      <c r="M650">
        <v>0.91</v>
      </c>
      <c r="N650" t="s">
        <v>2310</v>
      </c>
      <c r="O650" s="1">
        <v>44876</v>
      </c>
      <c r="S650" t="s">
        <v>915</v>
      </c>
      <c r="T650" s="6" t="s">
        <v>945</v>
      </c>
      <c r="U650" s="6" t="s">
        <v>945</v>
      </c>
      <c r="V650" s="2" t="s">
        <v>923</v>
      </c>
      <c r="W650" t="str">
        <f t="shared" si="10"/>
        <v>2000056026_202011</v>
      </c>
      <c r="X650" s="2" t="s">
        <v>1616</v>
      </c>
    </row>
    <row r="651" spans="1:24" hidden="1" x14ac:dyDescent="0.35">
      <c r="B651">
        <v>2000056026</v>
      </c>
      <c r="C651" s="1">
        <v>44812</v>
      </c>
      <c r="D651" t="s">
        <v>3826</v>
      </c>
      <c r="F651" t="s">
        <v>19</v>
      </c>
      <c r="G651" t="s">
        <v>1606</v>
      </c>
      <c r="H651" t="s">
        <v>2588</v>
      </c>
      <c r="I651" t="s">
        <v>41</v>
      </c>
      <c r="J651">
        <v>1</v>
      </c>
      <c r="K651">
        <v>3</v>
      </c>
      <c r="L651">
        <v>0</v>
      </c>
      <c r="M651">
        <v>0.9</v>
      </c>
      <c r="N651" t="s">
        <v>2314</v>
      </c>
      <c r="O651" s="1">
        <v>45907</v>
      </c>
      <c r="S651" t="s">
        <v>915</v>
      </c>
      <c r="T651" s="6" t="s">
        <v>942</v>
      </c>
      <c r="U651" s="6" t="s">
        <v>940</v>
      </c>
      <c r="V651" s="2" t="s">
        <v>954</v>
      </c>
      <c r="W651" t="str">
        <f t="shared" si="10"/>
        <v>2000056026_20229</v>
      </c>
      <c r="X651" s="2" t="s">
        <v>1616</v>
      </c>
    </row>
    <row r="652" spans="1:24" hidden="1" x14ac:dyDescent="0.35">
      <c r="A652">
        <v>37</v>
      </c>
      <c r="B652">
        <v>2000056030</v>
      </c>
      <c r="C652" s="1">
        <v>44399</v>
      </c>
      <c r="D652" t="s">
        <v>220</v>
      </c>
      <c r="E652" t="s">
        <v>18</v>
      </c>
      <c r="F652" t="s">
        <v>148</v>
      </c>
      <c r="G652" t="s">
        <v>20</v>
      </c>
      <c r="H652" t="s">
        <v>221</v>
      </c>
      <c r="I652" t="s">
        <v>148</v>
      </c>
      <c r="J652">
        <v>0.86499999999999999</v>
      </c>
      <c r="K652">
        <v>2.75</v>
      </c>
      <c r="L652">
        <v>1</v>
      </c>
      <c r="M652">
        <v>0.67</v>
      </c>
      <c r="N652" t="s">
        <v>28</v>
      </c>
      <c r="O652" s="1">
        <v>45128</v>
      </c>
      <c r="S652" t="s">
        <v>915</v>
      </c>
      <c r="T652" s="6" t="s">
        <v>936</v>
      </c>
      <c r="U652" s="6" t="s">
        <v>933</v>
      </c>
      <c r="V652" s="2" t="s">
        <v>952</v>
      </c>
      <c r="W652" t="str">
        <f t="shared" si="10"/>
        <v>2000056030_20217</v>
      </c>
      <c r="X652" s="2" t="s">
        <v>1615</v>
      </c>
    </row>
    <row r="653" spans="1:24" hidden="1" x14ac:dyDescent="0.35">
      <c r="A653">
        <v>49</v>
      </c>
      <c r="B653">
        <v>2000056030</v>
      </c>
      <c r="C653" s="1">
        <v>45110</v>
      </c>
      <c r="D653" t="s">
        <v>220</v>
      </c>
      <c r="E653" t="s">
        <v>18</v>
      </c>
      <c r="F653" t="s">
        <v>148</v>
      </c>
      <c r="G653" t="s">
        <v>20</v>
      </c>
      <c r="H653" t="s">
        <v>592</v>
      </c>
      <c r="I653" t="s">
        <v>148</v>
      </c>
      <c r="J653">
        <v>0.87</v>
      </c>
      <c r="K653">
        <v>2.5</v>
      </c>
      <c r="L653">
        <v>3</v>
      </c>
      <c r="M653">
        <v>0.64</v>
      </c>
      <c r="N653" t="s">
        <v>28</v>
      </c>
      <c r="O653" s="1">
        <v>45841</v>
      </c>
      <c r="S653" t="s">
        <v>915</v>
      </c>
      <c r="T653" s="6" t="s">
        <v>936</v>
      </c>
      <c r="U653" s="6" t="s">
        <v>941</v>
      </c>
      <c r="V653" s="2" t="s">
        <v>955</v>
      </c>
      <c r="W653" t="str">
        <f t="shared" si="10"/>
        <v>2000056030_20237</v>
      </c>
      <c r="X653" s="2" t="s">
        <v>1615</v>
      </c>
    </row>
    <row r="654" spans="1:24" hidden="1" x14ac:dyDescent="0.35">
      <c r="A654">
        <v>16</v>
      </c>
      <c r="B654">
        <v>2000056038</v>
      </c>
      <c r="C654" s="1">
        <v>45384</v>
      </c>
      <c r="D654" t="s">
        <v>174</v>
      </c>
      <c r="E654" t="s">
        <v>18</v>
      </c>
      <c r="F654" t="s">
        <v>39</v>
      </c>
      <c r="G654" t="s">
        <v>168</v>
      </c>
      <c r="H654" t="s">
        <v>380</v>
      </c>
      <c r="I654" t="s">
        <v>148</v>
      </c>
      <c r="J654">
        <v>0.88900000000000001</v>
      </c>
      <c r="K654">
        <v>3</v>
      </c>
      <c r="L654">
        <v>1</v>
      </c>
      <c r="M654">
        <v>0.89</v>
      </c>
      <c r="N654" t="s">
        <v>28</v>
      </c>
      <c r="O654" s="1">
        <v>46114</v>
      </c>
      <c r="S654" t="s">
        <v>915</v>
      </c>
      <c r="T654" s="6" t="s">
        <v>946</v>
      </c>
      <c r="U654" s="6" t="s">
        <v>921</v>
      </c>
      <c r="V654" s="2" t="s">
        <v>956</v>
      </c>
      <c r="W654" t="str">
        <f t="shared" si="10"/>
        <v>2000056038_20244</v>
      </c>
      <c r="X654" s="2" t="s">
        <v>1615</v>
      </c>
    </row>
    <row r="655" spans="1:24" hidden="1" x14ac:dyDescent="0.35">
      <c r="A655">
        <v>12</v>
      </c>
      <c r="B655">
        <v>2000056038</v>
      </c>
      <c r="C655" s="1">
        <v>44287</v>
      </c>
      <c r="D655" t="s">
        <v>174</v>
      </c>
      <c r="E655" t="s">
        <v>18</v>
      </c>
      <c r="F655" t="s">
        <v>39</v>
      </c>
      <c r="G655" t="s">
        <v>168</v>
      </c>
      <c r="H655" t="s">
        <v>175</v>
      </c>
      <c r="I655" t="s">
        <v>41</v>
      </c>
      <c r="J655">
        <v>0.78</v>
      </c>
      <c r="K655">
        <v>2.2999999999999998</v>
      </c>
      <c r="L655">
        <v>7</v>
      </c>
      <c r="M655">
        <v>0.76</v>
      </c>
      <c r="N655" t="s">
        <v>23</v>
      </c>
      <c r="O655" s="1">
        <v>44653</v>
      </c>
      <c r="S655" t="s">
        <v>915</v>
      </c>
      <c r="T655" s="6" t="s">
        <v>946</v>
      </c>
      <c r="U655" s="6" t="s">
        <v>953</v>
      </c>
      <c r="V655" s="2" t="s">
        <v>952</v>
      </c>
      <c r="W655" t="str">
        <f t="shared" si="10"/>
        <v>2000056038_20214</v>
      </c>
      <c r="X655" s="2" t="s">
        <v>1615</v>
      </c>
    </row>
    <row r="656" spans="1:24" hidden="1" x14ac:dyDescent="0.35">
      <c r="A656">
        <v>16</v>
      </c>
      <c r="B656">
        <v>2000056038</v>
      </c>
      <c r="C656" s="1">
        <v>45008</v>
      </c>
      <c r="D656" t="s">
        <v>174</v>
      </c>
      <c r="E656" t="s">
        <v>18</v>
      </c>
      <c r="F656" t="s">
        <v>39</v>
      </c>
      <c r="G656" t="s">
        <v>168</v>
      </c>
      <c r="H656" t="s">
        <v>380</v>
      </c>
      <c r="I656" t="s">
        <v>41</v>
      </c>
      <c r="J656">
        <v>0.70499999999999996</v>
      </c>
      <c r="K656">
        <v>3</v>
      </c>
      <c r="L656">
        <v>1</v>
      </c>
      <c r="M656">
        <v>0.89</v>
      </c>
      <c r="N656" t="s">
        <v>23</v>
      </c>
      <c r="O656" s="1">
        <v>45374</v>
      </c>
      <c r="S656" t="s">
        <v>915</v>
      </c>
      <c r="T656" s="6" t="s">
        <v>941</v>
      </c>
      <c r="U656" s="6" t="s">
        <v>934</v>
      </c>
      <c r="V656" s="2" t="s">
        <v>955</v>
      </c>
      <c r="W656" t="str">
        <f t="shared" si="10"/>
        <v>2000056038_20233</v>
      </c>
      <c r="X656" s="2" t="s">
        <v>1615</v>
      </c>
    </row>
    <row r="657" spans="1:24" hidden="1" x14ac:dyDescent="0.35">
      <c r="A657">
        <v>17</v>
      </c>
      <c r="B657">
        <v>2000056038</v>
      </c>
      <c r="C657" s="1">
        <v>44641</v>
      </c>
      <c r="D657" t="s">
        <v>174</v>
      </c>
      <c r="E657" t="s">
        <v>18</v>
      </c>
      <c r="F657" t="s">
        <v>39</v>
      </c>
      <c r="G657" t="s">
        <v>168</v>
      </c>
      <c r="H657" t="s">
        <v>380</v>
      </c>
      <c r="I657" t="s">
        <v>41</v>
      </c>
      <c r="J657">
        <v>0.71699999999999997</v>
      </c>
      <c r="K657">
        <v>2.2999999999999998</v>
      </c>
      <c r="L657">
        <v>6</v>
      </c>
      <c r="M657">
        <v>0.91</v>
      </c>
      <c r="N657" t="s">
        <v>23</v>
      </c>
      <c r="O657" s="1">
        <v>45006</v>
      </c>
      <c r="S657" t="s">
        <v>915</v>
      </c>
      <c r="T657" s="6" t="s">
        <v>941</v>
      </c>
      <c r="U657" s="6" t="s">
        <v>944</v>
      </c>
      <c r="V657" s="2" t="s">
        <v>954</v>
      </c>
      <c r="W657" t="str">
        <f t="shared" si="10"/>
        <v>2000056038_20223</v>
      </c>
      <c r="X657" s="2" t="s">
        <v>1615</v>
      </c>
    </row>
    <row r="658" spans="1:24" hidden="1" x14ac:dyDescent="0.35">
      <c r="A658">
        <v>83</v>
      </c>
      <c r="B658">
        <v>2000056051</v>
      </c>
      <c r="C658" s="1">
        <v>45240</v>
      </c>
      <c r="D658" t="s">
        <v>343</v>
      </c>
      <c r="E658" t="s">
        <v>18</v>
      </c>
      <c r="F658" t="s">
        <v>148</v>
      </c>
      <c r="G658" t="s">
        <v>82</v>
      </c>
      <c r="H658" t="s">
        <v>629</v>
      </c>
      <c r="I658" t="s">
        <v>148</v>
      </c>
      <c r="J658">
        <v>0.95699999999999996</v>
      </c>
      <c r="K658">
        <v>3</v>
      </c>
      <c r="L658">
        <v>0</v>
      </c>
      <c r="M658">
        <v>0.97</v>
      </c>
      <c r="N658" t="s">
        <v>368</v>
      </c>
      <c r="O658" s="1">
        <v>46336</v>
      </c>
      <c r="S658" t="s">
        <v>915</v>
      </c>
      <c r="T658" s="6" t="s">
        <v>945</v>
      </c>
      <c r="U658" s="6" t="s">
        <v>948</v>
      </c>
      <c r="V658" s="2" t="s">
        <v>955</v>
      </c>
      <c r="W658" t="str">
        <f t="shared" si="10"/>
        <v>2000056051_202311</v>
      </c>
      <c r="X658" s="2" t="s">
        <v>1615</v>
      </c>
    </row>
    <row r="659" spans="1:24" hidden="1" x14ac:dyDescent="0.35">
      <c r="A659">
        <v>99</v>
      </c>
      <c r="B659">
        <v>2000056051</v>
      </c>
      <c r="C659" s="1">
        <v>44509</v>
      </c>
      <c r="D659" t="s">
        <v>343</v>
      </c>
      <c r="E659" t="s">
        <v>18</v>
      </c>
      <c r="F659" t="s">
        <v>148</v>
      </c>
      <c r="G659" t="s">
        <v>20</v>
      </c>
      <c r="H659" t="s">
        <v>344</v>
      </c>
      <c r="I659" t="s">
        <v>148</v>
      </c>
      <c r="J659">
        <v>0.81</v>
      </c>
      <c r="K659">
        <v>2.5</v>
      </c>
      <c r="L659">
        <v>4</v>
      </c>
      <c r="M659">
        <v>0.87</v>
      </c>
      <c r="N659" t="s">
        <v>28</v>
      </c>
      <c r="O659" s="1">
        <v>45239</v>
      </c>
      <c r="Q659" t="s">
        <v>323</v>
      </c>
      <c r="S659" t="s">
        <v>915</v>
      </c>
      <c r="T659" s="6" t="s">
        <v>945</v>
      </c>
      <c r="U659" s="6" t="s">
        <v>942</v>
      </c>
      <c r="V659" s="2" t="s">
        <v>952</v>
      </c>
      <c r="W659" t="str">
        <f t="shared" si="10"/>
        <v>2000056051_202111</v>
      </c>
      <c r="X659" s="2" t="s">
        <v>1615</v>
      </c>
    </row>
    <row r="660" spans="1:24" hidden="1" x14ac:dyDescent="0.35">
      <c r="A660">
        <v>60</v>
      </c>
      <c r="B660">
        <v>2000056071</v>
      </c>
      <c r="C660" s="1">
        <v>44439</v>
      </c>
      <c r="D660" t="s">
        <v>265</v>
      </c>
      <c r="E660" t="s">
        <v>18</v>
      </c>
      <c r="F660" t="s">
        <v>39</v>
      </c>
      <c r="G660" t="s">
        <v>20</v>
      </c>
      <c r="H660" t="s">
        <v>266</v>
      </c>
      <c r="I660" t="s">
        <v>41</v>
      </c>
      <c r="J660">
        <v>0.76200000000000001</v>
      </c>
      <c r="K660">
        <v>2.2999999999999998</v>
      </c>
      <c r="L660">
        <v>3</v>
      </c>
      <c r="M660">
        <v>0.66</v>
      </c>
      <c r="N660" t="s">
        <v>23</v>
      </c>
      <c r="O660" s="1">
        <v>44804</v>
      </c>
      <c r="S660" t="s">
        <v>915</v>
      </c>
      <c r="T660" s="6" t="s">
        <v>940</v>
      </c>
      <c r="U660" s="6" t="s">
        <v>939</v>
      </c>
      <c r="V660" s="2" t="s">
        <v>952</v>
      </c>
      <c r="W660" t="str">
        <f t="shared" si="10"/>
        <v>2000056071_20218</v>
      </c>
      <c r="X660" s="2" t="s">
        <v>1615</v>
      </c>
    </row>
    <row r="661" spans="1:24" hidden="1" x14ac:dyDescent="0.35">
      <c r="A661">
        <v>78</v>
      </c>
      <c r="B661">
        <v>2000056071</v>
      </c>
      <c r="C661" s="1">
        <v>44789</v>
      </c>
      <c r="D661" t="s">
        <v>265</v>
      </c>
      <c r="E661" t="s">
        <v>18</v>
      </c>
      <c r="F661" t="s">
        <v>39</v>
      </c>
      <c r="G661" t="s">
        <v>20</v>
      </c>
      <c r="H661" t="s">
        <v>491</v>
      </c>
      <c r="I661" t="s">
        <v>41</v>
      </c>
      <c r="J661">
        <v>0.86499999999999999</v>
      </c>
      <c r="K661">
        <v>2.6</v>
      </c>
      <c r="L661">
        <v>3</v>
      </c>
      <c r="M661">
        <v>0.76</v>
      </c>
      <c r="N661" t="s">
        <v>28</v>
      </c>
      <c r="O661" s="1">
        <v>45520</v>
      </c>
      <c r="S661" t="s">
        <v>915</v>
      </c>
      <c r="T661" s="6" t="s">
        <v>940</v>
      </c>
      <c r="U661" s="6" t="s">
        <v>928</v>
      </c>
      <c r="V661" s="2" t="s">
        <v>954</v>
      </c>
      <c r="W661" t="str">
        <f t="shared" si="10"/>
        <v>2000056071_20228</v>
      </c>
      <c r="X661" s="2" t="s">
        <v>1615</v>
      </c>
    </row>
    <row r="662" spans="1:24" hidden="1" x14ac:dyDescent="0.35">
      <c r="A662">
        <v>134</v>
      </c>
      <c r="B662">
        <v>2000056121</v>
      </c>
      <c r="C662" s="1">
        <v>45582</v>
      </c>
      <c r="D662" t="s">
        <v>3241</v>
      </c>
      <c r="E662" t="s">
        <v>18</v>
      </c>
      <c r="F662" t="s">
        <v>376</v>
      </c>
      <c r="G662" t="s">
        <v>1606</v>
      </c>
      <c r="H662" t="s">
        <v>3242</v>
      </c>
      <c r="I662" t="s">
        <v>22</v>
      </c>
      <c r="J662">
        <v>1</v>
      </c>
      <c r="K662">
        <v>3</v>
      </c>
      <c r="L662">
        <v>0</v>
      </c>
      <c r="M662">
        <v>0.89</v>
      </c>
      <c r="N662" t="s">
        <v>368</v>
      </c>
      <c r="O662" s="1">
        <v>46677</v>
      </c>
      <c r="S662" t="s">
        <v>915</v>
      </c>
      <c r="T662" s="5" t="s">
        <v>948</v>
      </c>
      <c r="U662" s="5" t="s">
        <v>929</v>
      </c>
      <c r="V662" t="s">
        <v>956</v>
      </c>
      <c r="W662" t="str">
        <f t="shared" si="10"/>
        <v>2000056121_202410</v>
      </c>
      <c r="X662" t="s">
        <v>1616</v>
      </c>
    </row>
    <row r="663" spans="1:24" hidden="1" x14ac:dyDescent="0.35">
      <c r="B663">
        <v>2000056131</v>
      </c>
      <c r="C663" s="1">
        <v>44399</v>
      </c>
      <c r="D663" t="s">
        <v>2597</v>
      </c>
      <c r="F663" t="s">
        <v>39</v>
      </c>
      <c r="G663" t="s">
        <v>1606</v>
      </c>
      <c r="H663" t="s">
        <v>2598</v>
      </c>
      <c r="I663" t="s">
        <v>41</v>
      </c>
      <c r="J663">
        <v>0.95199999999999996</v>
      </c>
      <c r="K663">
        <v>3</v>
      </c>
      <c r="L663">
        <v>3</v>
      </c>
      <c r="M663">
        <v>0.93</v>
      </c>
      <c r="N663" t="s">
        <v>2314</v>
      </c>
      <c r="O663" s="1">
        <v>45495</v>
      </c>
      <c r="S663" t="s">
        <v>915</v>
      </c>
      <c r="T663" s="6" t="s">
        <v>936</v>
      </c>
      <c r="U663" s="6" t="s">
        <v>933</v>
      </c>
      <c r="V663" s="2" t="s">
        <v>952</v>
      </c>
      <c r="W663" t="str">
        <f t="shared" si="10"/>
        <v>2000056131_20217</v>
      </c>
      <c r="X663" s="2" t="s">
        <v>1616</v>
      </c>
    </row>
    <row r="664" spans="1:24" hidden="1" x14ac:dyDescent="0.35">
      <c r="A664">
        <v>144</v>
      </c>
      <c r="B664">
        <v>2000056131</v>
      </c>
      <c r="C664" s="1">
        <v>45601</v>
      </c>
      <c r="D664" t="s">
        <v>3255</v>
      </c>
      <c r="E664" t="s">
        <v>18</v>
      </c>
      <c r="F664" t="s">
        <v>39</v>
      </c>
      <c r="G664" t="s">
        <v>1606</v>
      </c>
      <c r="H664" t="s">
        <v>3256</v>
      </c>
      <c r="I664" t="s">
        <v>41</v>
      </c>
      <c r="J664">
        <v>1</v>
      </c>
      <c r="K664">
        <v>3</v>
      </c>
      <c r="L664">
        <v>0</v>
      </c>
      <c r="M664">
        <v>0.88</v>
      </c>
      <c r="N664" t="s">
        <v>368</v>
      </c>
      <c r="O664" s="1">
        <v>46696</v>
      </c>
      <c r="R664" t="s">
        <v>1723</v>
      </c>
      <c r="S664" t="s">
        <v>915</v>
      </c>
      <c r="T664" s="5" t="s">
        <v>945</v>
      </c>
      <c r="U664" s="5" t="s">
        <v>947</v>
      </c>
      <c r="V664" t="s">
        <v>956</v>
      </c>
      <c r="W664" t="str">
        <f t="shared" si="10"/>
        <v>2000056131_202411</v>
      </c>
      <c r="X664" t="s">
        <v>1616</v>
      </c>
    </row>
    <row r="665" spans="1:24" hidden="1" x14ac:dyDescent="0.35">
      <c r="A665">
        <v>28</v>
      </c>
      <c r="B665">
        <v>2000056214</v>
      </c>
      <c r="C665" s="1">
        <v>45727</v>
      </c>
      <c r="D665" t="s">
        <v>2603</v>
      </c>
      <c r="E665" t="s">
        <v>18</v>
      </c>
      <c r="F665" t="s">
        <v>19</v>
      </c>
      <c r="G665" t="s">
        <v>3529</v>
      </c>
      <c r="H665" t="s">
        <v>2608</v>
      </c>
      <c r="I665" t="s">
        <v>22</v>
      </c>
      <c r="J665">
        <v>0.97299999999999998</v>
      </c>
      <c r="K665">
        <v>3</v>
      </c>
      <c r="L665">
        <v>1</v>
      </c>
      <c r="M665">
        <v>0.92</v>
      </c>
      <c r="N665" t="s">
        <v>2314</v>
      </c>
      <c r="O665" s="1">
        <v>46823</v>
      </c>
      <c r="P665" t="s">
        <v>566</v>
      </c>
      <c r="R665" t="s">
        <v>3533</v>
      </c>
      <c r="S665" t="s">
        <v>915</v>
      </c>
      <c r="T665" s="5" t="s">
        <v>941</v>
      </c>
      <c r="U665" s="5" t="s">
        <v>945</v>
      </c>
      <c r="V665" t="s">
        <v>1650</v>
      </c>
      <c r="W665" t="str">
        <f t="shared" si="10"/>
        <v>2000056214_20253</v>
      </c>
      <c r="X665" t="s">
        <v>1616</v>
      </c>
    </row>
    <row r="666" spans="1:24" hidden="1" x14ac:dyDescent="0.35">
      <c r="B666">
        <v>2000056178</v>
      </c>
      <c r="C666" s="1">
        <v>44106</v>
      </c>
      <c r="D666" t="s">
        <v>1809</v>
      </c>
      <c r="F666" t="s">
        <v>19</v>
      </c>
      <c r="G666" t="s">
        <v>1603</v>
      </c>
      <c r="H666" t="s">
        <v>2601</v>
      </c>
      <c r="I666" t="s">
        <v>41</v>
      </c>
      <c r="J666">
        <v>0.76900000000000002</v>
      </c>
      <c r="K666">
        <v>2.2999999999999998</v>
      </c>
      <c r="L666">
        <v>1</v>
      </c>
      <c r="M666">
        <v>0.73</v>
      </c>
      <c r="N666" t="s">
        <v>2310</v>
      </c>
      <c r="O666" s="1">
        <v>44836</v>
      </c>
      <c r="S666" t="s">
        <v>915</v>
      </c>
      <c r="T666" s="6" t="s">
        <v>948</v>
      </c>
      <c r="U666" s="6" t="s">
        <v>921</v>
      </c>
      <c r="V666" s="2" t="s">
        <v>923</v>
      </c>
      <c r="W666" t="str">
        <f t="shared" si="10"/>
        <v>2000056178_202010</v>
      </c>
      <c r="X666" s="2" t="s">
        <v>1616</v>
      </c>
    </row>
    <row r="667" spans="1:24" hidden="1" x14ac:dyDescent="0.35">
      <c r="B667">
        <v>2000056178</v>
      </c>
      <c r="C667" s="1">
        <v>44754</v>
      </c>
      <c r="D667" t="s">
        <v>1809</v>
      </c>
      <c r="F667" t="s">
        <v>43</v>
      </c>
      <c r="G667" t="s">
        <v>1603</v>
      </c>
      <c r="H667" t="s">
        <v>2602</v>
      </c>
      <c r="I667" t="s">
        <v>41</v>
      </c>
      <c r="J667">
        <v>0.84199999999999997</v>
      </c>
      <c r="K667">
        <v>2.6</v>
      </c>
      <c r="L667">
        <v>3</v>
      </c>
      <c r="M667">
        <v>0.73</v>
      </c>
      <c r="N667" t="s">
        <v>2310</v>
      </c>
      <c r="O667" s="1">
        <v>45485</v>
      </c>
      <c r="S667" t="s">
        <v>915</v>
      </c>
      <c r="T667" s="6" t="s">
        <v>936</v>
      </c>
      <c r="U667" s="6" t="s">
        <v>949</v>
      </c>
      <c r="V667" s="2" t="s">
        <v>954</v>
      </c>
      <c r="W667" t="str">
        <f t="shared" si="10"/>
        <v>2000056178_20227</v>
      </c>
      <c r="X667" s="2" t="s">
        <v>1616</v>
      </c>
    </row>
    <row r="668" spans="1:24" hidden="1" x14ac:dyDescent="0.35">
      <c r="A668">
        <v>68</v>
      </c>
      <c r="B668">
        <v>2000056178</v>
      </c>
      <c r="C668" s="1">
        <v>45474</v>
      </c>
      <c r="D668" t="s">
        <v>1809</v>
      </c>
      <c r="E668" t="s">
        <v>18</v>
      </c>
      <c r="F668" t="s">
        <v>1602</v>
      </c>
      <c r="G668" t="s">
        <v>1687</v>
      </c>
      <c r="H668" t="s">
        <v>1810</v>
      </c>
      <c r="I668" t="s">
        <v>41</v>
      </c>
      <c r="J668">
        <v>0.92500000000000004</v>
      </c>
      <c r="K668">
        <v>3</v>
      </c>
      <c r="L668">
        <v>2</v>
      </c>
      <c r="M668">
        <v>0.82</v>
      </c>
      <c r="N668" t="s">
        <v>368</v>
      </c>
      <c r="O668" s="1">
        <v>46569</v>
      </c>
      <c r="R668" t="s">
        <v>1613</v>
      </c>
      <c r="S668" t="s">
        <v>915</v>
      </c>
      <c r="T668" s="5" t="s">
        <v>936</v>
      </c>
      <c r="U668" s="5" t="s">
        <v>953</v>
      </c>
      <c r="V668" t="s">
        <v>956</v>
      </c>
      <c r="W668" t="str">
        <f t="shared" si="10"/>
        <v>2000056178_20247</v>
      </c>
      <c r="X668" s="2" t="s">
        <v>1616</v>
      </c>
    </row>
    <row r="669" spans="1:24" hidden="1" x14ac:dyDescent="0.35">
      <c r="A669">
        <v>5</v>
      </c>
      <c r="B669">
        <v>2000056195</v>
      </c>
      <c r="C669" s="1">
        <v>44580</v>
      </c>
      <c r="D669" t="s">
        <v>133</v>
      </c>
      <c r="E669" t="s">
        <v>18</v>
      </c>
      <c r="F669" t="s">
        <v>148</v>
      </c>
      <c r="G669" t="s">
        <v>20</v>
      </c>
      <c r="H669" t="s">
        <v>356</v>
      </c>
      <c r="I669" t="s">
        <v>148</v>
      </c>
      <c r="J669">
        <v>0.68799999999999994</v>
      </c>
      <c r="K669">
        <v>2.2999999999999998</v>
      </c>
      <c r="L669">
        <v>7</v>
      </c>
      <c r="M669">
        <v>0.56000000000000005</v>
      </c>
      <c r="N669" t="s">
        <v>23</v>
      </c>
      <c r="O669" s="1">
        <v>44945</v>
      </c>
      <c r="S669" t="s">
        <v>915</v>
      </c>
      <c r="T669" s="6" t="s">
        <v>953</v>
      </c>
      <c r="U669" s="6" t="s">
        <v>931</v>
      </c>
      <c r="V669" s="2" t="s">
        <v>954</v>
      </c>
      <c r="W669" t="str">
        <f t="shared" si="10"/>
        <v>2000056195_20221</v>
      </c>
      <c r="X669" s="2" t="s">
        <v>1615</v>
      </c>
    </row>
    <row r="670" spans="1:24" hidden="1" x14ac:dyDescent="0.35">
      <c r="A670">
        <v>26</v>
      </c>
      <c r="B670">
        <v>2000056195</v>
      </c>
      <c r="C670" s="1">
        <v>45023</v>
      </c>
      <c r="D670" t="s">
        <v>133</v>
      </c>
      <c r="E670" t="s">
        <v>18</v>
      </c>
      <c r="F670" t="s">
        <v>148</v>
      </c>
      <c r="G670" t="s">
        <v>20</v>
      </c>
      <c r="H670" t="s">
        <v>564</v>
      </c>
      <c r="I670" t="s">
        <v>148</v>
      </c>
      <c r="J670">
        <v>0.67500000000000004</v>
      </c>
      <c r="K670">
        <v>2.2999999999999998</v>
      </c>
      <c r="L670">
        <v>6</v>
      </c>
      <c r="M670">
        <v>0.63</v>
      </c>
      <c r="N670" t="s">
        <v>23</v>
      </c>
      <c r="O670" s="1">
        <v>45389</v>
      </c>
      <c r="S670" t="s">
        <v>915</v>
      </c>
      <c r="T670" s="6" t="s">
        <v>946</v>
      </c>
      <c r="U670" s="6" t="s">
        <v>936</v>
      </c>
      <c r="V670" s="2" t="s">
        <v>955</v>
      </c>
      <c r="W670" t="str">
        <f t="shared" si="10"/>
        <v>2000056195_20234</v>
      </c>
      <c r="X670" s="2" t="s">
        <v>1615</v>
      </c>
    </row>
    <row r="671" spans="1:24" hidden="1" x14ac:dyDescent="0.35">
      <c r="A671">
        <v>49</v>
      </c>
      <c r="B671">
        <v>2000056195</v>
      </c>
      <c r="C671" s="1">
        <v>44146</v>
      </c>
      <c r="D671" t="s">
        <v>133</v>
      </c>
      <c r="E671" t="s">
        <v>18</v>
      </c>
      <c r="F671" t="s">
        <v>19</v>
      </c>
      <c r="G671" t="s">
        <v>20</v>
      </c>
      <c r="H671" t="s">
        <v>134</v>
      </c>
      <c r="I671" t="s">
        <v>22</v>
      </c>
      <c r="J671">
        <v>0.78800000000000003</v>
      </c>
      <c r="K671">
        <v>2</v>
      </c>
      <c r="L671">
        <v>8</v>
      </c>
      <c r="M671">
        <v>0.75</v>
      </c>
      <c r="N671" t="s">
        <v>23</v>
      </c>
      <c r="O671" s="1">
        <v>44511</v>
      </c>
      <c r="S671" t="s">
        <v>915</v>
      </c>
      <c r="T671" s="6" t="s">
        <v>945</v>
      </c>
      <c r="U671" s="6" t="s">
        <v>945</v>
      </c>
      <c r="V671" s="2" t="s">
        <v>923</v>
      </c>
      <c r="W671" t="str">
        <f t="shared" si="10"/>
        <v>2000056195_202011</v>
      </c>
      <c r="X671" s="2" t="s">
        <v>1615</v>
      </c>
    </row>
    <row r="672" spans="1:24" hidden="1" x14ac:dyDescent="0.35">
      <c r="A672">
        <v>21</v>
      </c>
      <c r="B672">
        <v>2000056195</v>
      </c>
      <c r="C672" s="1">
        <v>44040</v>
      </c>
      <c r="D672" t="s">
        <v>75</v>
      </c>
      <c r="E672" t="s">
        <v>18</v>
      </c>
      <c r="F672" t="s">
        <v>39</v>
      </c>
      <c r="G672" t="s">
        <v>20</v>
      </c>
      <c r="H672" t="s">
        <v>76</v>
      </c>
      <c r="I672" t="s">
        <v>41</v>
      </c>
      <c r="J672">
        <v>0.68799999999999994</v>
      </c>
      <c r="K672">
        <v>2.6</v>
      </c>
      <c r="L672">
        <v>7</v>
      </c>
      <c r="M672">
        <v>0.6875</v>
      </c>
      <c r="N672" t="s">
        <v>23</v>
      </c>
      <c r="O672" s="1">
        <v>44405</v>
      </c>
      <c r="S672" t="s">
        <v>915</v>
      </c>
      <c r="T672" s="6" t="s">
        <v>936</v>
      </c>
      <c r="U672" s="6" t="s">
        <v>926</v>
      </c>
      <c r="V672" s="2" t="s">
        <v>923</v>
      </c>
      <c r="W672" t="str">
        <f t="shared" si="10"/>
        <v>2000056195_20207</v>
      </c>
      <c r="X672" s="2" t="s">
        <v>1615</v>
      </c>
    </row>
    <row r="673" spans="1:24" hidden="1" x14ac:dyDescent="0.35">
      <c r="A673">
        <v>29</v>
      </c>
      <c r="B673">
        <v>2000056722</v>
      </c>
      <c r="C673" s="1">
        <v>45728</v>
      </c>
      <c r="D673" t="s">
        <v>2704</v>
      </c>
      <c r="E673" t="s">
        <v>18</v>
      </c>
      <c r="F673" t="s">
        <v>19</v>
      </c>
      <c r="G673" t="s">
        <v>3534</v>
      </c>
      <c r="H673" t="s">
        <v>2706</v>
      </c>
      <c r="I673" t="s">
        <v>22</v>
      </c>
      <c r="J673">
        <v>1</v>
      </c>
      <c r="K673">
        <v>3</v>
      </c>
      <c r="L673">
        <v>0</v>
      </c>
      <c r="M673">
        <v>1</v>
      </c>
      <c r="N673" t="s">
        <v>2314</v>
      </c>
      <c r="O673" s="1">
        <v>46824</v>
      </c>
      <c r="P673" t="s">
        <v>165</v>
      </c>
      <c r="Q673" t="s">
        <v>3303</v>
      </c>
      <c r="R673" t="s">
        <v>1613</v>
      </c>
      <c r="S673" t="s">
        <v>915</v>
      </c>
      <c r="T673" s="5" t="s">
        <v>941</v>
      </c>
      <c r="U673" s="5" t="s">
        <v>949</v>
      </c>
      <c r="V673" t="s">
        <v>1650</v>
      </c>
      <c r="W673" t="str">
        <f t="shared" si="10"/>
        <v>2000056722_20253</v>
      </c>
      <c r="X673" t="s">
        <v>1616</v>
      </c>
    </row>
    <row r="674" spans="1:24" hidden="1" x14ac:dyDescent="0.35">
      <c r="A674">
        <v>30</v>
      </c>
      <c r="B674">
        <v>2000067541</v>
      </c>
      <c r="C674" s="1">
        <v>45729</v>
      </c>
      <c r="D674" t="s">
        <v>3535</v>
      </c>
      <c r="E674" t="s">
        <v>18</v>
      </c>
      <c r="F674" t="s">
        <v>1859</v>
      </c>
      <c r="G674" t="s">
        <v>3536</v>
      </c>
      <c r="H674" t="s">
        <v>3537</v>
      </c>
      <c r="I674" t="s">
        <v>22</v>
      </c>
      <c r="J674">
        <v>0.96599999999999997</v>
      </c>
      <c r="K674">
        <v>3</v>
      </c>
      <c r="L674">
        <v>1</v>
      </c>
      <c r="M674">
        <v>0.8</v>
      </c>
      <c r="N674" t="s">
        <v>2314</v>
      </c>
      <c r="O674" s="1">
        <v>46825</v>
      </c>
      <c r="S674" t="s">
        <v>915</v>
      </c>
      <c r="T674" s="5" t="s">
        <v>941</v>
      </c>
      <c r="U674" s="5" t="s">
        <v>950</v>
      </c>
      <c r="V674" t="s">
        <v>1650</v>
      </c>
      <c r="W674" t="str">
        <f t="shared" si="10"/>
        <v>2000067541_20253</v>
      </c>
      <c r="X674" t="s">
        <v>1616</v>
      </c>
    </row>
    <row r="675" spans="1:24" hidden="1" x14ac:dyDescent="0.35">
      <c r="A675">
        <v>51</v>
      </c>
      <c r="B675">
        <v>2000056220</v>
      </c>
      <c r="C675" s="1">
        <v>45441</v>
      </c>
      <c r="D675" t="s">
        <v>1772</v>
      </c>
      <c r="E675" t="s">
        <v>18</v>
      </c>
      <c r="F675" t="s">
        <v>376</v>
      </c>
      <c r="G675" t="s">
        <v>1606</v>
      </c>
      <c r="H675" t="s">
        <v>1773</v>
      </c>
      <c r="I675" t="s">
        <v>22</v>
      </c>
      <c r="J675">
        <v>0.90900000000000003</v>
      </c>
      <c r="K675">
        <v>3</v>
      </c>
      <c r="L675">
        <v>3</v>
      </c>
      <c r="M675">
        <v>0.81</v>
      </c>
      <c r="N675" t="s">
        <v>368</v>
      </c>
      <c r="O675" s="1">
        <v>46536</v>
      </c>
      <c r="S675" t="s">
        <v>915</v>
      </c>
      <c r="T675" s="5" t="s">
        <v>947</v>
      </c>
      <c r="U675" s="5" t="s">
        <v>937</v>
      </c>
      <c r="V675" t="s">
        <v>956</v>
      </c>
      <c r="W675" t="str">
        <f t="shared" si="10"/>
        <v>2000056220_20245</v>
      </c>
      <c r="X675" s="2" t="s">
        <v>1616</v>
      </c>
    </row>
    <row r="676" spans="1:24" hidden="1" x14ac:dyDescent="0.35">
      <c r="A676">
        <v>15</v>
      </c>
      <c r="B676">
        <v>2000056222</v>
      </c>
      <c r="C676" s="1">
        <v>44638</v>
      </c>
      <c r="D676" t="s">
        <v>375</v>
      </c>
      <c r="E676" t="s">
        <v>18</v>
      </c>
      <c r="F676" t="s">
        <v>376</v>
      </c>
      <c r="G676" t="s">
        <v>168</v>
      </c>
      <c r="H676" t="s">
        <v>377</v>
      </c>
      <c r="I676" t="s">
        <v>22</v>
      </c>
      <c r="J676">
        <v>0.72</v>
      </c>
      <c r="K676">
        <v>2</v>
      </c>
      <c r="L676">
        <v>8</v>
      </c>
      <c r="M676">
        <v>0.77</v>
      </c>
      <c r="N676" t="s">
        <v>23</v>
      </c>
      <c r="O676" s="1">
        <v>45003</v>
      </c>
      <c r="S676" t="s">
        <v>915</v>
      </c>
      <c r="T676" s="6" t="s">
        <v>941</v>
      </c>
      <c r="U676" s="6" t="s">
        <v>930</v>
      </c>
      <c r="V676" s="2" t="s">
        <v>954</v>
      </c>
      <c r="W676" t="str">
        <f t="shared" si="10"/>
        <v>2000056222_20223</v>
      </c>
      <c r="X676" s="2" t="s">
        <v>1615</v>
      </c>
    </row>
    <row r="677" spans="1:24" hidden="1" x14ac:dyDescent="0.35">
      <c r="B677">
        <v>2000056254</v>
      </c>
      <c r="C677" s="1">
        <v>44461</v>
      </c>
      <c r="D677" t="s">
        <v>2615</v>
      </c>
      <c r="F677" t="s">
        <v>39</v>
      </c>
      <c r="G677" t="s">
        <v>1606</v>
      </c>
      <c r="H677" t="s">
        <v>2616</v>
      </c>
      <c r="I677" t="s">
        <v>41</v>
      </c>
      <c r="J677">
        <v>0.75900000000000001</v>
      </c>
      <c r="K677">
        <v>2.4</v>
      </c>
      <c r="L677">
        <v>10</v>
      </c>
      <c r="M677">
        <v>0.82</v>
      </c>
      <c r="N677" t="s">
        <v>2361</v>
      </c>
      <c r="O677" s="1">
        <v>44826</v>
      </c>
      <c r="S677" t="s">
        <v>915</v>
      </c>
      <c r="T677" s="6" t="s">
        <v>942</v>
      </c>
      <c r="U677" s="6" t="s">
        <v>933</v>
      </c>
      <c r="V677" s="2" t="s">
        <v>952</v>
      </c>
      <c r="W677" t="str">
        <f t="shared" si="10"/>
        <v>2000056254_20219</v>
      </c>
      <c r="X677" s="2" t="s">
        <v>1616</v>
      </c>
    </row>
    <row r="678" spans="1:24" hidden="1" x14ac:dyDescent="0.35">
      <c r="B678">
        <v>2000056254</v>
      </c>
      <c r="C678" s="1">
        <v>44782</v>
      </c>
      <c r="D678" t="s">
        <v>2615</v>
      </c>
      <c r="F678" t="s">
        <v>39</v>
      </c>
      <c r="G678" t="s">
        <v>1606</v>
      </c>
      <c r="H678" t="s">
        <v>2616</v>
      </c>
      <c r="I678" t="s">
        <v>41</v>
      </c>
      <c r="J678">
        <v>1</v>
      </c>
      <c r="K678">
        <v>3</v>
      </c>
      <c r="L678">
        <v>1</v>
      </c>
      <c r="M678">
        <v>0.91</v>
      </c>
      <c r="N678" t="s">
        <v>2314</v>
      </c>
      <c r="O678" s="1">
        <v>45878</v>
      </c>
      <c r="S678" t="s">
        <v>915</v>
      </c>
      <c r="T678" s="6" t="s">
        <v>940</v>
      </c>
      <c r="U678" s="6" t="s">
        <v>942</v>
      </c>
      <c r="V678" s="2" t="s">
        <v>954</v>
      </c>
      <c r="W678" t="str">
        <f t="shared" si="10"/>
        <v>2000056254_20228</v>
      </c>
      <c r="X678" s="2" t="s">
        <v>1616</v>
      </c>
    </row>
    <row r="679" spans="1:24" hidden="1" x14ac:dyDescent="0.35">
      <c r="B679">
        <v>2000056255</v>
      </c>
      <c r="C679" s="1">
        <v>44118</v>
      </c>
      <c r="D679" t="s">
        <v>3978</v>
      </c>
      <c r="F679" t="s">
        <v>43</v>
      </c>
      <c r="G679" t="s">
        <v>1606</v>
      </c>
      <c r="H679" t="s">
        <v>2617</v>
      </c>
      <c r="I679" t="s">
        <v>22</v>
      </c>
      <c r="J679">
        <v>0.83299999999999996</v>
      </c>
      <c r="K679">
        <v>2.7</v>
      </c>
      <c r="L679">
        <v>3</v>
      </c>
      <c r="M679">
        <v>0.72</v>
      </c>
      <c r="N679" t="s">
        <v>2310</v>
      </c>
      <c r="O679" s="1">
        <v>44848</v>
      </c>
      <c r="S679" t="s">
        <v>915</v>
      </c>
      <c r="T679" s="6" t="s">
        <v>948</v>
      </c>
      <c r="U679" s="6" t="s">
        <v>951</v>
      </c>
      <c r="V679" s="2" t="s">
        <v>923</v>
      </c>
      <c r="W679" t="str">
        <f t="shared" si="10"/>
        <v>2000056255_202010</v>
      </c>
      <c r="X679" s="2" t="s">
        <v>1616</v>
      </c>
    </row>
    <row r="680" spans="1:24" hidden="1" x14ac:dyDescent="0.35">
      <c r="B680">
        <v>2000056255</v>
      </c>
      <c r="C680" s="1">
        <v>44852</v>
      </c>
      <c r="D680" t="s">
        <v>3978</v>
      </c>
      <c r="F680" t="s">
        <v>43</v>
      </c>
      <c r="G680" t="s">
        <v>1606</v>
      </c>
      <c r="H680" t="s">
        <v>2618</v>
      </c>
      <c r="I680" t="s">
        <v>41</v>
      </c>
      <c r="J680">
        <v>1</v>
      </c>
      <c r="K680">
        <v>3</v>
      </c>
      <c r="L680">
        <v>1</v>
      </c>
      <c r="M680">
        <v>0.96</v>
      </c>
      <c r="N680" t="s">
        <v>2314</v>
      </c>
      <c r="O680" s="1">
        <v>45948</v>
      </c>
      <c r="S680" t="s">
        <v>915</v>
      </c>
      <c r="T680" s="6" t="s">
        <v>948</v>
      </c>
      <c r="U680" s="6" t="s">
        <v>930</v>
      </c>
      <c r="V680" s="2" t="s">
        <v>954</v>
      </c>
      <c r="W680" t="str">
        <f t="shared" si="10"/>
        <v>2000056255_202210</v>
      </c>
      <c r="X680" s="2" t="s">
        <v>1616</v>
      </c>
    </row>
    <row r="681" spans="1:24" hidden="1" x14ac:dyDescent="0.35">
      <c r="A681">
        <v>18</v>
      </c>
      <c r="B681">
        <v>2000056277</v>
      </c>
      <c r="C681" s="1">
        <v>44642</v>
      </c>
      <c r="D681" t="s">
        <v>381</v>
      </c>
      <c r="E681" t="s">
        <v>18</v>
      </c>
      <c r="F681" t="s">
        <v>39</v>
      </c>
      <c r="G681" t="s">
        <v>245</v>
      </c>
      <c r="H681" t="s">
        <v>382</v>
      </c>
      <c r="I681" t="s">
        <v>41</v>
      </c>
      <c r="J681">
        <v>0.78300000000000003</v>
      </c>
      <c r="K681">
        <v>2.2999999999999998</v>
      </c>
      <c r="L681">
        <v>5</v>
      </c>
      <c r="M681">
        <v>0.92</v>
      </c>
      <c r="N681" t="s">
        <v>23</v>
      </c>
      <c r="O681" s="1">
        <v>45007</v>
      </c>
      <c r="S681" t="s">
        <v>915</v>
      </c>
      <c r="T681" s="6" t="s">
        <v>941</v>
      </c>
      <c r="U681" s="6" t="s">
        <v>933</v>
      </c>
      <c r="V681" s="2" t="s">
        <v>954</v>
      </c>
      <c r="W681" t="str">
        <f t="shared" si="10"/>
        <v>2000056277_20223</v>
      </c>
      <c r="X681" s="2" t="s">
        <v>1615</v>
      </c>
    </row>
    <row r="682" spans="1:24" hidden="1" x14ac:dyDescent="0.35">
      <c r="A682">
        <v>22</v>
      </c>
      <c r="B682">
        <v>2000056277</v>
      </c>
      <c r="C682" s="1">
        <v>45013</v>
      </c>
      <c r="D682" t="s">
        <v>381</v>
      </c>
      <c r="E682" t="s">
        <v>18</v>
      </c>
      <c r="F682" t="s">
        <v>39</v>
      </c>
      <c r="G682" t="s">
        <v>245</v>
      </c>
      <c r="H682" t="s">
        <v>382</v>
      </c>
      <c r="I682" t="s">
        <v>41</v>
      </c>
      <c r="J682">
        <v>0.94399999999999995</v>
      </c>
      <c r="K682">
        <v>2.6</v>
      </c>
      <c r="L682">
        <v>2</v>
      </c>
      <c r="M682">
        <v>0.92</v>
      </c>
      <c r="N682" t="s">
        <v>28</v>
      </c>
      <c r="O682" s="1">
        <v>45744</v>
      </c>
      <c r="S682" t="s">
        <v>915</v>
      </c>
      <c r="T682" s="6" t="s">
        <v>941</v>
      </c>
      <c r="U682" s="6" t="s">
        <v>926</v>
      </c>
      <c r="V682" s="2" t="s">
        <v>955</v>
      </c>
      <c r="W682" t="str">
        <f t="shared" si="10"/>
        <v>2000056277_20233</v>
      </c>
      <c r="X682" s="2" t="s">
        <v>1615</v>
      </c>
    </row>
    <row r="683" spans="1:24" hidden="1" x14ac:dyDescent="0.35">
      <c r="A683">
        <v>8</v>
      </c>
      <c r="B683">
        <v>2000056643</v>
      </c>
      <c r="C683" s="1">
        <v>45708</v>
      </c>
      <c r="D683" t="s">
        <v>548</v>
      </c>
      <c r="E683" t="s">
        <v>18</v>
      </c>
      <c r="F683" t="s">
        <v>148</v>
      </c>
      <c r="G683" t="s">
        <v>20</v>
      </c>
      <c r="H683" t="s">
        <v>3434</v>
      </c>
      <c r="I683" t="s">
        <v>148</v>
      </c>
      <c r="J683">
        <v>0.92500000000000004</v>
      </c>
      <c r="K683">
        <v>3</v>
      </c>
      <c r="L683">
        <v>1</v>
      </c>
      <c r="M683">
        <v>0.81</v>
      </c>
      <c r="N683" t="s">
        <v>368</v>
      </c>
      <c r="O683" s="1">
        <v>46803</v>
      </c>
      <c r="S683" t="s">
        <v>915</v>
      </c>
      <c r="T683" s="5" t="s">
        <v>921</v>
      </c>
      <c r="U683" s="5" t="s">
        <v>932</v>
      </c>
      <c r="V683" t="s">
        <v>1650</v>
      </c>
      <c r="W683" t="str">
        <f t="shared" si="10"/>
        <v>2000056643_20252</v>
      </c>
      <c r="X683" t="s">
        <v>1615</v>
      </c>
    </row>
    <row r="684" spans="1:24" hidden="1" x14ac:dyDescent="0.35">
      <c r="A684">
        <v>154</v>
      </c>
      <c r="B684">
        <v>2000056282</v>
      </c>
      <c r="C684" s="1">
        <v>45615</v>
      </c>
      <c r="D684" t="s">
        <v>3271</v>
      </c>
      <c r="E684" t="s">
        <v>18</v>
      </c>
      <c r="F684" t="s">
        <v>52</v>
      </c>
      <c r="G684" t="s">
        <v>1606</v>
      </c>
      <c r="H684" t="s">
        <v>3272</v>
      </c>
      <c r="I684" t="s">
        <v>41</v>
      </c>
      <c r="J684">
        <v>0.9</v>
      </c>
      <c r="K684">
        <v>3</v>
      </c>
      <c r="L684">
        <v>4</v>
      </c>
      <c r="M684">
        <v>0.92</v>
      </c>
      <c r="N684" t="s">
        <v>368</v>
      </c>
      <c r="O684" s="1">
        <v>46710</v>
      </c>
      <c r="S684" t="s">
        <v>915</v>
      </c>
      <c r="T684" s="5" t="s">
        <v>945</v>
      </c>
      <c r="U684" s="5" t="s">
        <v>931</v>
      </c>
      <c r="V684" t="s">
        <v>956</v>
      </c>
      <c r="W684" t="str">
        <f t="shared" si="10"/>
        <v>2000056282_202411</v>
      </c>
      <c r="X684" t="s">
        <v>1616</v>
      </c>
    </row>
    <row r="685" spans="1:24" hidden="1" x14ac:dyDescent="0.35">
      <c r="A685">
        <v>52</v>
      </c>
      <c r="B685">
        <v>2000056286</v>
      </c>
      <c r="C685" s="1">
        <v>44705</v>
      </c>
      <c r="D685" t="s">
        <v>446</v>
      </c>
      <c r="E685" t="s">
        <v>18</v>
      </c>
      <c r="F685" t="s">
        <v>39</v>
      </c>
      <c r="G685" t="s">
        <v>20</v>
      </c>
      <c r="H685" t="s">
        <v>447</v>
      </c>
      <c r="I685" t="s">
        <v>41</v>
      </c>
      <c r="J685">
        <v>0.875</v>
      </c>
      <c r="K685">
        <v>2.7</v>
      </c>
      <c r="L685">
        <v>4</v>
      </c>
      <c r="M685">
        <v>0.94</v>
      </c>
      <c r="N685" t="s">
        <v>28</v>
      </c>
      <c r="O685" s="1">
        <v>45436</v>
      </c>
      <c r="S685" t="s">
        <v>915</v>
      </c>
      <c r="T685" s="6" t="s">
        <v>947</v>
      </c>
      <c r="U685" s="6" t="s">
        <v>935</v>
      </c>
      <c r="V685" s="2" t="s">
        <v>954</v>
      </c>
      <c r="W685" t="str">
        <f t="shared" si="10"/>
        <v>2000056286_20225</v>
      </c>
      <c r="X685" s="2" t="s">
        <v>1615</v>
      </c>
    </row>
    <row r="686" spans="1:24" hidden="1" x14ac:dyDescent="0.35">
      <c r="A686">
        <v>34</v>
      </c>
      <c r="B686">
        <v>2000056286</v>
      </c>
      <c r="C686" s="1">
        <v>45434</v>
      </c>
      <c r="D686" t="s">
        <v>446</v>
      </c>
      <c r="E686" t="s">
        <v>18</v>
      </c>
      <c r="F686" t="s">
        <v>39</v>
      </c>
      <c r="G686" t="s">
        <v>20</v>
      </c>
      <c r="H686" t="s">
        <v>447</v>
      </c>
      <c r="I686" t="s">
        <v>41</v>
      </c>
      <c r="J686">
        <v>0.91200000000000003</v>
      </c>
      <c r="K686">
        <v>2.7</v>
      </c>
      <c r="L686">
        <v>2</v>
      </c>
      <c r="M686">
        <v>0.83</v>
      </c>
      <c r="N686" t="s">
        <v>28</v>
      </c>
      <c r="O686" s="1">
        <v>46164</v>
      </c>
      <c r="S686" t="s">
        <v>915</v>
      </c>
      <c r="T686" s="6" t="s">
        <v>947</v>
      </c>
      <c r="U686" s="6" t="s">
        <v>933</v>
      </c>
      <c r="V686" s="2" t="s">
        <v>956</v>
      </c>
      <c r="W686" t="str">
        <f t="shared" si="10"/>
        <v>2000056286_20245</v>
      </c>
      <c r="X686" s="2" t="s">
        <v>1615</v>
      </c>
    </row>
    <row r="687" spans="1:24" hidden="1" x14ac:dyDescent="0.35">
      <c r="A687">
        <v>5</v>
      </c>
      <c r="B687">
        <v>2000056289</v>
      </c>
      <c r="C687" s="1">
        <v>44280</v>
      </c>
      <c r="D687" t="s">
        <v>156</v>
      </c>
      <c r="E687" t="s">
        <v>18</v>
      </c>
      <c r="F687" t="s">
        <v>39</v>
      </c>
      <c r="G687" t="s">
        <v>149</v>
      </c>
      <c r="H687" t="s">
        <v>157</v>
      </c>
      <c r="I687" t="s">
        <v>41</v>
      </c>
      <c r="J687">
        <v>0.92600000000000005</v>
      </c>
      <c r="K687">
        <v>3</v>
      </c>
      <c r="L687">
        <v>3</v>
      </c>
      <c r="M687">
        <v>0.98</v>
      </c>
      <c r="N687" t="s">
        <v>28</v>
      </c>
      <c r="O687" s="1">
        <v>45010</v>
      </c>
      <c r="R687" t="s">
        <v>24</v>
      </c>
      <c r="S687" t="s">
        <v>915</v>
      </c>
      <c r="T687" s="6" t="s">
        <v>941</v>
      </c>
      <c r="U687" s="6" t="s">
        <v>922</v>
      </c>
      <c r="V687" s="2" t="s">
        <v>952</v>
      </c>
      <c r="W687" t="str">
        <f t="shared" si="10"/>
        <v>2000056289_20213</v>
      </c>
      <c r="X687" s="2" t="s">
        <v>1615</v>
      </c>
    </row>
    <row r="688" spans="1:24" hidden="1" x14ac:dyDescent="0.35">
      <c r="A688">
        <v>31</v>
      </c>
      <c r="B688">
        <v>2000056289</v>
      </c>
      <c r="C688" s="1">
        <v>43635</v>
      </c>
      <c r="D688" t="s">
        <v>156</v>
      </c>
      <c r="E688" t="s">
        <v>18</v>
      </c>
      <c r="F688" t="s">
        <v>39</v>
      </c>
      <c r="G688" t="s">
        <v>149</v>
      </c>
      <c r="H688" t="s">
        <v>1630</v>
      </c>
      <c r="I688" t="s">
        <v>41</v>
      </c>
      <c r="J688">
        <v>0.73199999999999998</v>
      </c>
      <c r="K688">
        <v>1.7</v>
      </c>
      <c r="L688">
        <v>14</v>
      </c>
      <c r="N688" t="s">
        <v>23</v>
      </c>
      <c r="O688" s="1">
        <v>44001</v>
      </c>
      <c r="S688" t="s">
        <v>915</v>
      </c>
      <c r="T688" s="5" t="s">
        <v>927</v>
      </c>
      <c r="U688" s="5">
        <v>19</v>
      </c>
      <c r="V688" t="s">
        <v>1618</v>
      </c>
      <c r="W688" t="str">
        <f t="shared" si="10"/>
        <v>2000056289_20196</v>
      </c>
      <c r="X688" s="2" t="s">
        <v>1615</v>
      </c>
    </row>
    <row r="689" spans="1:24" hidden="1" x14ac:dyDescent="0.35">
      <c r="A689">
        <v>8</v>
      </c>
      <c r="B689">
        <v>2000056289</v>
      </c>
      <c r="C689" s="1">
        <v>45377</v>
      </c>
      <c r="D689" t="s">
        <v>156</v>
      </c>
      <c r="E689" t="s">
        <v>18</v>
      </c>
      <c r="F689" t="s">
        <v>39</v>
      </c>
      <c r="G689" t="s">
        <v>149</v>
      </c>
      <c r="H689" t="s">
        <v>674</v>
      </c>
      <c r="I689" t="s">
        <v>148</v>
      </c>
      <c r="J689">
        <v>1</v>
      </c>
      <c r="K689">
        <v>3</v>
      </c>
      <c r="L689">
        <v>0</v>
      </c>
      <c r="M689">
        <v>0.98</v>
      </c>
      <c r="N689" t="s">
        <v>368</v>
      </c>
      <c r="O689" s="1">
        <v>46472</v>
      </c>
      <c r="S689" t="s">
        <v>915</v>
      </c>
      <c r="T689" s="6" t="s">
        <v>941</v>
      </c>
      <c r="U689" s="6" t="s">
        <v>924</v>
      </c>
      <c r="V689" s="2" t="s">
        <v>956</v>
      </c>
      <c r="W689" t="str">
        <f t="shared" si="10"/>
        <v>2000056289_20243</v>
      </c>
      <c r="X689" s="2" t="s">
        <v>1615</v>
      </c>
    </row>
    <row r="690" spans="1:24" hidden="1" x14ac:dyDescent="0.35">
      <c r="A690">
        <v>1</v>
      </c>
      <c r="B690">
        <v>2000056295</v>
      </c>
      <c r="C690" s="1">
        <v>45301</v>
      </c>
      <c r="D690" t="s">
        <v>2628</v>
      </c>
      <c r="E690" t="s">
        <v>18</v>
      </c>
      <c r="F690" t="s">
        <v>148</v>
      </c>
      <c r="G690" t="s">
        <v>1599</v>
      </c>
      <c r="H690" t="s">
        <v>1600</v>
      </c>
      <c r="I690" t="s">
        <v>148</v>
      </c>
      <c r="J690">
        <v>0.87</v>
      </c>
      <c r="K690">
        <v>3</v>
      </c>
      <c r="L690">
        <v>1</v>
      </c>
      <c r="M690">
        <v>0.81</v>
      </c>
      <c r="N690" t="s">
        <v>28</v>
      </c>
      <c r="O690" s="1">
        <v>46032</v>
      </c>
      <c r="R690" t="s">
        <v>1613</v>
      </c>
      <c r="S690" t="s">
        <v>915</v>
      </c>
      <c r="T690" s="5" t="s">
        <v>953</v>
      </c>
      <c r="U690" s="5" t="s">
        <v>948</v>
      </c>
      <c r="V690" t="s">
        <v>956</v>
      </c>
      <c r="W690" t="str">
        <f t="shared" si="10"/>
        <v>2000056295_20241</v>
      </c>
      <c r="X690" s="2" t="s">
        <v>1616</v>
      </c>
    </row>
    <row r="691" spans="1:24" hidden="1" x14ac:dyDescent="0.35">
      <c r="B691">
        <v>2000056295</v>
      </c>
      <c r="C691" s="1">
        <v>44574</v>
      </c>
      <c r="D691" t="s">
        <v>2628</v>
      </c>
      <c r="F691" t="s">
        <v>148</v>
      </c>
      <c r="G691" t="s">
        <v>1599</v>
      </c>
      <c r="H691" t="s">
        <v>1600</v>
      </c>
      <c r="I691" t="s">
        <v>148</v>
      </c>
      <c r="J691">
        <v>0.81299999999999994</v>
      </c>
      <c r="K691">
        <v>3</v>
      </c>
      <c r="L691">
        <v>7</v>
      </c>
      <c r="M691">
        <v>0.7</v>
      </c>
      <c r="N691" t="s">
        <v>2310</v>
      </c>
      <c r="O691" s="1">
        <v>45304</v>
      </c>
      <c r="S691" t="s">
        <v>915</v>
      </c>
      <c r="T691" s="6" t="s">
        <v>953</v>
      </c>
      <c r="U691" s="6" t="s">
        <v>950</v>
      </c>
      <c r="V691" s="2" t="s">
        <v>954</v>
      </c>
      <c r="W691" t="str">
        <f t="shared" si="10"/>
        <v>2000056295_20221</v>
      </c>
      <c r="X691" s="2" t="s">
        <v>1616</v>
      </c>
    </row>
    <row r="692" spans="1:24" hidden="1" x14ac:dyDescent="0.35">
      <c r="A692">
        <v>16</v>
      </c>
      <c r="B692">
        <v>2000056324</v>
      </c>
      <c r="C692" s="1">
        <v>44007</v>
      </c>
      <c r="D692" t="s">
        <v>64</v>
      </c>
      <c r="E692" t="s">
        <v>18</v>
      </c>
      <c r="F692" t="s">
        <v>39</v>
      </c>
      <c r="G692" t="s">
        <v>20</v>
      </c>
      <c r="H692" t="s">
        <v>65</v>
      </c>
      <c r="I692" t="s">
        <v>41</v>
      </c>
      <c r="J692">
        <v>0.8</v>
      </c>
      <c r="K692">
        <v>2.7</v>
      </c>
      <c r="L692">
        <v>3</v>
      </c>
      <c r="M692">
        <v>0.97299999999999998</v>
      </c>
      <c r="N692" t="s">
        <v>28</v>
      </c>
      <c r="O692" s="1">
        <v>44737</v>
      </c>
      <c r="S692" t="s">
        <v>915</v>
      </c>
      <c r="T692" s="6" t="s">
        <v>927</v>
      </c>
      <c r="U692" s="6" t="s">
        <v>922</v>
      </c>
      <c r="V692" s="2" t="s">
        <v>923</v>
      </c>
      <c r="W692" t="str">
        <f t="shared" si="10"/>
        <v>2000056324_20206</v>
      </c>
      <c r="X692" s="2" t="s">
        <v>1615</v>
      </c>
    </row>
    <row r="693" spans="1:24" hidden="1" x14ac:dyDescent="0.35">
      <c r="A693">
        <v>40</v>
      </c>
      <c r="B693">
        <v>2000056324</v>
      </c>
      <c r="C693" s="1">
        <v>45068</v>
      </c>
      <c r="D693" t="s">
        <v>64</v>
      </c>
      <c r="E693" t="s">
        <v>18</v>
      </c>
      <c r="F693" t="s">
        <v>39</v>
      </c>
      <c r="G693" t="s">
        <v>20</v>
      </c>
      <c r="H693" t="s">
        <v>579</v>
      </c>
      <c r="I693" t="s">
        <v>41</v>
      </c>
      <c r="J693">
        <v>0.87</v>
      </c>
      <c r="K693">
        <v>2.2999999999999998</v>
      </c>
      <c r="L693">
        <v>3</v>
      </c>
      <c r="M693">
        <v>0.94</v>
      </c>
      <c r="N693" t="s">
        <v>28</v>
      </c>
      <c r="O693" s="1">
        <v>45799</v>
      </c>
      <c r="S693" t="s">
        <v>915</v>
      </c>
      <c r="T693" s="6" t="s">
        <v>947</v>
      </c>
      <c r="U693" s="6" t="s">
        <v>933</v>
      </c>
      <c r="V693" s="2" t="s">
        <v>955</v>
      </c>
      <c r="W693" t="str">
        <f t="shared" si="10"/>
        <v>2000056324_20235</v>
      </c>
      <c r="X693" s="2" t="s">
        <v>1615</v>
      </c>
    </row>
    <row r="694" spans="1:24" hidden="1" x14ac:dyDescent="0.35">
      <c r="A694">
        <v>9</v>
      </c>
      <c r="B694">
        <v>1929200010</v>
      </c>
      <c r="C694" s="1">
        <v>45709</v>
      </c>
      <c r="D694" t="s">
        <v>3435</v>
      </c>
      <c r="E694" t="s">
        <v>18</v>
      </c>
      <c r="F694" t="s">
        <v>148</v>
      </c>
      <c r="G694" t="s">
        <v>116</v>
      </c>
      <c r="H694" t="s">
        <v>3436</v>
      </c>
      <c r="I694" t="s">
        <v>148</v>
      </c>
      <c r="J694">
        <v>0.93799999999999994</v>
      </c>
      <c r="K694">
        <v>3</v>
      </c>
      <c r="L694">
        <v>0</v>
      </c>
      <c r="M694">
        <v>0.86</v>
      </c>
      <c r="N694" t="s">
        <v>368</v>
      </c>
      <c r="O694" s="1">
        <v>46804</v>
      </c>
      <c r="Q694" t="s">
        <v>3437</v>
      </c>
      <c r="S694" t="s">
        <v>915</v>
      </c>
      <c r="T694" s="5" t="s">
        <v>921</v>
      </c>
      <c r="U694" s="5" t="s">
        <v>944</v>
      </c>
      <c r="V694" t="s">
        <v>1650</v>
      </c>
      <c r="W694" t="str">
        <f t="shared" si="10"/>
        <v>1929200010_20252</v>
      </c>
      <c r="X694" t="s">
        <v>1615</v>
      </c>
    </row>
    <row r="695" spans="1:24" hidden="1" x14ac:dyDescent="0.35">
      <c r="A695">
        <v>111</v>
      </c>
      <c r="B695">
        <v>2000056334</v>
      </c>
      <c r="C695" s="1">
        <v>45545</v>
      </c>
      <c r="D695" t="s">
        <v>1910</v>
      </c>
      <c r="E695" t="s">
        <v>18</v>
      </c>
      <c r="F695" t="s">
        <v>52</v>
      </c>
      <c r="G695" t="s">
        <v>1911</v>
      </c>
      <c r="H695" t="s">
        <v>1912</v>
      </c>
      <c r="I695" t="s">
        <v>41</v>
      </c>
      <c r="J695">
        <v>0.96199999999999997</v>
      </c>
      <c r="K695">
        <v>3</v>
      </c>
      <c r="L695">
        <v>1</v>
      </c>
      <c r="M695">
        <v>0.87</v>
      </c>
      <c r="N695" t="s">
        <v>368</v>
      </c>
      <c r="O695" s="1">
        <v>46640</v>
      </c>
      <c r="Q695" t="s">
        <v>1913</v>
      </c>
      <c r="S695" t="s">
        <v>915</v>
      </c>
      <c r="T695" s="5" t="s">
        <v>942</v>
      </c>
      <c r="U695" s="5" t="s">
        <v>948</v>
      </c>
      <c r="V695" t="s">
        <v>956</v>
      </c>
      <c r="W695" t="str">
        <f t="shared" si="10"/>
        <v>2000056334_20249</v>
      </c>
      <c r="X695" s="2" t="s">
        <v>1616</v>
      </c>
    </row>
    <row r="696" spans="1:24" hidden="1" x14ac:dyDescent="0.35">
      <c r="A696">
        <v>128</v>
      </c>
      <c r="B696">
        <v>2000056365</v>
      </c>
      <c r="C696" s="1">
        <v>45568</v>
      </c>
      <c r="D696" t="s">
        <v>3228</v>
      </c>
      <c r="E696" t="s">
        <v>18</v>
      </c>
      <c r="F696" t="s">
        <v>39</v>
      </c>
      <c r="G696" t="s">
        <v>1606</v>
      </c>
      <c r="H696" t="s">
        <v>3229</v>
      </c>
      <c r="I696" t="s">
        <v>41</v>
      </c>
      <c r="J696">
        <v>1</v>
      </c>
      <c r="K696">
        <v>3</v>
      </c>
      <c r="L696">
        <v>1</v>
      </c>
      <c r="M696">
        <v>0.91</v>
      </c>
      <c r="N696" t="s">
        <v>368</v>
      </c>
      <c r="O696" s="1">
        <v>46663</v>
      </c>
      <c r="R696" t="s">
        <v>1723</v>
      </c>
      <c r="S696" t="s">
        <v>915</v>
      </c>
      <c r="T696" s="5" t="s">
        <v>948</v>
      </c>
      <c r="U696" s="5" t="s">
        <v>941</v>
      </c>
      <c r="V696" t="s">
        <v>956</v>
      </c>
      <c r="W696" t="str">
        <f t="shared" si="10"/>
        <v>2000056365_202410</v>
      </c>
      <c r="X696" t="s">
        <v>1616</v>
      </c>
    </row>
    <row r="697" spans="1:24" hidden="1" x14ac:dyDescent="0.35">
      <c r="A697">
        <v>47</v>
      </c>
      <c r="B697">
        <v>2000056402</v>
      </c>
      <c r="C697" s="1">
        <v>44145</v>
      </c>
      <c r="D697" t="s">
        <v>129</v>
      </c>
      <c r="E697" t="s">
        <v>18</v>
      </c>
      <c r="F697" t="s">
        <v>39</v>
      </c>
      <c r="G697" t="s">
        <v>20</v>
      </c>
      <c r="H697" t="s">
        <v>130</v>
      </c>
      <c r="I697" t="s">
        <v>41</v>
      </c>
      <c r="J697">
        <v>0.83299999999999996</v>
      </c>
      <c r="K697">
        <v>2.6</v>
      </c>
      <c r="L697">
        <v>5</v>
      </c>
      <c r="M697">
        <v>0.81</v>
      </c>
      <c r="N697" t="s">
        <v>28</v>
      </c>
      <c r="O697" s="1">
        <v>44875</v>
      </c>
      <c r="S697" t="s">
        <v>915</v>
      </c>
      <c r="T697" s="6" t="s">
        <v>945</v>
      </c>
      <c r="U697" s="6" t="s">
        <v>948</v>
      </c>
      <c r="V697" s="2" t="s">
        <v>923</v>
      </c>
      <c r="W697" t="str">
        <f t="shared" si="10"/>
        <v>2000056402_202011</v>
      </c>
      <c r="X697" s="2" t="s">
        <v>1615</v>
      </c>
    </row>
    <row r="698" spans="1:24" hidden="1" x14ac:dyDescent="0.35">
      <c r="A698">
        <v>58</v>
      </c>
      <c r="B698">
        <v>2000056402</v>
      </c>
      <c r="C698" s="1">
        <v>44722</v>
      </c>
      <c r="D698" t="s">
        <v>129</v>
      </c>
      <c r="E698" t="s">
        <v>18</v>
      </c>
      <c r="F698" t="s">
        <v>373</v>
      </c>
      <c r="G698" t="s">
        <v>20</v>
      </c>
      <c r="H698" t="s">
        <v>458</v>
      </c>
      <c r="I698" t="s">
        <v>41</v>
      </c>
      <c r="J698">
        <v>0.86499999999999999</v>
      </c>
      <c r="K698">
        <v>2.2999999999999998</v>
      </c>
      <c r="L698">
        <v>3</v>
      </c>
      <c r="M698">
        <v>0.73</v>
      </c>
      <c r="N698" t="s">
        <v>28</v>
      </c>
      <c r="O698" s="1">
        <v>45453</v>
      </c>
      <c r="S698" t="s">
        <v>915</v>
      </c>
      <c r="T698" s="6" t="s">
        <v>927</v>
      </c>
      <c r="U698" s="6" t="s">
        <v>948</v>
      </c>
      <c r="V698" s="2" t="s">
        <v>954</v>
      </c>
      <c r="W698" t="str">
        <f t="shared" si="10"/>
        <v>2000056402_20226</v>
      </c>
      <c r="X698" s="2" t="s">
        <v>1615</v>
      </c>
    </row>
    <row r="699" spans="1:24" hidden="1" x14ac:dyDescent="0.35">
      <c r="A699">
        <v>42</v>
      </c>
      <c r="B699">
        <v>2000056402</v>
      </c>
      <c r="C699" s="1">
        <v>45453</v>
      </c>
      <c r="D699" t="s">
        <v>129</v>
      </c>
      <c r="E699" t="s">
        <v>18</v>
      </c>
      <c r="F699" t="s">
        <v>373</v>
      </c>
      <c r="G699" t="s">
        <v>20</v>
      </c>
      <c r="H699" t="s">
        <v>458</v>
      </c>
      <c r="I699" t="s">
        <v>41</v>
      </c>
      <c r="J699">
        <v>0.83299999999999996</v>
      </c>
      <c r="K699">
        <v>2.7</v>
      </c>
      <c r="L699">
        <v>3</v>
      </c>
      <c r="M699">
        <v>0.86</v>
      </c>
      <c r="N699" t="s">
        <v>28</v>
      </c>
      <c r="O699" s="1">
        <v>46183</v>
      </c>
      <c r="S699" t="s">
        <v>915</v>
      </c>
      <c r="T699" s="6" t="s">
        <v>927</v>
      </c>
      <c r="U699" s="6" t="s">
        <v>948</v>
      </c>
      <c r="V699" s="2" t="s">
        <v>956</v>
      </c>
      <c r="W699" t="str">
        <f t="shared" si="10"/>
        <v>2000056402_20246</v>
      </c>
      <c r="X699" s="2" t="s">
        <v>1615</v>
      </c>
    </row>
    <row r="700" spans="1:24" hidden="1" x14ac:dyDescent="0.35">
      <c r="A700">
        <v>70</v>
      </c>
      <c r="B700">
        <v>2000056414</v>
      </c>
      <c r="C700" s="1">
        <v>44462</v>
      </c>
      <c r="D700" t="s">
        <v>286</v>
      </c>
      <c r="E700" t="s">
        <v>18</v>
      </c>
      <c r="F700" t="s">
        <v>32</v>
      </c>
      <c r="G700" t="s">
        <v>245</v>
      </c>
      <c r="H700" t="s">
        <v>287</v>
      </c>
      <c r="I700" t="s">
        <v>41</v>
      </c>
      <c r="J700">
        <v>0.92600000000000005</v>
      </c>
      <c r="K700">
        <v>2.2999999999999998</v>
      </c>
      <c r="L700">
        <v>3</v>
      </c>
      <c r="M700">
        <v>0.89</v>
      </c>
      <c r="N700" t="s">
        <v>28</v>
      </c>
      <c r="O700" s="1">
        <v>45192</v>
      </c>
      <c r="S700" t="s">
        <v>915</v>
      </c>
      <c r="T700" s="6" t="s">
        <v>942</v>
      </c>
      <c r="U700" s="6" t="s">
        <v>934</v>
      </c>
      <c r="V700" s="2" t="s">
        <v>952</v>
      </c>
      <c r="W700" t="str">
        <f t="shared" si="10"/>
        <v>2000056414_20219</v>
      </c>
      <c r="X700" s="2" t="s">
        <v>1615</v>
      </c>
    </row>
    <row r="701" spans="1:24" hidden="1" x14ac:dyDescent="0.35">
      <c r="A701">
        <v>9</v>
      </c>
      <c r="B701">
        <v>1929200010</v>
      </c>
      <c r="C701" s="1">
        <v>45709</v>
      </c>
      <c r="D701" t="s">
        <v>3435</v>
      </c>
      <c r="E701" t="s">
        <v>18</v>
      </c>
      <c r="F701" t="s">
        <v>148</v>
      </c>
      <c r="G701" t="s">
        <v>116</v>
      </c>
      <c r="H701" t="s">
        <v>3436</v>
      </c>
      <c r="I701" t="s">
        <v>148</v>
      </c>
      <c r="J701">
        <v>0.93799999999999994</v>
      </c>
      <c r="K701">
        <v>3</v>
      </c>
      <c r="L701">
        <v>0</v>
      </c>
      <c r="M701">
        <v>0.86</v>
      </c>
      <c r="N701" t="s">
        <v>368</v>
      </c>
      <c r="O701" s="1">
        <v>46804</v>
      </c>
      <c r="Q701" t="s">
        <v>50</v>
      </c>
      <c r="S701" t="s">
        <v>915</v>
      </c>
      <c r="T701" s="5" t="s">
        <v>921</v>
      </c>
      <c r="U701" s="5" t="s">
        <v>944</v>
      </c>
      <c r="V701" t="s">
        <v>1650</v>
      </c>
      <c r="W701" t="str">
        <f t="shared" si="10"/>
        <v>1929200010_20252</v>
      </c>
      <c r="X701" t="s">
        <v>1615</v>
      </c>
    </row>
    <row r="702" spans="1:24" hidden="1" x14ac:dyDescent="0.35">
      <c r="B702">
        <v>2000056422</v>
      </c>
      <c r="C702" s="1">
        <v>43990</v>
      </c>
      <c r="D702" t="s">
        <v>2635</v>
      </c>
      <c r="F702" t="s">
        <v>43</v>
      </c>
      <c r="G702" t="s">
        <v>1606</v>
      </c>
      <c r="H702" t="s">
        <v>2636</v>
      </c>
      <c r="I702" t="s">
        <v>41</v>
      </c>
      <c r="J702">
        <v>0.88800000000000001</v>
      </c>
      <c r="K702">
        <v>3</v>
      </c>
      <c r="L702">
        <v>1</v>
      </c>
      <c r="M702">
        <v>0.95</v>
      </c>
      <c r="N702" t="s">
        <v>2310</v>
      </c>
      <c r="O702" s="1">
        <v>44720</v>
      </c>
      <c r="S702" t="s">
        <v>915</v>
      </c>
      <c r="T702" s="6" t="s">
        <v>927</v>
      </c>
      <c r="U702" s="6" t="s">
        <v>940</v>
      </c>
      <c r="V702" s="2" t="s">
        <v>923</v>
      </c>
      <c r="W702" t="str">
        <f t="shared" si="10"/>
        <v>2000056422_20206</v>
      </c>
      <c r="X702" s="2" t="s">
        <v>1616</v>
      </c>
    </row>
    <row r="703" spans="1:24" hidden="1" x14ac:dyDescent="0.35">
      <c r="B703">
        <v>2000056422</v>
      </c>
      <c r="C703" s="1">
        <v>44708</v>
      </c>
      <c r="D703" t="s">
        <v>2635</v>
      </c>
      <c r="F703" t="s">
        <v>52</v>
      </c>
      <c r="G703" t="s">
        <v>1606</v>
      </c>
      <c r="H703" t="s">
        <v>2636</v>
      </c>
      <c r="I703" t="s">
        <v>41</v>
      </c>
      <c r="J703">
        <v>1</v>
      </c>
      <c r="K703">
        <v>3</v>
      </c>
      <c r="L703">
        <v>0</v>
      </c>
      <c r="M703">
        <v>0.95</v>
      </c>
      <c r="N703" t="s">
        <v>2314</v>
      </c>
      <c r="O703" s="1">
        <v>45804</v>
      </c>
      <c r="S703" t="s">
        <v>915</v>
      </c>
      <c r="T703" s="6" t="s">
        <v>947</v>
      </c>
      <c r="U703" s="6" t="s">
        <v>925</v>
      </c>
      <c r="V703" s="2" t="s">
        <v>954</v>
      </c>
      <c r="W703" t="str">
        <f t="shared" si="10"/>
        <v>2000056422_20225</v>
      </c>
      <c r="X703" s="2" t="s">
        <v>1616</v>
      </c>
    </row>
    <row r="704" spans="1:24" hidden="1" x14ac:dyDescent="0.35">
      <c r="B704">
        <v>2000056425</v>
      </c>
      <c r="C704" s="1">
        <v>43538</v>
      </c>
      <c r="D704" t="s">
        <v>2637</v>
      </c>
      <c r="F704" t="s">
        <v>19</v>
      </c>
      <c r="G704" t="s">
        <v>1609</v>
      </c>
      <c r="H704" t="s">
        <v>2638</v>
      </c>
      <c r="I704" t="s">
        <v>22</v>
      </c>
      <c r="J704">
        <v>0.67300000000000004</v>
      </c>
      <c r="K704">
        <v>2.2000000000000002</v>
      </c>
      <c r="L704">
        <v>4</v>
      </c>
      <c r="N704" t="s">
        <v>2310</v>
      </c>
      <c r="O704" s="1">
        <v>44269</v>
      </c>
      <c r="S704" t="s">
        <v>915</v>
      </c>
      <c r="T704" s="6" t="s">
        <v>941</v>
      </c>
      <c r="U704" s="6" t="s">
        <v>951</v>
      </c>
      <c r="V704" s="2" t="s">
        <v>1618</v>
      </c>
      <c r="W704" t="str">
        <f t="shared" si="10"/>
        <v>2000056425_20193</v>
      </c>
      <c r="X704" s="2" t="s">
        <v>1616</v>
      </c>
    </row>
    <row r="705" spans="1:24" hidden="1" x14ac:dyDescent="0.35">
      <c r="B705">
        <v>2000056425</v>
      </c>
      <c r="C705" s="1">
        <v>44293</v>
      </c>
      <c r="D705" t="s">
        <v>2637</v>
      </c>
      <c r="F705" t="s">
        <v>39</v>
      </c>
      <c r="G705" t="s">
        <v>1606</v>
      </c>
      <c r="H705" t="s">
        <v>2639</v>
      </c>
      <c r="I705" t="s">
        <v>41</v>
      </c>
      <c r="J705">
        <v>0.89700000000000002</v>
      </c>
      <c r="K705">
        <v>3</v>
      </c>
      <c r="L705">
        <v>4</v>
      </c>
      <c r="M705">
        <v>0.93</v>
      </c>
      <c r="N705" t="s">
        <v>2310</v>
      </c>
      <c r="O705" s="1">
        <v>45023</v>
      </c>
      <c r="S705" t="s">
        <v>915</v>
      </c>
      <c r="T705" s="6" t="s">
        <v>946</v>
      </c>
      <c r="U705" s="6" t="s">
        <v>936</v>
      </c>
      <c r="V705" s="2" t="s">
        <v>952</v>
      </c>
      <c r="W705" t="str">
        <f t="shared" si="10"/>
        <v>2000056425_20214</v>
      </c>
      <c r="X705" s="2" t="s">
        <v>1616</v>
      </c>
    </row>
    <row r="706" spans="1:24" hidden="1" x14ac:dyDescent="0.35">
      <c r="B706">
        <v>2000056425</v>
      </c>
      <c r="C706" s="1">
        <v>45054</v>
      </c>
      <c r="D706" t="s">
        <v>2637</v>
      </c>
      <c r="F706" t="s">
        <v>39</v>
      </c>
      <c r="G706" t="s">
        <v>1606</v>
      </c>
      <c r="H706" t="s">
        <v>2640</v>
      </c>
      <c r="I706" t="s">
        <v>41</v>
      </c>
      <c r="J706">
        <v>0.88900000000000001</v>
      </c>
      <c r="K706">
        <v>3</v>
      </c>
      <c r="L706">
        <v>1</v>
      </c>
      <c r="M706">
        <v>0.92</v>
      </c>
      <c r="N706" t="s">
        <v>2310</v>
      </c>
      <c r="O706" s="1">
        <v>45785</v>
      </c>
      <c r="S706" t="s">
        <v>915</v>
      </c>
      <c r="T706" s="6" t="s">
        <v>947</v>
      </c>
      <c r="U706" s="6" t="s">
        <v>940</v>
      </c>
      <c r="V706" s="2" t="s">
        <v>955</v>
      </c>
      <c r="W706" t="str">
        <f t="shared" ref="W706:W769" si="11">CONCATENATE(B706,"_",V706,T706)</f>
        <v>2000056425_20235</v>
      </c>
      <c r="X706" s="2" t="s">
        <v>1616</v>
      </c>
    </row>
    <row r="707" spans="1:24" hidden="1" x14ac:dyDescent="0.35">
      <c r="A707">
        <v>31</v>
      </c>
      <c r="B707">
        <v>2000057754</v>
      </c>
      <c r="C707" s="1">
        <v>45733</v>
      </c>
      <c r="D707" t="s">
        <v>3538</v>
      </c>
      <c r="E707" t="s">
        <v>18</v>
      </c>
      <c r="F707" t="s">
        <v>52</v>
      </c>
      <c r="G707" t="s">
        <v>1606</v>
      </c>
      <c r="H707" t="s">
        <v>3539</v>
      </c>
      <c r="I707" t="s">
        <v>41</v>
      </c>
      <c r="J707">
        <v>1</v>
      </c>
      <c r="K707">
        <v>3</v>
      </c>
      <c r="L707">
        <v>0</v>
      </c>
      <c r="M707">
        <v>0.87</v>
      </c>
      <c r="N707" t="s">
        <v>2314</v>
      </c>
      <c r="O707" s="1">
        <v>46829</v>
      </c>
      <c r="R707" t="s">
        <v>3533</v>
      </c>
      <c r="S707" t="s">
        <v>915</v>
      </c>
      <c r="T707" s="5" t="s">
        <v>941</v>
      </c>
      <c r="U707" s="5" t="s">
        <v>929</v>
      </c>
      <c r="V707" t="s">
        <v>1650</v>
      </c>
      <c r="W707" t="str">
        <f t="shared" si="11"/>
        <v>2000057754_20253</v>
      </c>
      <c r="X707" t="s">
        <v>1616</v>
      </c>
    </row>
    <row r="708" spans="1:24" hidden="1" x14ac:dyDescent="0.35">
      <c r="B708">
        <v>2000056438</v>
      </c>
      <c r="C708" s="1">
        <v>44006</v>
      </c>
      <c r="D708" t="s">
        <v>2641</v>
      </c>
      <c r="F708" t="s">
        <v>19</v>
      </c>
      <c r="G708" t="s">
        <v>1720</v>
      </c>
      <c r="H708" t="s">
        <v>2642</v>
      </c>
      <c r="I708" t="s">
        <v>22</v>
      </c>
      <c r="J708">
        <v>0.94099999999999995</v>
      </c>
      <c r="K708">
        <v>3</v>
      </c>
      <c r="L708">
        <v>1</v>
      </c>
      <c r="M708">
        <v>0.8</v>
      </c>
      <c r="N708" t="s">
        <v>2310</v>
      </c>
      <c r="O708" s="1">
        <v>44736</v>
      </c>
      <c r="S708" t="s">
        <v>915</v>
      </c>
      <c r="T708" s="6" t="s">
        <v>927</v>
      </c>
      <c r="U708" s="6" t="s">
        <v>935</v>
      </c>
      <c r="V708" s="2" t="s">
        <v>923</v>
      </c>
      <c r="W708" t="str">
        <f t="shared" si="11"/>
        <v>2000056438_20206</v>
      </c>
      <c r="X708" s="2" t="s">
        <v>1616</v>
      </c>
    </row>
    <row r="709" spans="1:24" hidden="1" x14ac:dyDescent="0.35">
      <c r="B709">
        <v>2000056438</v>
      </c>
      <c r="C709" s="1">
        <v>44707</v>
      </c>
      <c r="D709" t="s">
        <v>2641</v>
      </c>
      <c r="F709" t="s">
        <v>19</v>
      </c>
      <c r="G709" t="s">
        <v>1720</v>
      </c>
      <c r="H709" t="s">
        <v>2643</v>
      </c>
      <c r="I709" t="s">
        <v>22</v>
      </c>
      <c r="J709">
        <v>0.98299999999999998</v>
      </c>
      <c r="K709">
        <v>3</v>
      </c>
      <c r="L709">
        <v>0</v>
      </c>
      <c r="M709">
        <v>0.93</v>
      </c>
      <c r="N709" t="s">
        <v>2314</v>
      </c>
      <c r="O709" s="1">
        <v>45803</v>
      </c>
      <c r="S709" t="s">
        <v>915</v>
      </c>
      <c r="T709" s="6" t="s">
        <v>947</v>
      </c>
      <c r="U709" s="6" t="s">
        <v>924</v>
      </c>
      <c r="V709" s="2" t="s">
        <v>954</v>
      </c>
      <c r="W709" t="str">
        <f t="shared" si="11"/>
        <v>2000056438_20225</v>
      </c>
      <c r="X709" s="2" t="s">
        <v>1616</v>
      </c>
    </row>
    <row r="710" spans="1:24" hidden="1" x14ac:dyDescent="0.35">
      <c r="A710">
        <v>32</v>
      </c>
      <c r="B710">
        <v>2000049910</v>
      </c>
      <c r="C710" s="1">
        <v>45734</v>
      </c>
      <c r="D710" t="s">
        <v>2765</v>
      </c>
      <c r="E710" t="s">
        <v>18</v>
      </c>
      <c r="F710" t="s">
        <v>43</v>
      </c>
      <c r="G710" t="s">
        <v>1606</v>
      </c>
      <c r="H710" t="s">
        <v>3540</v>
      </c>
      <c r="I710" t="s">
        <v>22</v>
      </c>
      <c r="J710">
        <v>0.98499999999999999</v>
      </c>
      <c r="K710">
        <v>3</v>
      </c>
      <c r="L710">
        <v>0</v>
      </c>
      <c r="M710">
        <v>0.96</v>
      </c>
      <c r="N710" t="s">
        <v>2314</v>
      </c>
      <c r="O710" s="1">
        <v>46830</v>
      </c>
      <c r="P710" t="s">
        <v>3541</v>
      </c>
      <c r="R710" t="s">
        <v>1613</v>
      </c>
      <c r="S710" t="s">
        <v>915</v>
      </c>
      <c r="T710" s="5" t="s">
        <v>941</v>
      </c>
      <c r="U710" s="5" t="s">
        <v>930</v>
      </c>
      <c r="V710" t="s">
        <v>1650</v>
      </c>
      <c r="W710" t="str">
        <f t="shared" si="11"/>
        <v>2000049910_20253</v>
      </c>
      <c r="X710" t="s">
        <v>1616</v>
      </c>
    </row>
    <row r="711" spans="1:24" hidden="1" x14ac:dyDescent="0.35">
      <c r="A711">
        <v>39</v>
      </c>
      <c r="B711">
        <v>2000056447</v>
      </c>
      <c r="C711" s="1">
        <v>44104</v>
      </c>
      <c r="D711" t="s">
        <v>112</v>
      </c>
      <c r="E711" t="s">
        <v>18</v>
      </c>
      <c r="F711" t="s">
        <v>52</v>
      </c>
      <c r="G711" t="s">
        <v>113</v>
      </c>
      <c r="H711" t="s">
        <v>114</v>
      </c>
      <c r="I711" t="s">
        <v>41</v>
      </c>
      <c r="J711">
        <v>0.83299999999999996</v>
      </c>
      <c r="K711">
        <v>3</v>
      </c>
      <c r="L711">
        <v>3</v>
      </c>
      <c r="M711">
        <v>0.75</v>
      </c>
      <c r="N711" t="s">
        <v>28</v>
      </c>
      <c r="O711" s="1">
        <v>44834</v>
      </c>
      <c r="S711" t="s">
        <v>915</v>
      </c>
      <c r="T711" s="6" t="s">
        <v>942</v>
      </c>
      <c r="U711" s="6" t="s">
        <v>938</v>
      </c>
      <c r="V711" s="2" t="s">
        <v>923</v>
      </c>
      <c r="W711" t="str">
        <f t="shared" si="11"/>
        <v>2000056447_20209</v>
      </c>
      <c r="X711" s="2" t="s">
        <v>1615</v>
      </c>
    </row>
    <row r="712" spans="1:24" hidden="1" x14ac:dyDescent="0.35">
      <c r="A712">
        <v>97</v>
      </c>
      <c r="B712">
        <v>2000056447</v>
      </c>
      <c r="C712" s="1">
        <v>44834</v>
      </c>
      <c r="D712" t="s">
        <v>112</v>
      </c>
      <c r="E712" t="s">
        <v>18</v>
      </c>
      <c r="F712" t="s">
        <v>373</v>
      </c>
      <c r="G712" t="s">
        <v>20</v>
      </c>
      <c r="H712" t="s">
        <v>516</v>
      </c>
      <c r="I712" t="s">
        <v>41</v>
      </c>
      <c r="J712">
        <v>0.9</v>
      </c>
      <c r="K712">
        <v>2.6</v>
      </c>
      <c r="L712">
        <v>4</v>
      </c>
      <c r="M712">
        <v>0.74</v>
      </c>
      <c r="N712" t="s">
        <v>28</v>
      </c>
      <c r="O712" s="1">
        <v>45565</v>
      </c>
      <c r="S712" t="s">
        <v>915</v>
      </c>
      <c r="T712" s="6" t="s">
        <v>942</v>
      </c>
      <c r="U712" s="6" t="s">
        <v>938</v>
      </c>
      <c r="V712" s="2" t="s">
        <v>954</v>
      </c>
      <c r="W712" t="str">
        <f t="shared" si="11"/>
        <v>2000056447_20229</v>
      </c>
      <c r="X712" s="2" t="s">
        <v>1615</v>
      </c>
    </row>
    <row r="713" spans="1:24" hidden="1" x14ac:dyDescent="0.35">
      <c r="A713">
        <v>32</v>
      </c>
      <c r="B713">
        <v>2000056451</v>
      </c>
      <c r="C713" s="1">
        <v>44096</v>
      </c>
      <c r="D713" t="s">
        <v>101</v>
      </c>
      <c r="E713" t="s">
        <v>18</v>
      </c>
      <c r="F713" t="s">
        <v>32</v>
      </c>
      <c r="G713" t="s">
        <v>20</v>
      </c>
      <c r="H713" t="s">
        <v>102</v>
      </c>
      <c r="I713" t="s">
        <v>41</v>
      </c>
      <c r="J713">
        <v>0.65200000000000002</v>
      </c>
      <c r="K713">
        <v>2</v>
      </c>
      <c r="L713">
        <v>7</v>
      </c>
      <c r="M713">
        <v>0.91</v>
      </c>
      <c r="N713" t="s">
        <v>23</v>
      </c>
      <c r="O713" s="1">
        <v>44461</v>
      </c>
      <c r="S713" t="s">
        <v>915</v>
      </c>
      <c r="T713" s="6" t="s">
        <v>942</v>
      </c>
      <c r="U713" s="6" t="s">
        <v>933</v>
      </c>
      <c r="V713" s="2" t="s">
        <v>923</v>
      </c>
      <c r="W713" t="str">
        <f t="shared" si="11"/>
        <v>2000056451_20209</v>
      </c>
      <c r="X713" s="2" t="s">
        <v>1615</v>
      </c>
    </row>
    <row r="714" spans="1:24" hidden="1" x14ac:dyDescent="0.35">
      <c r="A714">
        <v>92</v>
      </c>
      <c r="B714">
        <v>2000056451</v>
      </c>
      <c r="C714" s="1">
        <v>44827</v>
      </c>
      <c r="D714" t="s">
        <v>101</v>
      </c>
      <c r="E714" t="s">
        <v>18</v>
      </c>
      <c r="F714" t="s">
        <v>32</v>
      </c>
      <c r="G714" t="s">
        <v>20</v>
      </c>
      <c r="H714" t="s">
        <v>102</v>
      </c>
      <c r="I714" t="s">
        <v>41</v>
      </c>
      <c r="J714">
        <v>0.82399999999999995</v>
      </c>
      <c r="K714">
        <v>2.6</v>
      </c>
      <c r="L714">
        <v>1</v>
      </c>
      <c r="M714">
        <v>0.86</v>
      </c>
      <c r="N714" t="s">
        <v>28</v>
      </c>
      <c r="O714" s="1">
        <v>45558</v>
      </c>
      <c r="S714" t="s">
        <v>915</v>
      </c>
      <c r="T714" s="6" t="s">
        <v>942</v>
      </c>
      <c r="U714" s="6" t="s">
        <v>934</v>
      </c>
      <c r="V714" s="2" t="s">
        <v>954</v>
      </c>
      <c r="W714" t="str">
        <f t="shared" si="11"/>
        <v>2000056451_20229</v>
      </c>
      <c r="X714" s="2" t="s">
        <v>1615</v>
      </c>
    </row>
    <row r="715" spans="1:24" hidden="1" x14ac:dyDescent="0.35">
      <c r="A715">
        <v>71</v>
      </c>
      <c r="B715">
        <v>2000056451</v>
      </c>
      <c r="C715" s="1">
        <v>45559</v>
      </c>
      <c r="D715" t="s">
        <v>101</v>
      </c>
      <c r="E715" t="s">
        <v>18</v>
      </c>
      <c r="F715" t="s">
        <v>32</v>
      </c>
      <c r="G715" t="s">
        <v>20</v>
      </c>
      <c r="H715" t="s">
        <v>620</v>
      </c>
      <c r="I715" t="s">
        <v>39</v>
      </c>
      <c r="J715">
        <v>0.88200000000000001</v>
      </c>
      <c r="K715">
        <v>3</v>
      </c>
      <c r="L715">
        <v>1</v>
      </c>
      <c r="M715">
        <v>0.78</v>
      </c>
      <c r="N715" t="s">
        <v>28</v>
      </c>
      <c r="O715" s="1">
        <v>46289</v>
      </c>
      <c r="S715" t="s">
        <v>915</v>
      </c>
      <c r="T715" s="6" t="s">
        <v>942</v>
      </c>
      <c r="U715" s="6" t="s">
        <v>935</v>
      </c>
      <c r="V715" s="2" t="s">
        <v>956</v>
      </c>
      <c r="W715" t="str">
        <f t="shared" si="11"/>
        <v>2000056451_20249</v>
      </c>
      <c r="X715" s="2" t="s">
        <v>1615</v>
      </c>
    </row>
    <row r="716" spans="1:24" hidden="1" x14ac:dyDescent="0.35">
      <c r="B716">
        <v>2000056468</v>
      </c>
      <c r="C716" s="1">
        <v>43402</v>
      </c>
      <c r="D716" t="s">
        <v>2647</v>
      </c>
      <c r="F716" t="s">
        <v>19</v>
      </c>
      <c r="G716" t="s">
        <v>1820</v>
      </c>
      <c r="H716" t="s">
        <v>2648</v>
      </c>
      <c r="I716" t="s">
        <v>22</v>
      </c>
      <c r="J716">
        <v>0.71</v>
      </c>
      <c r="K716">
        <v>1.8</v>
      </c>
      <c r="L716">
        <v>13</v>
      </c>
      <c r="N716" t="str">
        <f>IF(K716&gt;=2.1,"2 years",IF(K716&gt;=1.1,"1 Year","06 Months"))</f>
        <v>1 Year</v>
      </c>
      <c r="O716" s="1">
        <f>C716+(365*1)</f>
        <v>43767</v>
      </c>
      <c r="S716" t="s">
        <v>915</v>
      </c>
      <c r="T716" s="6" t="s">
        <v>948</v>
      </c>
      <c r="U716" s="6" t="s">
        <v>937</v>
      </c>
      <c r="V716" s="2" t="s">
        <v>2475</v>
      </c>
      <c r="W716" t="str">
        <f t="shared" si="11"/>
        <v>2000056468_201810</v>
      </c>
      <c r="X716" s="2" t="s">
        <v>1616</v>
      </c>
    </row>
    <row r="717" spans="1:24" hidden="1" x14ac:dyDescent="0.35">
      <c r="B717">
        <v>2000056468</v>
      </c>
      <c r="C717" s="1">
        <v>43725</v>
      </c>
      <c r="D717" t="s">
        <v>2647</v>
      </c>
      <c r="F717" t="s">
        <v>19</v>
      </c>
      <c r="G717" t="s">
        <v>1820</v>
      </c>
      <c r="H717" t="s">
        <v>2649</v>
      </c>
      <c r="I717" t="s">
        <v>22</v>
      </c>
      <c r="J717">
        <v>0.69</v>
      </c>
      <c r="K717">
        <v>2</v>
      </c>
      <c r="L717">
        <v>13</v>
      </c>
      <c r="N717" t="s">
        <v>23</v>
      </c>
      <c r="O717" s="1">
        <v>44091</v>
      </c>
      <c r="S717" t="s">
        <v>915</v>
      </c>
      <c r="T717" s="6" t="s">
        <v>942</v>
      </c>
      <c r="U717" s="6" t="s">
        <v>929</v>
      </c>
      <c r="V717" s="2" t="s">
        <v>1618</v>
      </c>
      <c r="W717" t="str">
        <f t="shared" si="11"/>
        <v>2000056468_20199</v>
      </c>
      <c r="X717" s="2" t="s">
        <v>1616</v>
      </c>
    </row>
    <row r="718" spans="1:24" hidden="1" x14ac:dyDescent="0.35">
      <c r="B718">
        <v>2000056468</v>
      </c>
      <c r="C718" s="1">
        <v>44091</v>
      </c>
      <c r="D718" t="s">
        <v>2647</v>
      </c>
      <c r="F718" t="s">
        <v>19</v>
      </c>
      <c r="G718" t="s">
        <v>1720</v>
      </c>
      <c r="H718" t="s">
        <v>2650</v>
      </c>
      <c r="I718" t="s">
        <v>22</v>
      </c>
      <c r="J718">
        <v>0.7</v>
      </c>
      <c r="K718">
        <v>2.6</v>
      </c>
      <c r="L718">
        <v>4</v>
      </c>
      <c r="M718">
        <v>0.73</v>
      </c>
      <c r="N718" t="s">
        <v>2310</v>
      </c>
      <c r="O718" s="1">
        <v>44821</v>
      </c>
      <c r="S718" t="s">
        <v>915</v>
      </c>
      <c r="T718" s="6" t="s">
        <v>942</v>
      </c>
      <c r="U718" s="6" t="s">
        <v>929</v>
      </c>
      <c r="V718" s="2" t="s">
        <v>923</v>
      </c>
      <c r="W718" t="str">
        <f t="shared" si="11"/>
        <v>2000056468_20209</v>
      </c>
      <c r="X718" s="2" t="s">
        <v>1616</v>
      </c>
    </row>
    <row r="719" spans="1:24" hidden="1" x14ac:dyDescent="0.35">
      <c r="B719">
        <v>2000056468</v>
      </c>
      <c r="C719" s="1">
        <v>44790</v>
      </c>
      <c r="D719" t="s">
        <v>2647</v>
      </c>
      <c r="F719" t="s">
        <v>19</v>
      </c>
      <c r="G719" t="s">
        <v>1720</v>
      </c>
      <c r="H719" t="s">
        <v>2651</v>
      </c>
      <c r="I719" t="s">
        <v>22</v>
      </c>
      <c r="J719">
        <v>0.93500000000000005</v>
      </c>
      <c r="K719">
        <v>3</v>
      </c>
      <c r="L719">
        <v>3</v>
      </c>
      <c r="M719">
        <v>0.93</v>
      </c>
      <c r="N719" t="s">
        <v>2314</v>
      </c>
      <c r="O719" s="1">
        <v>45886</v>
      </c>
      <c r="S719" t="s">
        <v>915</v>
      </c>
      <c r="T719" s="6" t="s">
        <v>940</v>
      </c>
      <c r="U719" s="6" t="s">
        <v>929</v>
      </c>
      <c r="V719" s="2" t="s">
        <v>954</v>
      </c>
      <c r="W719" t="str">
        <f t="shared" si="11"/>
        <v>2000056468_20228</v>
      </c>
      <c r="X719" s="2" t="s">
        <v>1616</v>
      </c>
    </row>
    <row r="720" spans="1:24" hidden="1" x14ac:dyDescent="0.35">
      <c r="A720">
        <v>5</v>
      </c>
      <c r="B720">
        <v>2000056483</v>
      </c>
      <c r="C720" s="1">
        <v>44980</v>
      </c>
      <c r="D720" t="s">
        <v>541</v>
      </c>
      <c r="E720" t="s">
        <v>18</v>
      </c>
      <c r="F720" t="s">
        <v>19</v>
      </c>
      <c r="G720" t="s">
        <v>542</v>
      </c>
      <c r="H720" t="s">
        <v>543</v>
      </c>
      <c r="I720" t="s">
        <v>22</v>
      </c>
      <c r="J720">
        <v>0.88900000000000001</v>
      </c>
      <c r="K720">
        <v>3</v>
      </c>
      <c r="L720">
        <v>2</v>
      </c>
      <c r="M720">
        <v>0.83</v>
      </c>
      <c r="N720" t="s">
        <v>28</v>
      </c>
      <c r="O720" s="1">
        <v>45711</v>
      </c>
      <c r="Q720" t="s">
        <v>544</v>
      </c>
      <c r="S720" t="s">
        <v>915</v>
      </c>
      <c r="T720" s="6" t="s">
        <v>921</v>
      </c>
      <c r="U720" s="6" t="s">
        <v>934</v>
      </c>
      <c r="V720" s="2" t="s">
        <v>955</v>
      </c>
      <c r="W720" t="str">
        <f t="shared" si="11"/>
        <v>2000056483_20232</v>
      </c>
      <c r="X720" s="2" t="s">
        <v>1615</v>
      </c>
    </row>
    <row r="721" spans="1:24" s="9" customFormat="1" hidden="1" x14ac:dyDescent="0.35">
      <c r="A721" s="9">
        <v>10</v>
      </c>
      <c r="B721" s="9">
        <v>2000067971</v>
      </c>
      <c r="C721" s="13">
        <v>45712</v>
      </c>
      <c r="D721" s="9" t="s">
        <v>3438</v>
      </c>
      <c r="E721" s="9" t="s">
        <v>18</v>
      </c>
      <c r="F721" s="9" t="s">
        <v>473</v>
      </c>
      <c r="G721" s="9" t="s">
        <v>92</v>
      </c>
      <c r="H721" s="9" t="s">
        <v>3439</v>
      </c>
      <c r="I721" s="9" t="s">
        <v>41</v>
      </c>
      <c r="J721" s="9">
        <v>0.83299999999999996</v>
      </c>
      <c r="K721" s="9">
        <v>2.7</v>
      </c>
      <c r="L721" s="9">
        <v>3</v>
      </c>
      <c r="M721" s="9">
        <v>0.61</v>
      </c>
      <c r="N721" s="9" t="s">
        <v>28</v>
      </c>
      <c r="O721" s="13">
        <v>46442</v>
      </c>
      <c r="S721" s="9" t="s">
        <v>915</v>
      </c>
      <c r="T721" s="14" t="s">
        <v>921</v>
      </c>
      <c r="U721" s="14" t="s">
        <v>935</v>
      </c>
      <c r="V721" s="9" t="s">
        <v>1650</v>
      </c>
      <c r="W721" s="9" t="str">
        <f t="shared" si="11"/>
        <v>2000067971_20252</v>
      </c>
      <c r="X721" s="9" t="s">
        <v>1615</v>
      </c>
    </row>
    <row r="722" spans="1:24" s="9" customFormat="1" hidden="1" x14ac:dyDescent="0.35">
      <c r="A722" s="9">
        <v>10</v>
      </c>
      <c r="B722" s="9">
        <v>2000067971</v>
      </c>
      <c r="C722" s="13">
        <v>45712</v>
      </c>
      <c r="D722" s="9" t="s">
        <v>3438</v>
      </c>
      <c r="E722" s="9" t="s">
        <v>18</v>
      </c>
      <c r="F722" s="9" t="s">
        <v>473</v>
      </c>
      <c r="G722" s="9" t="s">
        <v>92</v>
      </c>
      <c r="H722" s="9" t="s">
        <v>3439</v>
      </c>
      <c r="I722" s="9" t="s">
        <v>41</v>
      </c>
      <c r="J722" s="9">
        <v>0.83299999999999996</v>
      </c>
      <c r="K722" s="9">
        <v>2.7</v>
      </c>
      <c r="L722" s="9">
        <v>3</v>
      </c>
      <c r="M722" s="9">
        <v>0.61</v>
      </c>
      <c r="N722" s="9" t="s">
        <v>28</v>
      </c>
      <c r="O722" s="13">
        <v>46442</v>
      </c>
      <c r="S722" s="9" t="s">
        <v>915</v>
      </c>
      <c r="T722" s="14" t="s">
        <v>921</v>
      </c>
      <c r="U722" s="14" t="s">
        <v>935</v>
      </c>
      <c r="V722" s="9" t="s">
        <v>1650</v>
      </c>
      <c r="W722" s="9" t="str">
        <f t="shared" si="11"/>
        <v>2000067971_20252</v>
      </c>
      <c r="X722" s="9" t="s">
        <v>1615</v>
      </c>
    </row>
    <row r="723" spans="1:24" hidden="1" x14ac:dyDescent="0.35">
      <c r="A723">
        <v>3</v>
      </c>
      <c r="B723">
        <v>2000056486</v>
      </c>
      <c r="C723" s="1">
        <v>44279</v>
      </c>
      <c r="D723" t="s">
        <v>153</v>
      </c>
      <c r="E723" t="s">
        <v>18</v>
      </c>
      <c r="F723" t="s">
        <v>32</v>
      </c>
      <c r="G723" t="s">
        <v>149</v>
      </c>
      <c r="H723" t="s">
        <v>154</v>
      </c>
      <c r="I723" t="s">
        <v>41</v>
      </c>
      <c r="J723">
        <v>1</v>
      </c>
      <c r="K723">
        <v>2.7</v>
      </c>
      <c r="L723">
        <v>0</v>
      </c>
      <c r="M723">
        <v>0.95</v>
      </c>
      <c r="N723" t="s">
        <v>28</v>
      </c>
      <c r="O723" s="1">
        <v>45009</v>
      </c>
      <c r="R723" t="s">
        <v>24</v>
      </c>
      <c r="S723" t="s">
        <v>915</v>
      </c>
      <c r="T723" s="6" t="s">
        <v>941</v>
      </c>
      <c r="U723" s="6" t="s">
        <v>935</v>
      </c>
      <c r="V723" s="2" t="s">
        <v>952</v>
      </c>
      <c r="W723" t="str">
        <f t="shared" si="11"/>
        <v>2000056486_20213</v>
      </c>
      <c r="X723" s="2" t="s">
        <v>1615</v>
      </c>
    </row>
    <row r="724" spans="1:24" hidden="1" x14ac:dyDescent="0.35">
      <c r="A724">
        <v>9</v>
      </c>
      <c r="B724">
        <v>2000056486</v>
      </c>
      <c r="C724" s="1">
        <v>44999</v>
      </c>
      <c r="D724" t="s">
        <v>153</v>
      </c>
      <c r="E724" t="s">
        <v>18</v>
      </c>
      <c r="F724" t="s">
        <v>32</v>
      </c>
      <c r="G724" t="s">
        <v>149</v>
      </c>
      <c r="H724" t="s">
        <v>154</v>
      </c>
      <c r="I724" t="s">
        <v>41</v>
      </c>
      <c r="J724">
        <v>1</v>
      </c>
      <c r="K724">
        <v>3</v>
      </c>
      <c r="L724">
        <v>0</v>
      </c>
      <c r="M724">
        <v>0.98</v>
      </c>
      <c r="N724" t="s">
        <v>368</v>
      </c>
      <c r="O724" s="1">
        <v>46095</v>
      </c>
      <c r="S724" t="s">
        <v>915</v>
      </c>
      <c r="T724" s="6" t="s">
        <v>941</v>
      </c>
      <c r="U724" s="6" t="s">
        <v>951</v>
      </c>
      <c r="V724" s="2" t="s">
        <v>955</v>
      </c>
      <c r="W724" t="str">
        <f t="shared" si="11"/>
        <v>2000056486_20233</v>
      </c>
      <c r="X724" s="2" t="s">
        <v>1615</v>
      </c>
    </row>
    <row r="725" spans="1:24" hidden="1" x14ac:dyDescent="0.35">
      <c r="A725">
        <v>30</v>
      </c>
      <c r="B725">
        <v>2000056486</v>
      </c>
      <c r="C725" s="1">
        <v>43634</v>
      </c>
      <c r="D725" t="s">
        <v>153</v>
      </c>
      <c r="E725" t="s">
        <v>18</v>
      </c>
      <c r="F725" t="s">
        <v>32</v>
      </c>
      <c r="G725" t="s">
        <v>149</v>
      </c>
      <c r="H725" t="s">
        <v>1629</v>
      </c>
      <c r="I725" t="s">
        <v>41</v>
      </c>
      <c r="J725">
        <v>0.91800000000000004</v>
      </c>
      <c r="K725">
        <v>2.6</v>
      </c>
      <c r="L725">
        <v>3</v>
      </c>
      <c r="N725" t="s">
        <v>28</v>
      </c>
      <c r="O725" s="1">
        <v>44365</v>
      </c>
      <c r="S725" t="s">
        <v>915</v>
      </c>
      <c r="T725" s="5" t="s">
        <v>927</v>
      </c>
      <c r="U725" s="5">
        <v>18</v>
      </c>
      <c r="V725" t="s">
        <v>1618</v>
      </c>
      <c r="W725" t="str">
        <f t="shared" si="11"/>
        <v>2000056486_20196</v>
      </c>
      <c r="X725" s="2" t="s">
        <v>1615</v>
      </c>
    </row>
    <row r="726" spans="1:24" hidden="1" x14ac:dyDescent="0.35">
      <c r="A726">
        <v>11</v>
      </c>
      <c r="B726">
        <v>2000017833</v>
      </c>
      <c r="C726" s="1">
        <v>45712</v>
      </c>
      <c r="D726" t="s">
        <v>3440</v>
      </c>
      <c r="E726" t="s">
        <v>18</v>
      </c>
      <c r="F726" t="s">
        <v>39</v>
      </c>
      <c r="G726" t="s">
        <v>92</v>
      </c>
      <c r="H726" t="s">
        <v>638</v>
      </c>
      <c r="I726" t="s">
        <v>22</v>
      </c>
      <c r="J726">
        <v>0.9</v>
      </c>
      <c r="K726">
        <v>2.6</v>
      </c>
      <c r="L726">
        <v>1</v>
      </c>
      <c r="M726">
        <v>0.7</v>
      </c>
      <c r="N726" t="s">
        <v>28</v>
      </c>
      <c r="O726" s="1">
        <v>46442</v>
      </c>
      <c r="S726" t="s">
        <v>915</v>
      </c>
      <c r="T726" s="5" t="s">
        <v>921</v>
      </c>
      <c r="U726" s="5" t="s">
        <v>935</v>
      </c>
      <c r="V726" t="s">
        <v>1650</v>
      </c>
      <c r="W726" t="str">
        <f t="shared" si="11"/>
        <v>2000017833_20252</v>
      </c>
      <c r="X726" t="s">
        <v>1615</v>
      </c>
    </row>
    <row r="727" spans="1:24" hidden="1" x14ac:dyDescent="0.35">
      <c r="A727">
        <v>55</v>
      </c>
      <c r="B727">
        <v>2000056505</v>
      </c>
      <c r="C727" s="1">
        <v>45448</v>
      </c>
      <c r="D727" t="s">
        <v>1781</v>
      </c>
      <c r="E727" t="s">
        <v>18</v>
      </c>
      <c r="F727" t="s">
        <v>52</v>
      </c>
      <c r="G727" t="s">
        <v>1606</v>
      </c>
      <c r="H727" t="s">
        <v>1782</v>
      </c>
      <c r="I727" t="s">
        <v>41</v>
      </c>
      <c r="J727">
        <v>0.90500000000000003</v>
      </c>
      <c r="K727">
        <v>3</v>
      </c>
      <c r="L727">
        <v>4</v>
      </c>
      <c r="M727">
        <v>0.96</v>
      </c>
      <c r="N727" t="s">
        <v>368</v>
      </c>
      <c r="O727" s="1">
        <v>46543</v>
      </c>
      <c r="S727" t="s">
        <v>915</v>
      </c>
      <c r="T727" s="5" t="s">
        <v>927</v>
      </c>
      <c r="U727" s="5" t="s">
        <v>947</v>
      </c>
      <c r="V727" t="s">
        <v>956</v>
      </c>
      <c r="W727" t="str">
        <f t="shared" si="11"/>
        <v>2000056505_20246</v>
      </c>
      <c r="X727" s="2" t="s">
        <v>1616</v>
      </c>
    </row>
    <row r="728" spans="1:24" hidden="1" x14ac:dyDescent="0.35">
      <c r="A728">
        <v>57</v>
      </c>
      <c r="B728">
        <v>2000056508</v>
      </c>
      <c r="C728" s="1">
        <v>45450</v>
      </c>
      <c r="D728" t="s">
        <v>1785</v>
      </c>
      <c r="E728" t="s">
        <v>18</v>
      </c>
      <c r="F728" t="s">
        <v>1602</v>
      </c>
      <c r="G728" t="s">
        <v>1609</v>
      </c>
      <c r="H728" t="s">
        <v>1786</v>
      </c>
      <c r="I728" t="s">
        <v>22</v>
      </c>
      <c r="J728">
        <v>0.9</v>
      </c>
      <c r="K728">
        <v>3</v>
      </c>
      <c r="L728">
        <v>4</v>
      </c>
      <c r="M728">
        <v>0.79</v>
      </c>
      <c r="N728" t="s">
        <v>368</v>
      </c>
      <c r="O728" s="1">
        <v>46545</v>
      </c>
      <c r="S728" t="s">
        <v>915</v>
      </c>
      <c r="T728" s="5" t="s">
        <v>927</v>
      </c>
      <c r="U728" s="5" t="s">
        <v>936</v>
      </c>
      <c r="V728" t="s">
        <v>956</v>
      </c>
      <c r="W728" t="str">
        <f t="shared" si="11"/>
        <v>2000056508_20246</v>
      </c>
      <c r="X728" s="2" t="s">
        <v>1616</v>
      </c>
    </row>
    <row r="729" spans="1:24" hidden="1" x14ac:dyDescent="0.35">
      <c r="A729">
        <v>11</v>
      </c>
      <c r="B729">
        <v>2000017833</v>
      </c>
      <c r="C729" s="1">
        <v>45712</v>
      </c>
      <c r="D729" t="s">
        <v>3440</v>
      </c>
      <c r="E729" t="s">
        <v>18</v>
      </c>
      <c r="F729" t="s">
        <v>39</v>
      </c>
      <c r="G729" t="s">
        <v>92</v>
      </c>
      <c r="H729" t="s">
        <v>638</v>
      </c>
      <c r="I729" t="s">
        <v>22</v>
      </c>
      <c r="J729">
        <v>0.9</v>
      </c>
      <c r="K729">
        <v>2.6</v>
      </c>
      <c r="L729">
        <v>1</v>
      </c>
      <c r="M729">
        <v>0.7</v>
      </c>
      <c r="N729" t="s">
        <v>28</v>
      </c>
      <c r="O729" s="1">
        <v>46442</v>
      </c>
      <c r="S729" t="s">
        <v>915</v>
      </c>
      <c r="T729" s="5" t="s">
        <v>921</v>
      </c>
      <c r="U729" s="5" t="s">
        <v>935</v>
      </c>
      <c r="V729" t="s">
        <v>1650</v>
      </c>
      <c r="W729" t="str">
        <f t="shared" si="11"/>
        <v>2000017833_20252</v>
      </c>
      <c r="X729" t="s">
        <v>1615</v>
      </c>
    </row>
    <row r="730" spans="1:24" hidden="1" x14ac:dyDescent="0.35">
      <c r="A730">
        <v>13</v>
      </c>
      <c r="B730">
        <v>2000056521</v>
      </c>
      <c r="C730" s="1">
        <v>45371</v>
      </c>
      <c r="D730" t="s">
        <v>1668</v>
      </c>
      <c r="E730" t="s">
        <v>18</v>
      </c>
      <c r="F730" t="s">
        <v>19</v>
      </c>
      <c r="G730" t="s">
        <v>1669</v>
      </c>
      <c r="H730" t="s">
        <v>1670</v>
      </c>
      <c r="I730" t="s">
        <v>22</v>
      </c>
      <c r="J730">
        <v>0.99</v>
      </c>
      <c r="K730">
        <v>3</v>
      </c>
      <c r="L730">
        <v>1</v>
      </c>
      <c r="M730">
        <v>1</v>
      </c>
      <c r="N730" t="s">
        <v>368</v>
      </c>
      <c r="O730" s="1">
        <v>46466</v>
      </c>
      <c r="Q730" t="s">
        <v>1671</v>
      </c>
      <c r="S730" t="s">
        <v>915</v>
      </c>
      <c r="T730" s="5" t="s">
        <v>941</v>
      </c>
      <c r="U730" s="5" t="s">
        <v>932</v>
      </c>
      <c r="V730" t="s">
        <v>956</v>
      </c>
      <c r="W730" t="str">
        <f t="shared" si="11"/>
        <v>2000056521_20243</v>
      </c>
      <c r="X730" s="2" t="s">
        <v>1616</v>
      </c>
    </row>
    <row r="731" spans="1:24" hidden="1" x14ac:dyDescent="0.35">
      <c r="A731">
        <v>39</v>
      </c>
      <c r="B731">
        <v>2000056558</v>
      </c>
      <c r="C731" s="1">
        <v>45448</v>
      </c>
      <c r="D731" t="s">
        <v>66</v>
      </c>
      <c r="E731" t="s">
        <v>18</v>
      </c>
      <c r="F731" t="s">
        <v>39</v>
      </c>
      <c r="G731" t="s">
        <v>20</v>
      </c>
      <c r="H731" t="s">
        <v>460</v>
      </c>
      <c r="I731" t="s">
        <v>41</v>
      </c>
      <c r="J731">
        <v>0.94399999999999995</v>
      </c>
      <c r="K731">
        <v>2.7</v>
      </c>
      <c r="L731">
        <v>1</v>
      </c>
      <c r="M731">
        <v>1</v>
      </c>
      <c r="N731" t="s">
        <v>28</v>
      </c>
      <c r="O731" s="1">
        <v>46178</v>
      </c>
      <c r="S731" t="s">
        <v>915</v>
      </c>
      <c r="T731" s="6" t="s">
        <v>927</v>
      </c>
      <c r="U731" s="6" t="s">
        <v>947</v>
      </c>
      <c r="V731" s="2" t="s">
        <v>956</v>
      </c>
      <c r="W731" t="str">
        <f t="shared" si="11"/>
        <v>2000056558_20246</v>
      </c>
      <c r="X731" s="2" t="s">
        <v>1615</v>
      </c>
    </row>
    <row r="732" spans="1:24" hidden="1" x14ac:dyDescent="0.35">
      <c r="A732">
        <v>17</v>
      </c>
      <c r="B732">
        <v>2000056558</v>
      </c>
      <c r="C732" s="1">
        <v>44007</v>
      </c>
      <c r="D732" t="s">
        <v>66</v>
      </c>
      <c r="E732" t="s">
        <v>18</v>
      </c>
      <c r="F732" t="s">
        <v>39</v>
      </c>
      <c r="G732" t="s">
        <v>20</v>
      </c>
      <c r="H732" t="s">
        <v>67</v>
      </c>
      <c r="I732" t="s">
        <v>41</v>
      </c>
      <c r="J732">
        <v>0.7</v>
      </c>
      <c r="K732">
        <v>3</v>
      </c>
      <c r="L732">
        <v>7</v>
      </c>
      <c r="M732">
        <v>0.9</v>
      </c>
      <c r="N732" t="s">
        <v>28</v>
      </c>
      <c r="O732" s="1">
        <v>44737</v>
      </c>
      <c r="S732" t="s">
        <v>915</v>
      </c>
      <c r="T732" s="6" t="s">
        <v>927</v>
      </c>
      <c r="U732" s="6" t="s">
        <v>922</v>
      </c>
      <c r="V732" s="2" t="s">
        <v>923</v>
      </c>
      <c r="W732" t="str">
        <f t="shared" si="11"/>
        <v>2000056558_20206</v>
      </c>
      <c r="X732" s="2" t="s">
        <v>1615</v>
      </c>
    </row>
    <row r="733" spans="1:24" hidden="1" x14ac:dyDescent="0.35">
      <c r="A733">
        <v>60</v>
      </c>
      <c r="B733">
        <v>2000056558</v>
      </c>
      <c r="C733" s="1">
        <v>44726</v>
      </c>
      <c r="D733" t="s">
        <v>66</v>
      </c>
      <c r="E733" t="s">
        <v>18</v>
      </c>
      <c r="F733" t="s">
        <v>39</v>
      </c>
      <c r="G733" t="s">
        <v>20</v>
      </c>
      <c r="H733" t="s">
        <v>460</v>
      </c>
      <c r="I733" t="s">
        <v>41</v>
      </c>
      <c r="J733">
        <v>0.90100000000000002</v>
      </c>
      <c r="K733">
        <v>2.6</v>
      </c>
      <c r="L733">
        <v>3</v>
      </c>
      <c r="M733">
        <v>0.94</v>
      </c>
      <c r="N733" t="s">
        <v>28</v>
      </c>
      <c r="O733" s="1">
        <v>45457</v>
      </c>
      <c r="S733" t="s">
        <v>915</v>
      </c>
      <c r="T733" s="6" t="s">
        <v>927</v>
      </c>
      <c r="U733" s="6" t="s">
        <v>951</v>
      </c>
      <c r="V733" s="2" t="s">
        <v>954</v>
      </c>
      <c r="W733" t="str">
        <f t="shared" si="11"/>
        <v>2000056558_20226</v>
      </c>
      <c r="X733" s="2" t="s">
        <v>1615</v>
      </c>
    </row>
    <row r="734" spans="1:24" hidden="1" x14ac:dyDescent="0.35">
      <c r="A734">
        <v>6</v>
      </c>
      <c r="B734">
        <v>2000056560</v>
      </c>
      <c r="C734" s="1">
        <v>45356</v>
      </c>
      <c r="D734" t="s">
        <v>365</v>
      </c>
      <c r="E734" t="s">
        <v>18</v>
      </c>
      <c r="F734" t="s">
        <v>148</v>
      </c>
      <c r="G734" t="s">
        <v>20</v>
      </c>
      <c r="H734" t="s">
        <v>671</v>
      </c>
      <c r="I734" t="s">
        <v>148</v>
      </c>
      <c r="J734">
        <v>0.82099999999999995</v>
      </c>
      <c r="K734">
        <v>2.7</v>
      </c>
      <c r="L734">
        <v>1</v>
      </c>
      <c r="M734">
        <v>0.79</v>
      </c>
      <c r="N734" t="s">
        <v>28</v>
      </c>
      <c r="O734" s="1">
        <v>46086</v>
      </c>
      <c r="Q734" t="s">
        <v>323</v>
      </c>
      <c r="S734" t="s">
        <v>915</v>
      </c>
      <c r="T734" s="6" t="s">
        <v>941</v>
      </c>
      <c r="U734" s="6" t="s">
        <v>947</v>
      </c>
      <c r="V734" s="2" t="s">
        <v>956</v>
      </c>
      <c r="W734" t="str">
        <f t="shared" si="11"/>
        <v>2000056560_20243</v>
      </c>
      <c r="X734" s="2" t="s">
        <v>1615</v>
      </c>
    </row>
    <row r="735" spans="1:24" hidden="1" x14ac:dyDescent="0.35">
      <c r="A735">
        <v>10</v>
      </c>
      <c r="B735">
        <v>2000056560</v>
      </c>
      <c r="C735" s="1">
        <v>44617</v>
      </c>
      <c r="D735" t="s">
        <v>365</v>
      </c>
      <c r="E735" t="s">
        <v>18</v>
      </c>
      <c r="F735" t="s">
        <v>148</v>
      </c>
      <c r="G735" t="s">
        <v>20</v>
      </c>
      <c r="H735" t="s">
        <v>366</v>
      </c>
      <c r="I735" t="s">
        <v>148</v>
      </c>
      <c r="J735">
        <v>0.82399999999999995</v>
      </c>
      <c r="K735">
        <v>2.7</v>
      </c>
      <c r="L735">
        <v>6</v>
      </c>
      <c r="M735">
        <v>0.79</v>
      </c>
      <c r="N735" t="s">
        <v>28</v>
      </c>
      <c r="O735" s="1">
        <v>45347</v>
      </c>
      <c r="Q735" t="s">
        <v>323</v>
      </c>
      <c r="S735" t="s">
        <v>915</v>
      </c>
      <c r="T735" s="6" t="s">
        <v>921</v>
      </c>
      <c r="U735" s="6" t="s">
        <v>922</v>
      </c>
      <c r="V735" s="2" t="s">
        <v>954</v>
      </c>
      <c r="W735" t="str">
        <f t="shared" si="11"/>
        <v>2000056560_20222</v>
      </c>
      <c r="X735" s="2" t="s">
        <v>1615</v>
      </c>
    </row>
    <row r="736" spans="1:24" hidden="1" x14ac:dyDescent="0.35">
      <c r="B736">
        <v>2000056564</v>
      </c>
      <c r="C736" s="1">
        <v>44462</v>
      </c>
      <c r="D736" t="s">
        <v>2661</v>
      </c>
      <c r="F736" t="s">
        <v>39</v>
      </c>
      <c r="G736" t="s">
        <v>1606</v>
      </c>
      <c r="H736" t="s">
        <v>2662</v>
      </c>
      <c r="I736" t="s">
        <v>41</v>
      </c>
      <c r="J736">
        <v>0.89300000000000002</v>
      </c>
      <c r="K736">
        <v>2.6</v>
      </c>
      <c r="L736">
        <v>7</v>
      </c>
      <c r="M736">
        <v>0.79</v>
      </c>
      <c r="N736" t="s">
        <v>2310</v>
      </c>
      <c r="O736" s="1">
        <v>45192</v>
      </c>
      <c r="S736" t="s">
        <v>915</v>
      </c>
      <c r="T736" s="6" t="s">
        <v>942</v>
      </c>
      <c r="U736" s="6" t="s">
        <v>934</v>
      </c>
      <c r="V736" s="2" t="s">
        <v>952</v>
      </c>
      <c r="W736" t="str">
        <f t="shared" si="11"/>
        <v>2000056564_20219</v>
      </c>
      <c r="X736" s="2" t="s">
        <v>1616</v>
      </c>
    </row>
    <row r="737" spans="1:24" hidden="1" x14ac:dyDescent="0.35">
      <c r="B737">
        <v>2000056564</v>
      </c>
      <c r="C737" s="1">
        <v>45181</v>
      </c>
      <c r="D737" t="s">
        <v>2661</v>
      </c>
      <c r="F737" t="s">
        <v>39</v>
      </c>
      <c r="G737" t="s">
        <v>1606</v>
      </c>
      <c r="H737" t="s">
        <v>2663</v>
      </c>
      <c r="I737" t="s">
        <v>41</v>
      </c>
      <c r="J737">
        <v>0.90500000000000003</v>
      </c>
      <c r="K737">
        <v>3</v>
      </c>
      <c r="M737">
        <v>0.84</v>
      </c>
      <c r="N737" t="s">
        <v>2314</v>
      </c>
      <c r="O737" s="1">
        <v>46277</v>
      </c>
      <c r="S737" t="s">
        <v>915</v>
      </c>
      <c r="T737" s="6" t="s">
        <v>942</v>
      </c>
      <c r="U737" s="6" t="s">
        <v>949</v>
      </c>
      <c r="V737" s="2" t="s">
        <v>955</v>
      </c>
      <c r="W737" t="str">
        <f t="shared" si="11"/>
        <v>2000056564_20239</v>
      </c>
      <c r="X737" s="2" t="s">
        <v>1616</v>
      </c>
    </row>
    <row r="738" spans="1:24" hidden="1" x14ac:dyDescent="0.35">
      <c r="B738">
        <v>2000056566</v>
      </c>
      <c r="C738" s="1">
        <v>43698</v>
      </c>
      <c r="D738" t="s">
        <v>2664</v>
      </c>
      <c r="F738" t="s">
        <v>43</v>
      </c>
      <c r="G738" t="s">
        <v>1606</v>
      </c>
      <c r="H738" t="s">
        <v>2665</v>
      </c>
      <c r="I738" t="s">
        <v>41</v>
      </c>
      <c r="J738">
        <v>0.88500000000000001</v>
      </c>
      <c r="K738">
        <v>3</v>
      </c>
      <c r="L738">
        <v>1</v>
      </c>
      <c r="N738" t="s">
        <v>2310</v>
      </c>
      <c r="O738" s="1">
        <v>44429</v>
      </c>
      <c r="S738" t="s">
        <v>915</v>
      </c>
      <c r="T738" s="6" t="s">
        <v>940</v>
      </c>
      <c r="U738" s="6" t="s">
        <v>944</v>
      </c>
      <c r="V738" s="2" t="s">
        <v>1618</v>
      </c>
      <c r="W738" t="str">
        <f t="shared" si="11"/>
        <v>2000056566_20198</v>
      </c>
      <c r="X738" s="2" t="s">
        <v>1616</v>
      </c>
    </row>
    <row r="739" spans="1:24" hidden="1" x14ac:dyDescent="0.35">
      <c r="B739">
        <v>2000056566</v>
      </c>
      <c r="C739" s="1">
        <v>44484</v>
      </c>
      <c r="D739" t="s">
        <v>2664</v>
      </c>
      <c r="F739" t="s">
        <v>43</v>
      </c>
      <c r="G739" t="s">
        <v>1606</v>
      </c>
      <c r="H739" t="s">
        <v>2666</v>
      </c>
      <c r="I739" t="s">
        <v>41</v>
      </c>
      <c r="J739">
        <v>0.86799999999999999</v>
      </c>
      <c r="K739">
        <v>3</v>
      </c>
      <c r="L739">
        <v>3</v>
      </c>
      <c r="M739">
        <v>0.97</v>
      </c>
      <c r="N739" t="s">
        <v>2310</v>
      </c>
      <c r="O739" s="1">
        <v>45214</v>
      </c>
      <c r="S739" t="s">
        <v>915</v>
      </c>
      <c r="T739" s="6" t="s">
        <v>948</v>
      </c>
      <c r="U739" s="6" t="s">
        <v>943</v>
      </c>
      <c r="V739" s="2" t="s">
        <v>952</v>
      </c>
      <c r="W739" t="str">
        <f t="shared" si="11"/>
        <v>2000056566_202110</v>
      </c>
      <c r="X739" s="2" t="s">
        <v>1616</v>
      </c>
    </row>
    <row r="740" spans="1:24" hidden="1" x14ac:dyDescent="0.35">
      <c r="B740">
        <v>2000056566</v>
      </c>
      <c r="C740" s="1">
        <v>45110</v>
      </c>
      <c r="D740" t="s">
        <v>2664</v>
      </c>
      <c r="F740" t="s">
        <v>43</v>
      </c>
      <c r="G740" t="s">
        <v>1606</v>
      </c>
      <c r="H740" t="s">
        <v>2667</v>
      </c>
      <c r="I740" t="s">
        <v>41</v>
      </c>
      <c r="J740">
        <v>1</v>
      </c>
      <c r="K740">
        <v>3</v>
      </c>
      <c r="L740">
        <v>1</v>
      </c>
      <c r="M740">
        <v>1</v>
      </c>
      <c r="N740" t="s">
        <v>2314</v>
      </c>
      <c r="O740" s="1">
        <v>46206</v>
      </c>
      <c r="S740" t="s">
        <v>915</v>
      </c>
      <c r="T740" s="6" t="s">
        <v>936</v>
      </c>
      <c r="U740" s="6" t="s">
        <v>941</v>
      </c>
      <c r="V740" s="2" t="s">
        <v>955</v>
      </c>
      <c r="W740" t="str">
        <f t="shared" si="11"/>
        <v>2000056566_20237</v>
      </c>
      <c r="X740" s="2" t="s">
        <v>1616</v>
      </c>
    </row>
    <row r="741" spans="1:24" hidden="1" x14ac:dyDescent="0.35">
      <c r="A741">
        <v>4</v>
      </c>
      <c r="B741">
        <v>2000056572</v>
      </c>
      <c r="C741" s="1">
        <v>44279</v>
      </c>
      <c r="D741" t="s">
        <v>402</v>
      </c>
      <c r="E741" t="s">
        <v>18</v>
      </c>
      <c r="F741" t="s">
        <v>52</v>
      </c>
      <c r="G741" t="s">
        <v>149</v>
      </c>
      <c r="H741" t="s">
        <v>155</v>
      </c>
      <c r="I741" t="s">
        <v>41</v>
      </c>
      <c r="J741">
        <v>0.76</v>
      </c>
      <c r="K741">
        <v>2.2999999999999998</v>
      </c>
      <c r="L741">
        <v>8</v>
      </c>
      <c r="M741">
        <v>0.75</v>
      </c>
      <c r="N741" t="s">
        <v>23</v>
      </c>
      <c r="O741" s="1">
        <v>44644</v>
      </c>
      <c r="S741" t="s">
        <v>915</v>
      </c>
      <c r="T741" s="6" t="s">
        <v>941</v>
      </c>
      <c r="U741" s="6" t="s">
        <v>935</v>
      </c>
      <c r="V741" s="2" t="s">
        <v>952</v>
      </c>
      <c r="W741" t="str">
        <f t="shared" si="11"/>
        <v>2000056572_20213</v>
      </c>
      <c r="X741" s="2" t="s">
        <v>1615</v>
      </c>
    </row>
    <row r="742" spans="1:24" hidden="1" x14ac:dyDescent="0.35">
      <c r="A742">
        <v>28</v>
      </c>
      <c r="B742">
        <v>2000056572</v>
      </c>
      <c r="C742" s="1">
        <v>44658</v>
      </c>
      <c r="D742" t="s">
        <v>402</v>
      </c>
      <c r="E742" t="s">
        <v>18</v>
      </c>
      <c r="F742" t="s">
        <v>373</v>
      </c>
      <c r="G742" t="s">
        <v>149</v>
      </c>
      <c r="H742" t="s">
        <v>403</v>
      </c>
      <c r="I742" t="s">
        <v>41</v>
      </c>
      <c r="J742">
        <v>0.82499999999999996</v>
      </c>
      <c r="K742">
        <v>2.2999999999999998</v>
      </c>
      <c r="L742">
        <v>5</v>
      </c>
      <c r="M742">
        <v>0.8</v>
      </c>
      <c r="N742" t="s">
        <v>28</v>
      </c>
      <c r="O742" s="1">
        <v>45389</v>
      </c>
      <c r="S742" t="s">
        <v>915</v>
      </c>
      <c r="T742" s="6" t="s">
        <v>946</v>
      </c>
      <c r="U742" s="6" t="s">
        <v>936</v>
      </c>
      <c r="V742" s="2" t="s">
        <v>954</v>
      </c>
      <c r="W742" t="str">
        <f t="shared" si="11"/>
        <v>2000056572_20224</v>
      </c>
      <c r="X742" s="2" t="s">
        <v>1615</v>
      </c>
    </row>
    <row r="743" spans="1:24" hidden="1" x14ac:dyDescent="0.35">
      <c r="A743">
        <v>11</v>
      </c>
      <c r="B743">
        <v>2000056572</v>
      </c>
      <c r="C743" s="1">
        <v>45379</v>
      </c>
      <c r="D743" t="s">
        <v>402</v>
      </c>
      <c r="E743" t="s">
        <v>18</v>
      </c>
      <c r="F743" t="s">
        <v>52</v>
      </c>
      <c r="G743" t="s">
        <v>149</v>
      </c>
      <c r="H743" t="s">
        <v>678</v>
      </c>
      <c r="I743" t="s">
        <v>148</v>
      </c>
      <c r="J743">
        <v>0.75</v>
      </c>
      <c r="K743">
        <v>2.7</v>
      </c>
      <c r="L743">
        <v>5</v>
      </c>
      <c r="M743">
        <v>0.73</v>
      </c>
      <c r="N743" t="s">
        <v>23</v>
      </c>
      <c r="O743" s="1">
        <v>45744</v>
      </c>
      <c r="S743" t="s">
        <v>915</v>
      </c>
      <c r="T743" s="6" t="s">
        <v>941</v>
      </c>
      <c r="U743" s="6" t="s">
        <v>926</v>
      </c>
      <c r="V743" s="2" t="s">
        <v>956</v>
      </c>
      <c r="W743" t="str">
        <f t="shared" si="11"/>
        <v>2000056572_20243</v>
      </c>
      <c r="X743" s="2" t="s">
        <v>1615</v>
      </c>
    </row>
    <row r="744" spans="1:24" hidden="1" x14ac:dyDescent="0.35">
      <c r="A744">
        <v>12</v>
      </c>
      <c r="B744">
        <v>2000065777</v>
      </c>
      <c r="C744" s="1">
        <v>45713</v>
      </c>
      <c r="D744" t="s">
        <v>3441</v>
      </c>
      <c r="E744" t="s">
        <v>18</v>
      </c>
      <c r="F744" t="s">
        <v>148</v>
      </c>
      <c r="G744" t="s">
        <v>20</v>
      </c>
      <c r="H744" t="s">
        <v>3442</v>
      </c>
      <c r="I744" t="s">
        <v>148</v>
      </c>
      <c r="J744">
        <v>0.85699999999999998</v>
      </c>
      <c r="K744">
        <v>3</v>
      </c>
      <c r="L744">
        <v>1</v>
      </c>
      <c r="M744">
        <v>0.91</v>
      </c>
      <c r="N744" t="s">
        <v>28</v>
      </c>
      <c r="O744" s="1">
        <v>46443</v>
      </c>
      <c r="S744" t="s">
        <v>915</v>
      </c>
      <c r="T744" s="5" t="s">
        <v>921</v>
      </c>
      <c r="U744" s="5" t="s">
        <v>922</v>
      </c>
      <c r="V744" t="s">
        <v>1650</v>
      </c>
      <c r="W744" t="str">
        <f t="shared" si="11"/>
        <v>2000065777_20252</v>
      </c>
      <c r="X744" t="s">
        <v>1615</v>
      </c>
    </row>
    <row r="745" spans="1:24" hidden="1" x14ac:dyDescent="0.35">
      <c r="A745">
        <v>27</v>
      </c>
      <c r="B745">
        <v>2000056574</v>
      </c>
      <c r="C745" s="1">
        <v>45405</v>
      </c>
      <c r="D745" t="s">
        <v>1705</v>
      </c>
      <c r="E745" t="s">
        <v>18</v>
      </c>
      <c r="F745" t="s">
        <v>32</v>
      </c>
      <c r="G745" t="s">
        <v>1706</v>
      </c>
      <c r="H745" t="s">
        <v>1707</v>
      </c>
      <c r="I745" t="s">
        <v>22</v>
      </c>
      <c r="J745">
        <v>0.93799999999999994</v>
      </c>
      <c r="K745">
        <v>3</v>
      </c>
      <c r="L745">
        <v>2</v>
      </c>
      <c r="M745">
        <v>0.9</v>
      </c>
      <c r="N745" t="s">
        <v>368</v>
      </c>
      <c r="O745" s="1">
        <v>46500</v>
      </c>
      <c r="S745" t="s">
        <v>915</v>
      </c>
      <c r="T745" s="5" t="s">
        <v>946</v>
      </c>
      <c r="U745" s="5" t="s">
        <v>934</v>
      </c>
      <c r="V745" t="s">
        <v>956</v>
      </c>
      <c r="W745" t="str">
        <f t="shared" si="11"/>
        <v>2000056574_20244</v>
      </c>
      <c r="X745" s="2" t="s">
        <v>1616</v>
      </c>
    </row>
    <row r="746" spans="1:24" hidden="1" x14ac:dyDescent="0.35">
      <c r="B746">
        <v>2000056583</v>
      </c>
      <c r="C746" s="1">
        <v>43875</v>
      </c>
      <c r="D746" t="s">
        <v>2671</v>
      </c>
      <c r="F746" t="s">
        <v>39</v>
      </c>
      <c r="G746" t="s">
        <v>1603</v>
      </c>
      <c r="H746" t="s">
        <v>2674</v>
      </c>
      <c r="I746" t="s">
        <v>41</v>
      </c>
      <c r="J746">
        <v>0.52859999999999996</v>
      </c>
      <c r="K746">
        <v>2.7</v>
      </c>
      <c r="L746">
        <v>8</v>
      </c>
      <c r="M746">
        <v>0.73</v>
      </c>
      <c r="N746" t="s">
        <v>23</v>
      </c>
      <c r="O746" s="1">
        <v>44241</v>
      </c>
      <c r="S746" t="s">
        <v>915</v>
      </c>
      <c r="T746" s="6" t="s">
        <v>921</v>
      </c>
      <c r="U746" s="6" t="s">
        <v>951</v>
      </c>
      <c r="V746" s="2" t="s">
        <v>923</v>
      </c>
      <c r="W746" t="str">
        <f t="shared" si="11"/>
        <v>2000056583_20202</v>
      </c>
      <c r="X746" s="2" t="s">
        <v>1616</v>
      </c>
    </row>
    <row r="747" spans="1:24" hidden="1" x14ac:dyDescent="0.35">
      <c r="B747">
        <v>2000056583</v>
      </c>
      <c r="C747" s="1">
        <v>44270</v>
      </c>
      <c r="D747" t="s">
        <v>2671</v>
      </c>
      <c r="F747" t="s">
        <v>39</v>
      </c>
      <c r="G747" t="s">
        <v>1603</v>
      </c>
      <c r="H747" t="s">
        <v>2675</v>
      </c>
      <c r="I747" t="s">
        <v>41</v>
      </c>
      <c r="J747">
        <v>0.82099999999999995</v>
      </c>
      <c r="K747">
        <v>3</v>
      </c>
      <c r="L747">
        <v>6</v>
      </c>
      <c r="M747">
        <v>0.8</v>
      </c>
      <c r="N747" t="s">
        <v>2310</v>
      </c>
      <c r="O747" s="1">
        <v>45000</v>
      </c>
      <c r="S747" t="s">
        <v>915</v>
      </c>
      <c r="T747" s="6" t="s">
        <v>941</v>
      </c>
      <c r="U747" s="6" t="s">
        <v>943</v>
      </c>
      <c r="V747" s="2" t="s">
        <v>952</v>
      </c>
      <c r="W747" t="str">
        <f t="shared" si="11"/>
        <v>2000056583_20213</v>
      </c>
      <c r="X747" s="2" t="s">
        <v>1616</v>
      </c>
    </row>
    <row r="748" spans="1:24" hidden="1" x14ac:dyDescent="0.35">
      <c r="B748">
        <v>2000056583</v>
      </c>
      <c r="C748" s="1">
        <v>44978</v>
      </c>
      <c r="D748" t="s">
        <v>2671</v>
      </c>
      <c r="F748" t="s">
        <v>39</v>
      </c>
      <c r="G748" t="s">
        <v>1603</v>
      </c>
      <c r="H748" t="s">
        <v>2676</v>
      </c>
      <c r="I748" t="s">
        <v>41</v>
      </c>
      <c r="J748">
        <v>0.93799999999999994</v>
      </c>
      <c r="K748">
        <v>3</v>
      </c>
      <c r="L748">
        <v>1</v>
      </c>
      <c r="M748">
        <v>0.79</v>
      </c>
      <c r="N748" t="s">
        <v>2314</v>
      </c>
      <c r="O748" s="1">
        <v>46074</v>
      </c>
      <c r="S748" t="s">
        <v>915</v>
      </c>
      <c r="T748" s="6" t="s">
        <v>921</v>
      </c>
      <c r="U748" s="6" t="s">
        <v>944</v>
      </c>
      <c r="V748" s="2" t="s">
        <v>955</v>
      </c>
      <c r="W748" t="str">
        <f t="shared" si="11"/>
        <v>2000056583_20232</v>
      </c>
      <c r="X748" s="2" t="s">
        <v>1616</v>
      </c>
    </row>
    <row r="749" spans="1:24" hidden="1" x14ac:dyDescent="0.35">
      <c r="A749">
        <v>29</v>
      </c>
      <c r="B749">
        <v>2000056584</v>
      </c>
      <c r="C749" s="1">
        <v>44386</v>
      </c>
      <c r="D749" t="s">
        <v>206</v>
      </c>
      <c r="E749" t="s">
        <v>18</v>
      </c>
      <c r="F749" t="s">
        <v>52</v>
      </c>
      <c r="G749" t="s">
        <v>20</v>
      </c>
      <c r="H749" t="s">
        <v>207</v>
      </c>
      <c r="I749" t="s">
        <v>41</v>
      </c>
      <c r="J749">
        <v>0.93899999999999995</v>
      </c>
      <c r="K749">
        <v>3</v>
      </c>
      <c r="L749">
        <v>0</v>
      </c>
      <c r="M749">
        <v>0.92</v>
      </c>
      <c r="N749" t="s">
        <v>368</v>
      </c>
      <c r="O749" s="1">
        <v>45482</v>
      </c>
      <c r="R749" t="s">
        <v>24</v>
      </c>
      <c r="S749" t="s">
        <v>915</v>
      </c>
      <c r="T749" s="6" t="s">
        <v>936</v>
      </c>
      <c r="U749" s="6" t="s">
        <v>942</v>
      </c>
      <c r="V749" s="2" t="s">
        <v>952</v>
      </c>
      <c r="W749" t="str">
        <f t="shared" si="11"/>
        <v>2000056584_20217</v>
      </c>
      <c r="X749" s="2" t="s">
        <v>1615</v>
      </c>
    </row>
    <row r="750" spans="1:24" hidden="1" x14ac:dyDescent="0.35">
      <c r="A750">
        <v>72</v>
      </c>
      <c r="B750">
        <v>2000056584</v>
      </c>
      <c r="C750" s="1">
        <v>43746</v>
      </c>
      <c r="D750" t="s">
        <v>206</v>
      </c>
      <c r="E750" t="s">
        <v>18</v>
      </c>
      <c r="F750" t="s">
        <v>52</v>
      </c>
      <c r="G750" t="s">
        <v>1636</v>
      </c>
      <c r="H750" t="s">
        <v>1638</v>
      </c>
      <c r="I750" t="s">
        <v>41</v>
      </c>
      <c r="J750">
        <v>0.88600000000000001</v>
      </c>
      <c r="K750">
        <v>2.8</v>
      </c>
      <c r="L750">
        <v>3</v>
      </c>
      <c r="N750" t="s">
        <v>28</v>
      </c>
      <c r="O750" s="1">
        <v>44477</v>
      </c>
      <c r="S750" t="s">
        <v>915</v>
      </c>
      <c r="T750" s="5" t="s">
        <v>948</v>
      </c>
      <c r="U750" s="5">
        <v>8</v>
      </c>
      <c r="V750" t="s">
        <v>1618</v>
      </c>
      <c r="W750" t="str">
        <f t="shared" si="11"/>
        <v>2000056584_201910</v>
      </c>
      <c r="X750" s="2" t="s">
        <v>1615</v>
      </c>
    </row>
    <row r="751" spans="1:24" hidden="1" x14ac:dyDescent="0.35">
      <c r="A751">
        <v>54</v>
      </c>
      <c r="B751">
        <v>2000056584</v>
      </c>
      <c r="C751" s="1">
        <v>45488</v>
      </c>
      <c r="D751" t="s">
        <v>206</v>
      </c>
      <c r="E751" t="s">
        <v>18</v>
      </c>
      <c r="F751" t="s">
        <v>52</v>
      </c>
      <c r="G751" t="s">
        <v>20</v>
      </c>
      <c r="H751" t="s">
        <v>207</v>
      </c>
      <c r="I751" t="s">
        <v>41</v>
      </c>
      <c r="J751">
        <v>0.84199999999999997</v>
      </c>
      <c r="K751">
        <v>2.7</v>
      </c>
      <c r="L751">
        <v>1</v>
      </c>
      <c r="M751">
        <v>0.86</v>
      </c>
      <c r="N751" t="s">
        <v>28</v>
      </c>
      <c r="O751" s="1">
        <v>46218</v>
      </c>
      <c r="S751" t="s">
        <v>915</v>
      </c>
      <c r="T751" s="6" t="s">
        <v>936</v>
      </c>
      <c r="U751" s="6" t="s">
        <v>943</v>
      </c>
      <c r="V751" s="2" t="s">
        <v>956</v>
      </c>
      <c r="W751" t="str">
        <f t="shared" si="11"/>
        <v>2000056584_20247</v>
      </c>
      <c r="X751" s="2" t="s">
        <v>1615</v>
      </c>
    </row>
    <row r="752" spans="1:24" hidden="1" x14ac:dyDescent="0.35">
      <c r="A752">
        <v>73</v>
      </c>
      <c r="B752">
        <v>2000056590</v>
      </c>
      <c r="C752" s="1">
        <v>45483</v>
      </c>
      <c r="D752" t="s">
        <v>1822</v>
      </c>
      <c r="E752" t="s">
        <v>18</v>
      </c>
      <c r="F752" t="s">
        <v>39</v>
      </c>
      <c r="G752" t="s">
        <v>1687</v>
      </c>
      <c r="H752" t="s">
        <v>1823</v>
      </c>
      <c r="I752" t="s">
        <v>41</v>
      </c>
      <c r="J752">
        <v>0.92900000000000005</v>
      </c>
      <c r="K752">
        <v>3</v>
      </c>
      <c r="L752">
        <v>2</v>
      </c>
      <c r="M752">
        <v>0.88</v>
      </c>
      <c r="N752" t="s">
        <v>368</v>
      </c>
      <c r="O752" s="1">
        <v>46578</v>
      </c>
      <c r="S752" t="s">
        <v>915</v>
      </c>
      <c r="T752" s="5" t="s">
        <v>936</v>
      </c>
      <c r="U752" s="5" t="s">
        <v>948</v>
      </c>
      <c r="V752" t="s">
        <v>956</v>
      </c>
      <c r="W752" t="str">
        <f t="shared" si="11"/>
        <v>2000056590_20247</v>
      </c>
      <c r="X752" s="2" t="s">
        <v>1616</v>
      </c>
    </row>
    <row r="753" spans="1:24" hidden="1" x14ac:dyDescent="0.35">
      <c r="B753">
        <v>2000056594</v>
      </c>
      <c r="C753" s="1">
        <v>43991</v>
      </c>
      <c r="D753" t="s">
        <v>3939</v>
      </c>
      <c r="F753" t="s">
        <v>43</v>
      </c>
      <c r="G753" t="s">
        <v>1609</v>
      </c>
      <c r="H753" t="s">
        <v>2677</v>
      </c>
      <c r="I753" t="s">
        <v>22</v>
      </c>
      <c r="J753">
        <v>0.83899999999999997</v>
      </c>
      <c r="K753">
        <v>3</v>
      </c>
      <c r="L753">
        <v>1</v>
      </c>
      <c r="M753">
        <v>0.89</v>
      </c>
      <c r="N753" t="s">
        <v>2310</v>
      </c>
      <c r="O753" s="1">
        <v>44721</v>
      </c>
      <c r="S753" t="s">
        <v>915</v>
      </c>
      <c r="T753" s="6" t="s">
        <v>927</v>
      </c>
      <c r="U753" s="6" t="s">
        <v>942</v>
      </c>
      <c r="V753" s="2" t="s">
        <v>923</v>
      </c>
      <c r="W753" t="str">
        <f t="shared" si="11"/>
        <v>2000056594_20206</v>
      </c>
      <c r="X753" s="2" t="s">
        <v>1616</v>
      </c>
    </row>
    <row r="754" spans="1:24" hidden="1" x14ac:dyDescent="0.35">
      <c r="B754">
        <v>2000056594</v>
      </c>
      <c r="C754" s="1">
        <v>44740</v>
      </c>
      <c r="D754" t="s">
        <v>3939</v>
      </c>
      <c r="F754" t="s">
        <v>43</v>
      </c>
      <c r="G754" t="s">
        <v>1609</v>
      </c>
      <c r="H754" t="s">
        <v>2678</v>
      </c>
      <c r="I754" t="s">
        <v>22</v>
      </c>
      <c r="J754">
        <v>0.95199999999999996</v>
      </c>
      <c r="K754">
        <v>3</v>
      </c>
      <c r="L754">
        <v>1</v>
      </c>
      <c r="M754">
        <v>0.91</v>
      </c>
      <c r="N754" t="s">
        <v>2314</v>
      </c>
      <c r="O754" s="1">
        <v>45836</v>
      </c>
      <c r="S754" t="s">
        <v>915</v>
      </c>
      <c r="T754" s="6" t="s">
        <v>927</v>
      </c>
      <c r="U754" s="6" t="s">
        <v>926</v>
      </c>
      <c r="V754" s="2" t="s">
        <v>954</v>
      </c>
      <c r="W754" t="str">
        <f t="shared" si="11"/>
        <v>2000056594_20226</v>
      </c>
      <c r="X754" s="2" t="s">
        <v>1616</v>
      </c>
    </row>
    <row r="755" spans="1:24" hidden="1" x14ac:dyDescent="0.35">
      <c r="A755">
        <v>126</v>
      </c>
      <c r="B755">
        <v>2000056594</v>
      </c>
      <c r="C755" s="1">
        <v>45566</v>
      </c>
      <c r="D755" t="s">
        <v>3939</v>
      </c>
      <c r="E755" t="s">
        <v>18</v>
      </c>
      <c r="F755" t="s">
        <v>43</v>
      </c>
      <c r="G755" t="s">
        <v>1606</v>
      </c>
      <c r="H755" t="s">
        <v>3224</v>
      </c>
      <c r="I755" t="s">
        <v>22</v>
      </c>
      <c r="J755">
        <v>0.99199999999999999</v>
      </c>
      <c r="M755">
        <v>0.87</v>
      </c>
      <c r="N755" t="s">
        <v>23</v>
      </c>
      <c r="O755" s="1">
        <v>45931</v>
      </c>
      <c r="P755" t="s">
        <v>3225</v>
      </c>
      <c r="R755" t="s">
        <v>3226</v>
      </c>
      <c r="S755" t="s">
        <v>915</v>
      </c>
      <c r="T755" s="5" t="s">
        <v>948</v>
      </c>
      <c r="U755" s="5" t="s">
        <v>953</v>
      </c>
      <c r="V755" t="s">
        <v>956</v>
      </c>
      <c r="W755" t="str">
        <f t="shared" si="11"/>
        <v>2000056594_202410</v>
      </c>
      <c r="X755" t="s">
        <v>1616</v>
      </c>
    </row>
    <row r="756" spans="1:24" hidden="1" x14ac:dyDescent="0.35">
      <c r="A756">
        <v>64</v>
      </c>
      <c r="B756">
        <v>2000056595</v>
      </c>
      <c r="C756" s="1">
        <v>44728</v>
      </c>
      <c r="D756" t="s">
        <v>464</v>
      </c>
      <c r="E756" t="s">
        <v>18</v>
      </c>
      <c r="F756" t="s">
        <v>148</v>
      </c>
      <c r="G756" t="s">
        <v>20</v>
      </c>
      <c r="H756" t="s">
        <v>465</v>
      </c>
      <c r="I756" t="s">
        <v>148</v>
      </c>
      <c r="J756">
        <v>0.875</v>
      </c>
      <c r="K756">
        <v>2.8</v>
      </c>
      <c r="L756">
        <v>4</v>
      </c>
      <c r="M756">
        <v>0.72</v>
      </c>
      <c r="N756" t="s">
        <v>28</v>
      </c>
      <c r="O756" s="1">
        <v>45459</v>
      </c>
      <c r="S756" t="s">
        <v>915</v>
      </c>
      <c r="T756" s="6" t="s">
        <v>927</v>
      </c>
      <c r="U756" s="6" t="s">
        <v>928</v>
      </c>
      <c r="V756" s="2" t="s">
        <v>954</v>
      </c>
      <c r="W756" t="str">
        <f t="shared" si="11"/>
        <v>2000056595_20226</v>
      </c>
      <c r="X756" s="2" t="s">
        <v>1615</v>
      </c>
    </row>
    <row r="757" spans="1:24" hidden="1" x14ac:dyDescent="0.35">
      <c r="B757">
        <v>2000056608</v>
      </c>
      <c r="C757" s="1">
        <v>44510</v>
      </c>
      <c r="D757" t="s">
        <v>2681</v>
      </c>
      <c r="F757" t="s">
        <v>39</v>
      </c>
      <c r="G757" t="s">
        <v>1606</v>
      </c>
      <c r="H757" t="s">
        <v>2682</v>
      </c>
      <c r="I757" t="s">
        <v>41</v>
      </c>
      <c r="J757">
        <v>0.82399999999999995</v>
      </c>
      <c r="K757">
        <v>3</v>
      </c>
      <c r="L757">
        <v>4</v>
      </c>
      <c r="M757">
        <v>0.91</v>
      </c>
      <c r="N757" t="s">
        <v>2310</v>
      </c>
      <c r="O757" s="1">
        <v>45240</v>
      </c>
      <c r="S757" t="s">
        <v>915</v>
      </c>
      <c r="T757" s="6" t="s">
        <v>945</v>
      </c>
      <c r="U757" s="6" t="s">
        <v>948</v>
      </c>
      <c r="V757" s="2" t="s">
        <v>952</v>
      </c>
      <c r="W757" t="str">
        <f t="shared" si="11"/>
        <v>2000056608_202111</v>
      </c>
      <c r="X757" s="2" t="s">
        <v>1616</v>
      </c>
    </row>
    <row r="758" spans="1:24" hidden="1" x14ac:dyDescent="0.35">
      <c r="B758">
        <v>2000056608</v>
      </c>
      <c r="C758" s="1">
        <v>45132</v>
      </c>
      <c r="D758" t="s">
        <v>2681</v>
      </c>
      <c r="F758" t="s">
        <v>39</v>
      </c>
      <c r="G758" t="s">
        <v>1606</v>
      </c>
      <c r="H758" t="s">
        <v>2683</v>
      </c>
      <c r="I758" t="s">
        <v>41</v>
      </c>
      <c r="J758">
        <v>0.94699999999999995</v>
      </c>
      <c r="K758">
        <v>3</v>
      </c>
      <c r="L758">
        <v>1</v>
      </c>
      <c r="M758">
        <v>0.92</v>
      </c>
      <c r="N758" t="s">
        <v>2314</v>
      </c>
      <c r="O758" s="1">
        <v>46228</v>
      </c>
      <c r="S758" t="s">
        <v>915</v>
      </c>
      <c r="T758" s="6" t="s">
        <v>936</v>
      </c>
      <c r="U758" s="6" t="s">
        <v>922</v>
      </c>
      <c r="V758" s="2" t="s">
        <v>955</v>
      </c>
      <c r="W758" t="str">
        <f t="shared" si="11"/>
        <v>2000056608_20237</v>
      </c>
      <c r="X758" s="2" t="s">
        <v>1616</v>
      </c>
    </row>
    <row r="759" spans="1:24" hidden="1" x14ac:dyDescent="0.35">
      <c r="B759">
        <v>2000056616</v>
      </c>
      <c r="C759" s="1">
        <v>43664</v>
      </c>
      <c r="D759" t="s">
        <v>2684</v>
      </c>
      <c r="F759" t="s">
        <v>19</v>
      </c>
      <c r="G759" t="s">
        <v>2685</v>
      </c>
      <c r="H759" t="s">
        <v>2686</v>
      </c>
      <c r="I759" t="s">
        <v>22</v>
      </c>
      <c r="J759">
        <v>0.871</v>
      </c>
      <c r="K759">
        <v>3</v>
      </c>
      <c r="L759">
        <v>3</v>
      </c>
      <c r="N759" t="s">
        <v>2310</v>
      </c>
      <c r="O759" s="1">
        <v>44395</v>
      </c>
      <c r="S759" t="s">
        <v>915</v>
      </c>
      <c r="T759" s="6" t="s">
        <v>936</v>
      </c>
      <c r="U759" s="6" t="s">
        <v>930</v>
      </c>
      <c r="V759" s="2" t="s">
        <v>1618</v>
      </c>
      <c r="W759" t="str">
        <f t="shared" si="11"/>
        <v>2000056616_20197</v>
      </c>
      <c r="X759" s="2" t="s">
        <v>1616</v>
      </c>
    </row>
    <row r="760" spans="1:24" hidden="1" x14ac:dyDescent="0.35">
      <c r="B760">
        <v>2000056616</v>
      </c>
      <c r="C760" s="1">
        <v>44533</v>
      </c>
      <c r="D760" t="s">
        <v>2684</v>
      </c>
      <c r="F760" t="s">
        <v>19</v>
      </c>
      <c r="G760" t="s">
        <v>1750</v>
      </c>
      <c r="H760" t="s">
        <v>2686</v>
      </c>
      <c r="I760" t="s">
        <v>22</v>
      </c>
      <c r="J760">
        <v>0.86699999999999999</v>
      </c>
      <c r="K760">
        <v>2.8</v>
      </c>
      <c r="L760">
        <v>4</v>
      </c>
      <c r="M760">
        <v>0.75</v>
      </c>
      <c r="N760" t="s">
        <v>2310</v>
      </c>
      <c r="O760" s="1">
        <v>45263</v>
      </c>
      <c r="S760" t="s">
        <v>915</v>
      </c>
      <c r="T760" s="6" t="s">
        <v>949</v>
      </c>
      <c r="U760" s="6" t="s">
        <v>941</v>
      </c>
      <c r="V760" s="2" t="s">
        <v>952</v>
      </c>
      <c r="W760" t="str">
        <f t="shared" si="11"/>
        <v>2000056616_202112</v>
      </c>
      <c r="X760" s="2" t="s">
        <v>1616</v>
      </c>
    </row>
    <row r="761" spans="1:24" hidden="1" x14ac:dyDescent="0.35">
      <c r="B761">
        <v>2000056616</v>
      </c>
      <c r="C761" s="1">
        <v>45065</v>
      </c>
      <c r="D761" t="s">
        <v>2684</v>
      </c>
      <c r="F761" t="s">
        <v>19</v>
      </c>
      <c r="G761" t="s">
        <v>1750</v>
      </c>
      <c r="H761" t="s">
        <v>2687</v>
      </c>
      <c r="I761" t="s">
        <v>22</v>
      </c>
      <c r="J761">
        <v>0.94099999999999995</v>
      </c>
      <c r="K761">
        <v>3</v>
      </c>
      <c r="L761">
        <v>1</v>
      </c>
      <c r="M761">
        <v>1</v>
      </c>
      <c r="N761" t="s">
        <v>2314</v>
      </c>
      <c r="O761" s="1">
        <v>46161</v>
      </c>
      <c r="S761" t="s">
        <v>915</v>
      </c>
      <c r="T761" s="6" t="s">
        <v>947</v>
      </c>
      <c r="U761" s="6" t="s">
        <v>931</v>
      </c>
      <c r="V761" s="2" t="s">
        <v>955</v>
      </c>
      <c r="W761" t="str">
        <f t="shared" si="11"/>
        <v>2000056616_20235</v>
      </c>
      <c r="X761" s="2" t="s">
        <v>1616</v>
      </c>
    </row>
    <row r="762" spans="1:24" hidden="1" x14ac:dyDescent="0.35">
      <c r="B762">
        <v>2000056620</v>
      </c>
      <c r="C762" s="1">
        <v>44210</v>
      </c>
      <c r="D762" t="s">
        <v>2688</v>
      </c>
      <c r="F762" t="s">
        <v>39</v>
      </c>
      <c r="G762" t="s">
        <v>1603</v>
      </c>
      <c r="H762" t="s">
        <v>2689</v>
      </c>
      <c r="I762" t="s">
        <v>41</v>
      </c>
      <c r="J762">
        <v>0.93100000000000005</v>
      </c>
      <c r="K762">
        <v>2.6</v>
      </c>
      <c r="L762">
        <v>4</v>
      </c>
      <c r="M762">
        <v>0.82</v>
      </c>
      <c r="N762" t="s">
        <v>2310</v>
      </c>
      <c r="O762" s="1">
        <v>44940</v>
      </c>
      <c r="S762" t="s">
        <v>915</v>
      </c>
      <c r="T762" s="6" t="s">
        <v>953</v>
      </c>
      <c r="U762" s="6" t="s">
        <v>951</v>
      </c>
      <c r="V762" s="2" t="s">
        <v>952</v>
      </c>
      <c r="W762" t="str">
        <f t="shared" si="11"/>
        <v>2000056620_20211</v>
      </c>
      <c r="X762" s="2" t="s">
        <v>1616</v>
      </c>
    </row>
    <row r="763" spans="1:24" hidden="1" x14ac:dyDescent="0.35">
      <c r="B763">
        <v>2000056620</v>
      </c>
      <c r="C763" s="1">
        <v>45033</v>
      </c>
      <c r="D763" t="s">
        <v>2688</v>
      </c>
      <c r="F763" t="s">
        <v>39</v>
      </c>
      <c r="G763" t="s">
        <v>1603</v>
      </c>
      <c r="H763" t="s">
        <v>2690</v>
      </c>
      <c r="I763" t="s">
        <v>41</v>
      </c>
      <c r="J763">
        <v>1</v>
      </c>
      <c r="K763">
        <v>3</v>
      </c>
      <c r="L763">
        <v>0</v>
      </c>
      <c r="M763">
        <v>0.92</v>
      </c>
      <c r="N763" t="s">
        <v>2314</v>
      </c>
      <c r="O763" s="1">
        <v>46129</v>
      </c>
      <c r="S763" t="s">
        <v>915</v>
      </c>
      <c r="T763" s="6" t="s">
        <v>946</v>
      </c>
      <c r="U763" s="6" t="s">
        <v>929</v>
      </c>
      <c r="V763" s="2" t="s">
        <v>955</v>
      </c>
      <c r="W763" t="str">
        <f t="shared" si="11"/>
        <v>2000056620_20234</v>
      </c>
      <c r="X763" s="2" t="s">
        <v>1616</v>
      </c>
    </row>
    <row r="764" spans="1:24" hidden="1" x14ac:dyDescent="0.35">
      <c r="A764">
        <v>11</v>
      </c>
      <c r="B764">
        <v>2000056637</v>
      </c>
      <c r="C764" s="1">
        <v>44287</v>
      </c>
      <c r="D764" t="s">
        <v>172</v>
      </c>
      <c r="E764" t="s">
        <v>18</v>
      </c>
      <c r="F764" t="s">
        <v>39</v>
      </c>
      <c r="G764" t="s">
        <v>168</v>
      </c>
      <c r="H764" t="s">
        <v>173</v>
      </c>
      <c r="I764" t="s">
        <v>41</v>
      </c>
      <c r="J764">
        <v>0.88</v>
      </c>
      <c r="K764">
        <v>2.7</v>
      </c>
      <c r="L764">
        <v>5</v>
      </c>
      <c r="M764">
        <v>0.81</v>
      </c>
      <c r="N764" t="s">
        <v>28</v>
      </c>
      <c r="O764" s="1">
        <v>45017</v>
      </c>
      <c r="S764" t="s">
        <v>915</v>
      </c>
      <c r="T764" s="6" t="s">
        <v>946</v>
      </c>
      <c r="U764" s="6" t="s">
        <v>953</v>
      </c>
      <c r="V764" s="2" t="s">
        <v>952</v>
      </c>
      <c r="W764" t="str">
        <f t="shared" si="11"/>
        <v>2000056637_20214</v>
      </c>
      <c r="X764" s="2" t="s">
        <v>1615</v>
      </c>
    </row>
    <row r="765" spans="1:24" hidden="1" x14ac:dyDescent="0.35">
      <c r="A765">
        <v>17</v>
      </c>
      <c r="B765">
        <v>2000056637</v>
      </c>
      <c r="C765" s="1">
        <v>45008</v>
      </c>
      <c r="D765" t="s">
        <v>172</v>
      </c>
      <c r="E765" t="s">
        <v>18</v>
      </c>
      <c r="F765" t="s">
        <v>39</v>
      </c>
      <c r="G765" t="s">
        <v>168</v>
      </c>
      <c r="H765" t="s">
        <v>173</v>
      </c>
      <c r="I765" t="s">
        <v>41</v>
      </c>
      <c r="J765">
        <v>0.97199999999999998</v>
      </c>
      <c r="K765">
        <v>3</v>
      </c>
      <c r="L765">
        <v>1</v>
      </c>
      <c r="M765">
        <v>0.78</v>
      </c>
      <c r="N765" t="s">
        <v>368</v>
      </c>
      <c r="O765" s="1">
        <v>46104</v>
      </c>
      <c r="S765" t="s">
        <v>915</v>
      </c>
      <c r="T765" s="6" t="s">
        <v>941</v>
      </c>
      <c r="U765" s="6" t="s">
        <v>934</v>
      </c>
      <c r="V765" s="2" t="s">
        <v>955</v>
      </c>
      <c r="W765" t="str">
        <f t="shared" si="11"/>
        <v>2000056637_20233</v>
      </c>
      <c r="X765" s="2" t="s">
        <v>1615</v>
      </c>
    </row>
    <row r="766" spans="1:24" hidden="1" x14ac:dyDescent="0.35">
      <c r="A766">
        <v>7</v>
      </c>
      <c r="B766">
        <v>2000056643</v>
      </c>
      <c r="C766" s="1">
        <v>44985</v>
      </c>
      <c r="D766" t="s">
        <v>548</v>
      </c>
      <c r="E766" t="s">
        <v>18</v>
      </c>
      <c r="F766" t="s">
        <v>148</v>
      </c>
      <c r="G766" t="s">
        <v>20</v>
      </c>
      <c r="H766" t="s">
        <v>549</v>
      </c>
      <c r="I766" t="s">
        <v>148</v>
      </c>
      <c r="J766">
        <v>0.65900000000000003</v>
      </c>
      <c r="K766">
        <v>2.75</v>
      </c>
      <c r="L766">
        <v>4</v>
      </c>
      <c r="M766">
        <v>0.71</v>
      </c>
      <c r="N766" t="s">
        <v>23</v>
      </c>
      <c r="O766" s="1">
        <v>45350</v>
      </c>
      <c r="S766" t="s">
        <v>915</v>
      </c>
      <c r="T766" s="6" t="s">
        <v>921</v>
      </c>
      <c r="U766" s="6" t="s">
        <v>926</v>
      </c>
      <c r="V766" s="2" t="s">
        <v>955</v>
      </c>
      <c r="W766" t="str">
        <f t="shared" si="11"/>
        <v>2000056643_20232</v>
      </c>
      <c r="X766" s="2" t="s">
        <v>1615</v>
      </c>
    </row>
    <row r="767" spans="1:24" hidden="1" x14ac:dyDescent="0.35">
      <c r="A767">
        <v>5</v>
      </c>
      <c r="B767">
        <v>2000056643</v>
      </c>
      <c r="C767" s="1">
        <v>45350</v>
      </c>
      <c r="D767" t="s">
        <v>548</v>
      </c>
      <c r="E767" t="s">
        <v>18</v>
      </c>
      <c r="F767" t="s">
        <v>148</v>
      </c>
      <c r="G767" t="s">
        <v>20</v>
      </c>
      <c r="H767" t="s">
        <v>670</v>
      </c>
      <c r="I767" t="s">
        <v>148</v>
      </c>
      <c r="J767">
        <v>0.71</v>
      </c>
      <c r="K767">
        <v>2.4500000000000002</v>
      </c>
      <c r="L767">
        <v>2</v>
      </c>
      <c r="M767">
        <v>0.64</v>
      </c>
      <c r="N767" t="s">
        <v>23</v>
      </c>
      <c r="O767" s="1">
        <v>45716</v>
      </c>
      <c r="S767" t="s">
        <v>915</v>
      </c>
      <c r="T767" s="6" t="s">
        <v>921</v>
      </c>
      <c r="U767" s="6" t="s">
        <v>926</v>
      </c>
      <c r="V767" s="2" t="s">
        <v>956</v>
      </c>
      <c r="W767" t="str">
        <f t="shared" si="11"/>
        <v>2000056643_20242</v>
      </c>
      <c r="X767" s="2" t="s">
        <v>1615</v>
      </c>
    </row>
    <row r="768" spans="1:24" hidden="1" x14ac:dyDescent="0.35">
      <c r="A768">
        <v>12</v>
      </c>
      <c r="B768">
        <v>2000065777</v>
      </c>
      <c r="C768" s="1">
        <v>45713</v>
      </c>
      <c r="D768" t="s">
        <v>3441</v>
      </c>
      <c r="E768" t="s">
        <v>18</v>
      </c>
      <c r="F768" t="s">
        <v>148</v>
      </c>
      <c r="G768" t="s">
        <v>20</v>
      </c>
      <c r="H768" t="s">
        <v>3442</v>
      </c>
      <c r="I768" t="s">
        <v>148</v>
      </c>
      <c r="J768">
        <v>0.85699999999999998</v>
      </c>
      <c r="K768">
        <v>3</v>
      </c>
      <c r="L768">
        <v>1</v>
      </c>
      <c r="M768">
        <v>0.91</v>
      </c>
      <c r="N768" t="s">
        <v>28</v>
      </c>
      <c r="O768" s="1">
        <v>46443</v>
      </c>
      <c r="S768" t="s">
        <v>915</v>
      </c>
      <c r="T768" s="5" t="s">
        <v>921</v>
      </c>
      <c r="U768" s="5" t="s">
        <v>922</v>
      </c>
      <c r="V768" t="s">
        <v>1650</v>
      </c>
      <c r="W768" t="str">
        <f t="shared" si="11"/>
        <v>2000065777_20252</v>
      </c>
      <c r="X768" t="s">
        <v>1615</v>
      </c>
    </row>
    <row r="769" spans="1:24" hidden="1" x14ac:dyDescent="0.35">
      <c r="A769">
        <v>13</v>
      </c>
      <c r="B769">
        <v>2000058808</v>
      </c>
      <c r="C769" s="1">
        <v>45714</v>
      </c>
      <c r="D769" t="s">
        <v>3443</v>
      </c>
      <c r="E769" t="s">
        <v>18</v>
      </c>
      <c r="F769" t="s">
        <v>148</v>
      </c>
      <c r="G769" t="s">
        <v>20</v>
      </c>
      <c r="H769" t="s">
        <v>3444</v>
      </c>
      <c r="I769" t="s">
        <v>148</v>
      </c>
      <c r="J769">
        <v>1</v>
      </c>
      <c r="K769">
        <v>3</v>
      </c>
      <c r="L769">
        <v>0</v>
      </c>
      <c r="M769">
        <v>0.93</v>
      </c>
      <c r="N769" t="s">
        <v>368</v>
      </c>
      <c r="O769" s="1">
        <v>46809</v>
      </c>
      <c r="Q769" t="s">
        <v>3445</v>
      </c>
      <c r="S769" t="s">
        <v>915</v>
      </c>
      <c r="T769" s="5" t="s">
        <v>921</v>
      </c>
      <c r="U769" s="5" t="s">
        <v>924</v>
      </c>
      <c r="V769" t="s">
        <v>1650</v>
      </c>
      <c r="W769" t="str">
        <f t="shared" si="11"/>
        <v>2000058808_20252</v>
      </c>
      <c r="X769" t="s">
        <v>1615</v>
      </c>
    </row>
    <row r="770" spans="1:24" hidden="1" x14ac:dyDescent="0.35">
      <c r="B770">
        <v>2000056661</v>
      </c>
      <c r="C770" s="1">
        <v>45201</v>
      </c>
      <c r="D770" t="s">
        <v>2693</v>
      </c>
      <c r="F770" t="s">
        <v>43</v>
      </c>
      <c r="G770" t="s">
        <v>1609</v>
      </c>
      <c r="H770" t="s">
        <v>2694</v>
      </c>
      <c r="I770" t="s">
        <v>22</v>
      </c>
      <c r="J770">
        <v>0.97660000000000002</v>
      </c>
      <c r="K770">
        <v>3</v>
      </c>
      <c r="M770">
        <v>0.98</v>
      </c>
      <c r="N770" t="s">
        <v>2314</v>
      </c>
      <c r="O770" s="1">
        <v>46297</v>
      </c>
      <c r="S770" t="s">
        <v>915</v>
      </c>
      <c r="T770" s="6" t="s">
        <v>948</v>
      </c>
      <c r="U770" s="6" t="s">
        <v>921</v>
      </c>
      <c r="V770" s="2" t="s">
        <v>955</v>
      </c>
      <c r="W770" t="str">
        <f t="shared" ref="W770:W833" si="12">CONCATENATE(B770,"_",V770,T770)</f>
        <v>2000056661_202310</v>
      </c>
      <c r="X770" s="2" t="s">
        <v>1616</v>
      </c>
    </row>
    <row r="771" spans="1:24" hidden="1" x14ac:dyDescent="0.35">
      <c r="A771">
        <v>135</v>
      </c>
      <c r="B771">
        <v>2000056673</v>
      </c>
      <c r="C771" s="1">
        <v>45582</v>
      </c>
      <c r="D771" t="s">
        <v>3243</v>
      </c>
      <c r="E771" t="s">
        <v>18</v>
      </c>
      <c r="F771" t="s">
        <v>43</v>
      </c>
      <c r="G771" t="s">
        <v>1606</v>
      </c>
      <c r="H771" t="s">
        <v>3244</v>
      </c>
      <c r="I771" t="s">
        <v>41</v>
      </c>
      <c r="J771">
        <v>0.92600000000000005</v>
      </c>
      <c r="K771">
        <v>3</v>
      </c>
      <c r="L771">
        <v>4</v>
      </c>
      <c r="M771">
        <v>0.96</v>
      </c>
      <c r="N771" t="s">
        <v>368</v>
      </c>
      <c r="O771" s="1">
        <v>46677</v>
      </c>
      <c r="S771" t="s">
        <v>915</v>
      </c>
      <c r="T771" s="5" t="s">
        <v>948</v>
      </c>
      <c r="U771" s="5" t="s">
        <v>929</v>
      </c>
      <c r="V771" t="s">
        <v>956</v>
      </c>
      <c r="W771" t="str">
        <f t="shared" si="12"/>
        <v>2000056673_202410</v>
      </c>
      <c r="X771" t="s">
        <v>1616</v>
      </c>
    </row>
    <row r="772" spans="1:24" hidden="1" x14ac:dyDescent="0.35">
      <c r="B772">
        <v>2000056703</v>
      </c>
      <c r="C772" s="1">
        <v>44152</v>
      </c>
      <c r="D772" t="s">
        <v>2701</v>
      </c>
      <c r="F772" t="s">
        <v>43</v>
      </c>
      <c r="G772" t="s">
        <v>1606</v>
      </c>
      <c r="H772" t="s">
        <v>2702</v>
      </c>
      <c r="I772" t="s">
        <v>22</v>
      </c>
      <c r="J772">
        <v>0.97299999999999998</v>
      </c>
      <c r="K772">
        <v>3</v>
      </c>
      <c r="L772">
        <v>0</v>
      </c>
      <c r="M772">
        <v>0.95</v>
      </c>
      <c r="N772" t="s">
        <v>2310</v>
      </c>
      <c r="O772" s="1">
        <v>44882</v>
      </c>
      <c r="S772" t="s">
        <v>915</v>
      </c>
      <c r="T772" s="6" t="s">
        <v>945</v>
      </c>
      <c r="U772" s="6" t="s">
        <v>929</v>
      </c>
      <c r="V772" s="2" t="s">
        <v>923</v>
      </c>
      <c r="W772" t="str">
        <f t="shared" si="12"/>
        <v>2000056703_202011</v>
      </c>
      <c r="X772" s="2" t="s">
        <v>1616</v>
      </c>
    </row>
    <row r="773" spans="1:24" hidden="1" x14ac:dyDescent="0.35">
      <c r="B773">
        <v>2000056703</v>
      </c>
      <c r="C773" s="1">
        <v>44839</v>
      </c>
      <c r="D773" t="s">
        <v>2701</v>
      </c>
      <c r="F773" t="s">
        <v>43</v>
      </c>
      <c r="G773" t="s">
        <v>1606</v>
      </c>
      <c r="H773" t="s">
        <v>2703</v>
      </c>
      <c r="I773" t="s">
        <v>22</v>
      </c>
      <c r="J773">
        <v>0.96799999999999997</v>
      </c>
      <c r="K773">
        <v>3</v>
      </c>
      <c r="L773">
        <v>0</v>
      </c>
      <c r="M773">
        <v>0.92</v>
      </c>
      <c r="N773" t="s">
        <v>2314</v>
      </c>
      <c r="O773" s="1">
        <v>45935</v>
      </c>
      <c r="S773" t="s">
        <v>915</v>
      </c>
      <c r="T773" s="6" t="s">
        <v>948</v>
      </c>
      <c r="U773" s="6" t="s">
        <v>947</v>
      </c>
      <c r="V773" s="2" t="s">
        <v>954</v>
      </c>
      <c r="W773" t="str">
        <f t="shared" si="12"/>
        <v>2000056703_202210</v>
      </c>
      <c r="X773" s="2" t="s">
        <v>1616</v>
      </c>
    </row>
    <row r="774" spans="1:24" hidden="1" x14ac:dyDescent="0.35">
      <c r="A774">
        <v>58</v>
      </c>
      <c r="B774">
        <v>2000056705</v>
      </c>
      <c r="C774" s="1">
        <v>45149</v>
      </c>
      <c r="D774" t="s">
        <v>3852</v>
      </c>
      <c r="E774" t="s">
        <v>18</v>
      </c>
      <c r="F774" t="s">
        <v>39</v>
      </c>
      <c r="G774" t="s">
        <v>168</v>
      </c>
      <c r="H774" t="s">
        <v>291</v>
      </c>
      <c r="I774" t="s">
        <v>41</v>
      </c>
      <c r="J774">
        <v>0.85</v>
      </c>
      <c r="K774">
        <v>2.7</v>
      </c>
      <c r="L774">
        <v>2</v>
      </c>
      <c r="M774">
        <v>0.8</v>
      </c>
      <c r="N774" t="s">
        <v>28</v>
      </c>
      <c r="O774" s="1">
        <v>45880</v>
      </c>
      <c r="S774" t="s">
        <v>915</v>
      </c>
      <c r="T774" s="6" t="s">
        <v>940</v>
      </c>
      <c r="U774" s="6" t="s">
        <v>945</v>
      </c>
      <c r="V774" s="2" t="s">
        <v>955</v>
      </c>
      <c r="W774" t="str">
        <f t="shared" si="12"/>
        <v>2000056705_20238</v>
      </c>
      <c r="X774" s="2" t="s">
        <v>1615</v>
      </c>
    </row>
    <row r="775" spans="1:24" hidden="1" x14ac:dyDescent="0.35">
      <c r="A775">
        <v>73</v>
      </c>
      <c r="B775">
        <v>2000056705</v>
      </c>
      <c r="C775" s="1">
        <v>44468</v>
      </c>
      <c r="D775" t="s">
        <v>3852</v>
      </c>
      <c r="E775" t="s">
        <v>18</v>
      </c>
      <c r="F775" t="s">
        <v>39</v>
      </c>
      <c r="G775" t="s">
        <v>168</v>
      </c>
      <c r="H775" t="s">
        <v>291</v>
      </c>
      <c r="I775" t="s">
        <v>41</v>
      </c>
      <c r="J775">
        <v>0.81599999999999995</v>
      </c>
      <c r="K775">
        <v>2.2999999999999998</v>
      </c>
      <c r="L775">
        <v>3</v>
      </c>
      <c r="M775">
        <v>0.72</v>
      </c>
      <c r="N775" t="s">
        <v>28</v>
      </c>
      <c r="O775" s="1">
        <v>45198</v>
      </c>
      <c r="S775" t="s">
        <v>915</v>
      </c>
      <c r="T775" s="6" t="s">
        <v>942</v>
      </c>
      <c r="U775" s="6" t="s">
        <v>937</v>
      </c>
      <c r="V775" s="2" t="s">
        <v>952</v>
      </c>
      <c r="W775" t="str">
        <f t="shared" si="12"/>
        <v>2000056705_20219</v>
      </c>
      <c r="X775" s="2" t="s">
        <v>1615</v>
      </c>
    </row>
    <row r="776" spans="1:24" hidden="1" x14ac:dyDescent="0.35">
      <c r="A776">
        <v>41</v>
      </c>
      <c r="B776">
        <v>2000056710</v>
      </c>
      <c r="C776" s="1">
        <v>44138</v>
      </c>
      <c r="D776" t="s">
        <v>3887</v>
      </c>
      <c r="E776" t="s">
        <v>18</v>
      </c>
      <c r="F776" t="s">
        <v>32</v>
      </c>
      <c r="G776" t="s">
        <v>116</v>
      </c>
      <c r="H776" t="s">
        <v>118</v>
      </c>
      <c r="I776" t="s">
        <v>41</v>
      </c>
      <c r="J776">
        <v>0.84399999999999997</v>
      </c>
      <c r="K776">
        <v>2</v>
      </c>
      <c r="L776">
        <v>2</v>
      </c>
      <c r="M776">
        <v>0.73</v>
      </c>
      <c r="N776" t="s">
        <v>23</v>
      </c>
      <c r="O776" s="1">
        <v>44503</v>
      </c>
      <c r="S776" t="s">
        <v>915</v>
      </c>
      <c r="T776" s="6" t="s">
        <v>945</v>
      </c>
      <c r="U776" s="6" t="s">
        <v>941</v>
      </c>
      <c r="V776" s="2" t="s">
        <v>923</v>
      </c>
      <c r="W776" t="str">
        <f t="shared" si="12"/>
        <v>2000056710_202011</v>
      </c>
      <c r="X776" s="2" t="s">
        <v>1615</v>
      </c>
    </row>
    <row r="777" spans="1:24" hidden="1" x14ac:dyDescent="0.35">
      <c r="A777">
        <v>78</v>
      </c>
      <c r="B777">
        <v>2000056710</v>
      </c>
      <c r="C777" s="1">
        <v>45218</v>
      </c>
      <c r="D777" t="s">
        <v>3887</v>
      </c>
      <c r="E777" t="s">
        <v>18</v>
      </c>
      <c r="F777" t="s">
        <v>32</v>
      </c>
      <c r="G777" t="s">
        <v>116</v>
      </c>
      <c r="H777" t="s">
        <v>520</v>
      </c>
      <c r="I777" t="s">
        <v>41</v>
      </c>
      <c r="J777">
        <v>0.83299999999999996</v>
      </c>
      <c r="K777">
        <v>2.6</v>
      </c>
      <c r="L777">
        <v>2</v>
      </c>
      <c r="M777">
        <v>0.75</v>
      </c>
      <c r="N777" t="s">
        <v>28</v>
      </c>
      <c r="O777" s="1">
        <v>45949</v>
      </c>
      <c r="S777" t="s">
        <v>915</v>
      </c>
      <c r="T777" s="6" t="s">
        <v>948</v>
      </c>
      <c r="U777" s="6" t="s">
        <v>931</v>
      </c>
      <c r="V777" s="2" t="s">
        <v>955</v>
      </c>
      <c r="W777" t="str">
        <f t="shared" si="12"/>
        <v>2000056710_202310</v>
      </c>
      <c r="X777" s="2" t="s">
        <v>1615</v>
      </c>
    </row>
    <row r="778" spans="1:24" hidden="1" x14ac:dyDescent="0.35">
      <c r="A778">
        <v>102</v>
      </c>
      <c r="B778">
        <v>2000056710</v>
      </c>
      <c r="C778" s="1">
        <v>44847</v>
      </c>
      <c r="D778" t="s">
        <v>3887</v>
      </c>
      <c r="E778" t="s">
        <v>18</v>
      </c>
      <c r="F778" t="s">
        <v>39</v>
      </c>
      <c r="G778" t="s">
        <v>116</v>
      </c>
      <c r="H778" t="s">
        <v>520</v>
      </c>
      <c r="I778" t="s">
        <v>41</v>
      </c>
      <c r="J778">
        <v>0.76500000000000001</v>
      </c>
      <c r="K778">
        <v>2.2999999999999998</v>
      </c>
      <c r="L778">
        <v>7</v>
      </c>
      <c r="M778">
        <v>0.77</v>
      </c>
      <c r="N778" t="s">
        <v>23</v>
      </c>
      <c r="O778" s="1">
        <v>45212</v>
      </c>
      <c r="S778" t="s">
        <v>915</v>
      </c>
      <c r="T778" s="6" t="s">
        <v>948</v>
      </c>
      <c r="U778" s="6" t="s">
        <v>950</v>
      </c>
      <c r="V778" s="2" t="s">
        <v>954</v>
      </c>
      <c r="W778" t="str">
        <f t="shared" si="12"/>
        <v>2000056710_202210</v>
      </c>
      <c r="X778" s="2" t="s">
        <v>1615</v>
      </c>
    </row>
    <row r="779" spans="1:24" hidden="1" x14ac:dyDescent="0.35">
      <c r="A779">
        <v>76</v>
      </c>
      <c r="B779">
        <v>2000056710</v>
      </c>
      <c r="C779" s="1">
        <v>43749</v>
      </c>
      <c r="D779" t="s">
        <v>3887</v>
      </c>
      <c r="E779" t="s">
        <v>18</v>
      </c>
      <c r="F779" t="s">
        <v>32</v>
      </c>
      <c r="G779" t="s">
        <v>1642</v>
      </c>
      <c r="H779" t="s">
        <v>118</v>
      </c>
      <c r="I779" t="s">
        <v>41</v>
      </c>
      <c r="J779">
        <v>0.51400000000000001</v>
      </c>
      <c r="K779">
        <v>2.4</v>
      </c>
      <c r="L779">
        <v>3</v>
      </c>
      <c r="N779" t="s">
        <v>23</v>
      </c>
      <c r="O779" s="1">
        <v>44115</v>
      </c>
      <c r="R779" t="s">
        <v>1637</v>
      </c>
      <c r="S779" t="s">
        <v>915</v>
      </c>
      <c r="T779" s="5" t="s">
        <v>948</v>
      </c>
      <c r="U779" s="5">
        <v>11</v>
      </c>
      <c r="V779" t="s">
        <v>1618</v>
      </c>
      <c r="W779" t="str">
        <f t="shared" si="12"/>
        <v>2000056710_201910</v>
      </c>
      <c r="X779" s="2" t="s">
        <v>1615</v>
      </c>
    </row>
    <row r="780" spans="1:24" hidden="1" x14ac:dyDescent="0.35">
      <c r="A780">
        <v>56</v>
      </c>
      <c r="B780">
        <v>2000056719</v>
      </c>
      <c r="C780" s="1">
        <v>44433</v>
      </c>
      <c r="D780" t="s">
        <v>256</v>
      </c>
      <c r="E780" t="s">
        <v>18</v>
      </c>
      <c r="F780" t="s">
        <v>39</v>
      </c>
      <c r="G780" t="s">
        <v>20</v>
      </c>
      <c r="H780" t="s">
        <v>257</v>
      </c>
      <c r="I780" t="s">
        <v>41</v>
      </c>
      <c r="J780">
        <v>0.84099999999999997</v>
      </c>
      <c r="K780">
        <v>2.4</v>
      </c>
      <c r="L780">
        <v>3</v>
      </c>
      <c r="M780">
        <v>0.67</v>
      </c>
      <c r="N780" t="s">
        <v>28</v>
      </c>
      <c r="O780" s="1">
        <v>45163</v>
      </c>
      <c r="S780" t="s">
        <v>915</v>
      </c>
      <c r="T780" s="6" t="s">
        <v>940</v>
      </c>
      <c r="U780" s="6" t="s">
        <v>922</v>
      </c>
      <c r="V780" s="2" t="s">
        <v>952</v>
      </c>
      <c r="W780" t="str">
        <f t="shared" si="12"/>
        <v>2000056719_20218</v>
      </c>
      <c r="X780" s="2" t="s">
        <v>1615</v>
      </c>
    </row>
    <row r="781" spans="1:24" hidden="1" x14ac:dyDescent="0.35">
      <c r="A781">
        <v>73</v>
      </c>
      <c r="B781">
        <v>2000056719</v>
      </c>
      <c r="C781" s="1">
        <v>45197</v>
      </c>
      <c r="D781" t="s">
        <v>256</v>
      </c>
      <c r="E781" t="s">
        <v>18</v>
      </c>
      <c r="F781" t="s">
        <v>39</v>
      </c>
      <c r="G781" t="s">
        <v>20</v>
      </c>
      <c r="H781" t="s">
        <v>621</v>
      </c>
      <c r="I781" t="s">
        <v>41</v>
      </c>
      <c r="J781">
        <v>0.82399999999999995</v>
      </c>
      <c r="K781">
        <v>2.2999999999999998</v>
      </c>
      <c r="L781">
        <v>4</v>
      </c>
      <c r="M781">
        <v>0.7</v>
      </c>
      <c r="N781" t="s">
        <v>28</v>
      </c>
      <c r="O781" s="1">
        <v>45563</v>
      </c>
      <c r="S781" t="s">
        <v>915</v>
      </c>
      <c r="T781" s="6" t="s">
        <v>942</v>
      </c>
      <c r="U781" s="6" t="s">
        <v>926</v>
      </c>
      <c r="V781" s="2" t="s">
        <v>955</v>
      </c>
      <c r="W781" t="str">
        <f t="shared" si="12"/>
        <v>2000056719_20239</v>
      </c>
      <c r="X781" s="2" t="s">
        <v>1615</v>
      </c>
    </row>
    <row r="782" spans="1:24" hidden="1" x14ac:dyDescent="0.35">
      <c r="A782">
        <v>33</v>
      </c>
      <c r="B782">
        <v>2000057753</v>
      </c>
      <c r="C782" s="1">
        <v>45736</v>
      </c>
      <c r="D782" t="s">
        <v>2929</v>
      </c>
      <c r="E782" t="s">
        <v>18</v>
      </c>
      <c r="F782" t="s">
        <v>52</v>
      </c>
      <c r="G782" t="s">
        <v>1606</v>
      </c>
      <c r="H782" t="s">
        <v>3542</v>
      </c>
      <c r="I782" t="s">
        <v>41</v>
      </c>
      <c r="J782">
        <v>0.91200000000000003</v>
      </c>
      <c r="K782">
        <v>3</v>
      </c>
      <c r="L782">
        <v>2</v>
      </c>
      <c r="M782">
        <v>0.81</v>
      </c>
      <c r="N782" t="s">
        <v>2314</v>
      </c>
      <c r="O782" s="1">
        <v>46832</v>
      </c>
      <c r="R782" t="s">
        <v>1613</v>
      </c>
      <c r="S782" t="s">
        <v>915</v>
      </c>
      <c r="T782" s="5" t="s">
        <v>941</v>
      </c>
      <c r="U782" s="5" t="s">
        <v>932</v>
      </c>
      <c r="V782" t="s">
        <v>1650</v>
      </c>
      <c r="W782" t="str">
        <f t="shared" si="12"/>
        <v>2000057753_20253</v>
      </c>
      <c r="X782" t="s">
        <v>1616</v>
      </c>
    </row>
    <row r="783" spans="1:24" hidden="1" x14ac:dyDescent="0.35">
      <c r="B783">
        <v>2000056724</v>
      </c>
      <c r="C783" s="1">
        <v>44516</v>
      </c>
      <c r="D783" t="s">
        <v>2707</v>
      </c>
      <c r="F783" t="s">
        <v>39</v>
      </c>
      <c r="G783" t="s">
        <v>1609</v>
      </c>
      <c r="H783" t="s">
        <v>2708</v>
      </c>
      <c r="I783" t="s">
        <v>41</v>
      </c>
      <c r="J783">
        <v>0.80600000000000005</v>
      </c>
      <c r="K783">
        <v>2.6</v>
      </c>
      <c r="L783">
        <v>6</v>
      </c>
      <c r="M783">
        <v>0.91</v>
      </c>
      <c r="N783" t="s">
        <v>2310</v>
      </c>
      <c r="O783" s="1">
        <v>45246</v>
      </c>
      <c r="S783" t="s">
        <v>915</v>
      </c>
      <c r="T783" s="6" t="s">
        <v>945</v>
      </c>
      <c r="U783" s="6" t="s">
        <v>928</v>
      </c>
      <c r="V783" s="2" t="s">
        <v>952</v>
      </c>
      <c r="W783" t="str">
        <f t="shared" si="12"/>
        <v>2000056724_202111</v>
      </c>
      <c r="X783" s="2" t="s">
        <v>1616</v>
      </c>
    </row>
    <row r="784" spans="1:24" hidden="1" x14ac:dyDescent="0.35">
      <c r="B784">
        <v>2000056724</v>
      </c>
      <c r="C784" s="1">
        <v>45119</v>
      </c>
      <c r="D784" t="s">
        <v>2707</v>
      </c>
      <c r="F784" t="s">
        <v>39</v>
      </c>
      <c r="G784" t="s">
        <v>1817</v>
      </c>
      <c r="H784" t="s">
        <v>2709</v>
      </c>
      <c r="I784" t="s">
        <v>41</v>
      </c>
      <c r="J784">
        <v>0.80600000000000005</v>
      </c>
      <c r="K784">
        <v>3</v>
      </c>
      <c r="L784">
        <v>3</v>
      </c>
      <c r="M784">
        <v>0.93</v>
      </c>
      <c r="N784" t="s">
        <v>2310</v>
      </c>
      <c r="O784" s="1">
        <v>45850</v>
      </c>
      <c r="S784" t="s">
        <v>915</v>
      </c>
      <c r="T784" s="6" t="s">
        <v>936</v>
      </c>
      <c r="U784" s="6" t="s">
        <v>949</v>
      </c>
      <c r="V784" s="2" t="s">
        <v>955</v>
      </c>
      <c r="W784" t="str">
        <f t="shared" si="12"/>
        <v>2000056724_20237</v>
      </c>
      <c r="X784" s="2" t="s">
        <v>1616</v>
      </c>
    </row>
    <row r="785" spans="1:24" hidden="1" x14ac:dyDescent="0.35">
      <c r="B785">
        <v>2000056733</v>
      </c>
      <c r="C785" s="1">
        <v>43878</v>
      </c>
      <c r="D785" t="s">
        <v>2710</v>
      </c>
      <c r="F785" t="s">
        <v>43</v>
      </c>
      <c r="G785" t="s">
        <v>1609</v>
      </c>
      <c r="H785" t="s">
        <v>2711</v>
      </c>
      <c r="I785" t="s">
        <v>41</v>
      </c>
      <c r="J785">
        <v>0.94289999999999996</v>
      </c>
      <c r="K785">
        <v>3</v>
      </c>
      <c r="L785">
        <v>0</v>
      </c>
      <c r="M785">
        <v>0.86</v>
      </c>
      <c r="N785" t="s">
        <v>2310</v>
      </c>
      <c r="O785" s="1">
        <v>44609</v>
      </c>
      <c r="S785" t="s">
        <v>915</v>
      </c>
      <c r="T785" s="6" t="s">
        <v>921</v>
      </c>
      <c r="U785" s="6" t="s">
        <v>929</v>
      </c>
      <c r="V785" s="2" t="s">
        <v>923</v>
      </c>
      <c r="W785" t="str">
        <f t="shared" si="12"/>
        <v>2000056733_20202</v>
      </c>
      <c r="X785" s="2" t="s">
        <v>1616</v>
      </c>
    </row>
    <row r="786" spans="1:24" hidden="1" x14ac:dyDescent="0.35">
      <c r="B786">
        <v>2000056733</v>
      </c>
      <c r="C786" s="1">
        <v>44795</v>
      </c>
      <c r="D786" t="s">
        <v>2712</v>
      </c>
      <c r="F786" t="s">
        <v>43</v>
      </c>
      <c r="G786" t="s">
        <v>1606</v>
      </c>
      <c r="H786" t="s">
        <v>2713</v>
      </c>
      <c r="I786" t="s">
        <v>41</v>
      </c>
      <c r="J786">
        <v>1</v>
      </c>
      <c r="K786">
        <v>3</v>
      </c>
      <c r="L786">
        <v>0</v>
      </c>
      <c r="M786">
        <v>0.96</v>
      </c>
      <c r="N786" t="s">
        <v>2314</v>
      </c>
      <c r="O786" s="1">
        <v>45891</v>
      </c>
      <c r="S786" t="s">
        <v>915</v>
      </c>
      <c r="T786" s="6" t="s">
        <v>940</v>
      </c>
      <c r="U786" s="6" t="s">
        <v>933</v>
      </c>
      <c r="V786" s="2" t="s">
        <v>954</v>
      </c>
      <c r="W786" t="str">
        <f t="shared" si="12"/>
        <v>2000056733_20228</v>
      </c>
      <c r="X786" s="2" t="s">
        <v>1616</v>
      </c>
    </row>
    <row r="787" spans="1:24" hidden="1" x14ac:dyDescent="0.35">
      <c r="A787">
        <v>59</v>
      </c>
      <c r="B787">
        <v>2000056746</v>
      </c>
      <c r="C787" s="1">
        <v>44438</v>
      </c>
      <c r="D787" t="s">
        <v>263</v>
      </c>
      <c r="E787" t="s">
        <v>18</v>
      </c>
      <c r="F787" t="s">
        <v>32</v>
      </c>
      <c r="G787" t="s">
        <v>261</v>
      </c>
      <c r="H787" t="s">
        <v>264</v>
      </c>
      <c r="I787" t="s">
        <v>41</v>
      </c>
      <c r="J787">
        <v>0.89100000000000001</v>
      </c>
      <c r="K787">
        <v>2.2999999999999998</v>
      </c>
      <c r="L787">
        <v>5</v>
      </c>
      <c r="M787">
        <v>0.84</v>
      </c>
      <c r="N787" t="s">
        <v>28</v>
      </c>
      <c r="O787" s="1">
        <v>45168</v>
      </c>
      <c r="S787" t="s">
        <v>915</v>
      </c>
      <c r="T787" s="6" t="s">
        <v>940</v>
      </c>
      <c r="U787" s="6" t="s">
        <v>938</v>
      </c>
      <c r="V787" s="2" t="s">
        <v>952</v>
      </c>
      <c r="W787" t="str">
        <f t="shared" si="12"/>
        <v>2000056746_20218</v>
      </c>
      <c r="X787" s="2" t="s">
        <v>1615</v>
      </c>
    </row>
    <row r="788" spans="1:24" hidden="1" x14ac:dyDescent="0.35">
      <c r="A788">
        <v>66</v>
      </c>
      <c r="B788">
        <v>2000056746</v>
      </c>
      <c r="C788" s="1">
        <v>45188</v>
      </c>
      <c r="D788" t="s">
        <v>263</v>
      </c>
      <c r="E788" t="s">
        <v>18</v>
      </c>
      <c r="F788" t="s">
        <v>32</v>
      </c>
      <c r="G788" t="s">
        <v>261</v>
      </c>
      <c r="H788" t="s">
        <v>264</v>
      </c>
      <c r="I788" t="s">
        <v>41</v>
      </c>
      <c r="J788">
        <v>0.93200000000000005</v>
      </c>
      <c r="K788">
        <v>2.2999999999999998</v>
      </c>
      <c r="L788">
        <v>5</v>
      </c>
      <c r="M788">
        <v>0.91</v>
      </c>
      <c r="N788" t="s">
        <v>28</v>
      </c>
      <c r="O788" s="1">
        <v>45919</v>
      </c>
      <c r="S788" t="s">
        <v>915</v>
      </c>
      <c r="T788" s="6" t="s">
        <v>942</v>
      </c>
      <c r="U788" s="6" t="s">
        <v>931</v>
      </c>
      <c r="V788" s="2" t="s">
        <v>955</v>
      </c>
      <c r="W788" t="str">
        <f t="shared" si="12"/>
        <v>2000056746_20239</v>
      </c>
      <c r="X788" s="2" t="s">
        <v>1615</v>
      </c>
    </row>
    <row r="789" spans="1:24" hidden="1" x14ac:dyDescent="0.35">
      <c r="A789">
        <v>27</v>
      </c>
      <c r="B789">
        <v>2000056753</v>
      </c>
      <c r="C789" s="1">
        <v>44046</v>
      </c>
      <c r="D789" t="s">
        <v>89</v>
      </c>
      <c r="E789" t="s">
        <v>18</v>
      </c>
      <c r="F789" t="s">
        <v>39</v>
      </c>
      <c r="G789" t="s">
        <v>20</v>
      </c>
      <c r="H789" t="s">
        <v>90</v>
      </c>
      <c r="I789" t="s">
        <v>41</v>
      </c>
      <c r="J789">
        <v>0.80400000000000005</v>
      </c>
      <c r="K789">
        <v>2</v>
      </c>
      <c r="L789">
        <v>9</v>
      </c>
      <c r="M789">
        <v>0.66669999999999996</v>
      </c>
      <c r="N789" t="s">
        <v>23</v>
      </c>
      <c r="O789" s="1">
        <v>44411</v>
      </c>
      <c r="S789" t="s">
        <v>915</v>
      </c>
      <c r="T789" s="6" t="s">
        <v>940</v>
      </c>
      <c r="U789" s="6" t="s">
        <v>941</v>
      </c>
      <c r="V789" s="2" t="s">
        <v>923</v>
      </c>
      <c r="W789" t="str">
        <f t="shared" si="12"/>
        <v>2000056753_20208</v>
      </c>
      <c r="X789" s="2" t="s">
        <v>1615</v>
      </c>
    </row>
    <row r="790" spans="1:24" hidden="1" x14ac:dyDescent="0.35">
      <c r="A790">
        <v>53</v>
      </c>
      <c r="B790">
        <v>2000056753</v>
      </c>
      <c r="C790" s="1">
        <v>44427</v>
      </c>
      <c r="D790" t="s">
        <v>89</v>
      </c>
      <c r="E790" t="s">
        <v>18</v>
      </c>
      <c r="F790" t="s">
        <v>148</v>
      </c>
      <c r="G790" t="s">
        <v>20</v>
      </c>
      <c r="H790" t="s">
        <v>253</v>
      </c>
      <c r="I790" t="s">
        <v>41</v>
      </c>
      <c r="J790">
        <v>0.80400000000000005</v>
      </c>
      <c r="K790">
        <v>2.2999999999999998</v>
      </c>
      <c r="L790">
        <v>4</v>
      </c>
      <c r="M790">
        <v>0.78</v>
      </c>
      <c r="N790" t="s">
        <v>28</v>
      </c>
      <c r="O790" s="1">
        <v>45157</v>
      </c>
      <c r="R790" t="s">
        <v>186</v>
      </c>
      <c r="S790" t="s">
        <v>915</v>
      </c>
      <c r="T790" s="6" t="s">
        <v>940</v>
      </c>
      <c r="U790" s="6" t="s">
        <v>931</v>
      </c>
      <c r="V790" s="2" t="s">
        <v>952</v>
      </c>
      <c r="W790" t="str">
        <f t="shared" si="12"/>
        <v>2000056753_20218</v>
      </c>
      <c r="X790" s="2" t="s">
        <v>1615</v>
      </c>
    </row>
    <row r="791" spans="1:24" hidden="1" x14ac:dyDescent="0.35">
      <c r="A791">
        <v>69</v>
      </c>
      <c r="B791">
        <v>2000056753</v>
      </c>
      <c r="C791" s="1">
        <v>45191</v>
      </c>
      <c r="D791" t="s">
        <v>89</v>
      </c>
      <c r="E791" t="s">
        <v>18</v>
      </c>
      <c r="F791" t="s">
        <v>39</v>
      </c>
      <c r="G791" t="s">
        <v>20</v>
      </c>
      <c r="H791" t="s">
        <v>619</v>
      </c>
      <c r="I791" t="s">
        <v>41</v>
      </c>
      <c r="J791">
        <v>0.7</v>
      </c>
      <c r="K791">
        <v>2</v>
      </c>
      <c r="L791">
        <v>9</v>
      </c>
      <c r="M791">
        <v>0.84</v>
      </c>
      <c r="N791" t="s">
        <v>23</v>
      </c>
      <c r="O791" s="1">
        <v>45557</v>
      </c>
      <c r="S791" t="s">
        <v>915</v>
      </c>
      <c r="T791" s="6" t="s">
        <v>942</v>
      </c>
      <c r="U791" s="6" t="s">
        <v>933</v>
      </c>
      <c r="V791" s="2" t="s">
        <v>955</v>
      </c>
      <c r="W791" t="str">
        <f t="shared" si="12"/>
        <v>2000056753_20239</v>
      </c>
      <c r="X791" s="2" t="s">
        <v>1615</v>
      </c>
    </row>
    <row r="792" spans="1:24" hidden="1" x14ac:dyDescent="0.35">
      <c r="B792">
        <v>2000056757</v>
      </c>
      <c r="C792" s="1">
        <v>44109</v>
      </c>
      <c r="D792" t="s">
        <v>2718</v>
      </c>
      <c r="F792" t="s">
        <v>43</v>
      </c>
      <c r="G792" t="s">
        <v>1609</v>
      </c>
      <c r="H792" t="s">
        <v>2719</v>
      </c>
      <c r="I792" t="s">
        <v>22</v>
      </c>
      <c r="J792">
        <v>0.96399999999999997</v>
      </c>
      <c r="K792">
        <v>3</v>
      </c>
      <c r="L792">
        <v>0</v>
      </c>
      <c r="M792">
        <v>1</v>
      </c>
      <c r="N792" t="s">
        <v>2310</v>
      </c>
      <c r="O792" s="1">
        <v>44839</v>
      </c>
      <c r="S792" t="s">
        <v>915</v>
      </c>
      <c r="T792" s="6" t="s">
        <v>948</v>
      </c>
      <c r="U792" s="6" t="s">
        <v>947</v>
      </c>
      <c r="V792" s="2" t="s">
        <v>923</v>
      </c>
      <c r="W792" t="str">
        <f t="shared" si="12"/>
        <v>2000056757_202010</v>
      </c>
      <c r="X792" s="2" t="s">
        <v>1616</v>
      </c>
    </row>
    <row r="793" spans="1:24" hidden="1" x14ac:dyDescent="0.35">
      <c r="B793">
        <v>2000056757</v>
      </c>
      <c r="C793" s="1">
        <v>44753</v>
      </c>
      <c r="D793" t="s">
        <v>2718</v>
      </c>
      <c r="F793" t="s">
        <v>43</v>
      </c>
      <c r="G793" t="s">
        <v>1609</v>
      </c>
      <c r="H793" t="s">
        <v>2720</v>
      </c>
      <c r="I793" t="s">
        <v>22</v>
      </c>
      <c r="J793">
        <v>0.99199999999999999</v>
      </c>
      <c r="K793">
        <v>3</v>
      </c>
      <c r="L793">
        <v>0</v>
      </c>
      <c r="M793">
        <v>1</v>
      </c>
      <c r="N793" t="s">
        <v>2314</v>
      </c>
      <c r="O793" s="1">
        <v>45849</v>
      </c>
      <c r="S793" t="s">
        <v>915</v>
      </c>
      <c r="T793" s="6" t="s">
        <v>936</v>
      </c>
      <c r="U793" s="6" t="s">
        <v>945</v>
      </c>
      <c r="V793" s="2" t="s">
        <v>954</v>
      </c>
      <c r="W793" t="str">
        <f t="shared" si="12"/>
        <v>2000056757_20227</v>
      </c>
      <c r="X793" s="2" t="s">
        <v>1616</v>
      </c>
    </row>
    <row r="794" spans="1:24" hidden="1" x14ac:dyDescent="0.35">
      <c r="A794">
        <v>34</v>
      </c>
      <c r="B794">
        <v>2000058069</v>
      </c>
      <c r="C794" s="1">
        <v>45737</v>
      </c>
      <c r="D794" t="s">
        <v>2994</v>
      </c>
      <c r="E794" t="s">
        <v>18</v>
      </c>
      <c r="F794" t="s">
        <v>43</v>
      </c>
      <c r="G794" t="s">
        <v>1606</v>
      </c>
      <c r="H794" t="s">
        <v>2996</v>
      </c>
      <c r="I794" t="s">
        <v>22</v>
      </c>
      <c r="J794">
        <v>0.97699999999999998</v>
      </c>
      <c r="K794">
        <v>3</v>
      </c>
      <c r="L794">
        <v>1</v>
      </c>
      <c r="M794">
        <v>0.98</v>
      </c>
      <c r="N794" t="s">
        <v>2314</v>
      </c>
      <c r="O794" s="1">
        <v>46833</v>
      </c>
      <c r="P794" t="s">
        <v>3543</v>
      </c>
      <c r="R794" t="s">
        <v>1613</v>
      </c>
      <c r="S794" t="s">
        <v>915</v>
      </c>
      <c r="T794" s="5" t="s">
        <v>941</v>
      </c>
      <c r="U794" s="5" t="s">
        <v>944</v>
      </c>
      <c r="V794" t="s">
        <v>1650</v>
      </c>
      <c r="W794" t="str">
        <f t="shared" si="12"/>
        <v>2000058069_20253</v>
      </c>
      <c r="X794" t="s">
        <v>1616</v>
      </c>
    </row>
    <row r="795" spans="1:24" hidden="1" x14ac:dyDescent="0.35">
      <c r="B795">
        <v>2000056761</v>
      </c>
      <c r="C795" s="1">
        <v>44202</v>
      </c>
      <c r="D795" t="s">
        <v>1865</v>
      </c>
      <c r="F795" t="s">
        <v>19</v>
      </c>
      <c r="G795" t="s">
        <v>1609</v>
      </c>
      <c r="H795" t="s">
        <v>2723</v>
      </c>
      <c r="I795" t="s">
        <v>22</v>
      </c>
      <c r="J795">
        <v>0.64700000000000002</v>
      </c>
      <c r="K795">
        <v>2.6</v>
      </c>
      <c r="L795">
        <v>9</v>
      </c>
      <c r="M795">
        <v>0.68</v>
      </c>
      <c r="N795" t="s">
        <v>2361</v>
      </c>
      <c r="O795" s="1">
        <v>44567</v>
      </c>
      <c r="S795" t="s">
        <v>915</v>
      </c>
      <c r="T795" s="6" t="s">
        <v>953</v>
      </c>
      <c r="U795" s="6" t="s">
        <v>927</v>
      </c>
      <c r="V795" s="2" t="s">
        <v>952</v>
      </c>
      <c r="W795" t="str">
        <f t="shared" si="12"/>
        <v>2000056761_20211</v>
      </c>
      <c r="X795" s="2" t="s">
        <v>1616</v>
      </c>
    </row>
    <row r="796" spans="1:24" hidden="1" x14ac:dyDescent="0.35">
      <c r="B796">
        <v>2000056761</v>
      </c>
      <c r="C796" s="1">
        <v>44566</v>
      </c>
      <c r="D796" t="s">
        <v>1865</v>
      </c>
      <c r="F796" t="s">
        <v>19</v>
      </c>
      <c r="G796" t="s">
        <v>1609</v>
      </c>
      <c r="H796" t="s">
        <v>2724</v>
      </c>
      <c r="I796" t="s">
        <v>22</v>
      </c>
      <c r="J796">
        <v>0.93500000000000005</v>
      </c>
      <c r="K796">
        <v>2.8</v>
      </c>
      <c r="L796">
        <v>3</v>
      </c>
      <c r="M796">
        <v>0.92</v>
      </c>
      <c r="N796" t="s">
        <v>2310</v>
      </c>
      <c r="O796" s="1">
        <v>45296</v>
      </c>
      <c r="S796" t="s">
        <v>915</v>
      </c>
      <c r="T796" s="6" t="s">
        <v>953</v>
      </c>
      <c r="U796" s="6" t="s">
        <v>947</v>
      </c>
      <c r="V796" s="2" t="s">
        <v>954</v>
      </c>
      <c r="W796" t="str">
        <f t="shared" si="12"/>
        <v>2000056761_20221</v>
      </c>
      <c r="X796" s="2" t="s">
        <v>1616</v>
      </c>
    </row>
    <row r="797" spans="1:24" hidden="1" x14ac:dyDescent="0.35">
      <c r="A797">
        <v>92</v>
      </c>
      <c r="B797">
        <v>2000056761</v>
      </c>
      <c r="C797" s="1">
        <v>45504</v>
      </c>
      <c r="D797" t="s">
        <v>1865</v>
      </c>
      <c r="E797" t="s">
        <v>18</v>
      </c>
      <c r="F797" t="s">
        <v>19</v>
      </c>
      <c r="G797" t="s">
        <v>1609</v>
      </c>
      <c r="H797" t="s">
        <v>1866</v>
      </c>
      <c r="I797" t="s">
        <v>22</v>
      </c>
      <c r="J797">
        <v>0.95499999999999996</v>
      </c>
      <c r="K797">
        <v>3</v>
      </c>
      <c r="L797">
        <v>2</v>
      </c>
      <c r="M797">
        <v>0.89</v>
      </c>
      <c r="N797" t="s">
        <v>368</v>
      </c>
      <c r="O797" s="1">
        <v>46599</v>
      </c>
      <c r="R797" t="s">
        <v>1613</v>
      </c>
      <c r="S797" t="s">
        <v>915</v>
      </c>
      <c r="T797" s="5" t="s">
        <v>936</v>
      </c>
      <c r="U797" s="5" t="s">
        <v>939</v>
      </c>
      <c r="V797" t="s">
        <v>956</v>
      </c>
      <c r="W797" t="str">
        <f t="shared" si="12"/>
        <v>2000056761_20247</v>
      </c>
      <c r="X797" s="2" t="s">
        <v>1616</v>
      </c>
    </row>
    <row r="798" spans="1:24" hidden="1" x14ac:dyDescent="0.35">
      <c r="B798">
        <v>2000056766</v>
      </c>
      <c r="C798" s="1">
        <v>44467</v>
      </c>
      <c r="D798" t="s">
        <v>2725</v>
      </c>
      <c r="F798" t="s">
        <v>39</v>
      </c>
      <c r="G798" t="s">
        <v>1606</v>
      </c>
      <c r="H798" t="s">
        <v>2726</v>
      </c>
      <c r="I798" t="s">
        <v>41</v>
      </c>
      <c r="J798">
        <v>0.88300000000000001</v>
      </c>
      <c r="K798">
        <v>2.6</v>
      </c>
      <c r="L798">
        <v>6</v>
      </c>
      <c r="M798">
        <v>0.83</v>
      </c>
      <c r="N798" t="s">
        <v>2310</v>
      </c>
      <c r="O798" s="1">
        <v>45197</v>
      </c>
      <c r="S798" t="s">
        <v>915</v>
      </c>
      <c r="T798" s="6" t="s">
        <v>942</v>
      </c>
      <c r="U798" s="6" t="s">
        <v>926</v>
      </c>
      <c r="V798" s="2" t="s">
        <v>952</v>
      </c>
      <c r="W798" t="str">
        <f t="shared" si="12"/>
        <v>2000056766_20219</v>
      </c>
      <c r="X798" s="2" t="s">
        <v>1616</v>
      </c>
    </row>
    <row r="799" spans="1:24" hidden="1" x14ac:dyDescent="0.35">
      <c r="B799">
        <v>2000056766</v>
      </c>
      <c r="C799" s="1">
        <v>45120</v>
      </c>
      <c r="D799" t="s">
        <v>2725</v>
      </c>
      <c r="F799" t="s">
        <v>39</v>
      </c>
      <c r="G799" t="s">
        <v>1606</v>
      </c>
      <c r="H799" t="s">
        <v>2727</v>
      </c>
      <c r="I799" t="s">
        <v>41</v>
      </c>
      <c r="J799">
        <v>1</v>
      </c>
      <c r="K799">
        <v>3</v>
      </c>
      <c r="L799">
        <v>0</v>
      </c>
      <c r="M799">
        <v>0.82</v>
      </c>
      <c r="N799" t="s">
        <v>2314</v>
      </c>
      <c r="O799" s="1">
        <v>46216</v>
      </c>
      <c r="S799" t="s">
        <v>915</v>
      </c>
      <c r="T799" s="6" t="s">
        <v>936</v>
      </c>
      <c r="U799" s="6" t="s">
        <v>950</v>
      </c>
      <c r="V799" s="2" t="s">
        <v>955</v>
      </c>
      <c r="W799" t="str">
        <f t="shared" si="12"/>
        <v>2000056766_20237</v>
      </c>
      <c r="X799" s="2" t="s">
        <v>1616</v>
      </c>
    </row>
    <row r="800" spans="1:24" hidden="1" x14ac:dyDescent="0.35">
      <c r="B800">
        <v>2000056783</v>
      </c>
      <c r="C800" s="1">
        <v>43404</v>
      </c>
      <c r="D800" t="s">
        <v>2730</v>
      </c>
      <c r="F800" t="s">
        <v>19</v>
      </c>
      <c r="G800" t="s">
        <v>1820</v>
      </c>
      <c r="H800" t="s">
        <v>2731</v>
      </c>
      <c r="I800" t="s">
        <v>22</v>
      </c>
      <c r="J800">
        <v>0.8</v>
      </c>
      <c r="K800">
        <v>2.2000000000000002</v>
      </c>
      <c r="L800">
        <v>6</v>
      </c>
      <c r="N800" t="str">
        <f>IF(K800&gt;=2.1,"2 years",IF(K800&gt;=1.1,"1 Years","06 Months"))</f>
        <v>2 years</v>
      </c>
      <c r="O800" s="1">
        <f>C800+(365*2)</f>
        <v>44134</v>
      </c>
      <c r="S800" t="s">
        <v>915</v>
      </c>
      <c r="T800" s="6" t="s">
        <v>948</v>
      </c>
      <c r="U800" s="6" t="s">
        <v>939</v>
      </c>
      <c r="V800" s="2" t="s">
        <v>2475</v>
      </c>
      <c r="W800" t="str">
        <f t="shared" si="12"/>
        <v>2000056783_201810</v>
      </c>
      <c r="X800" s="2" t="s">
        <v>1616</v>
      </c>
    </row>
    <row r="801" spans="1:24" hidden="1" x14ac:dyDescent="0.35">
      <c r="B801">
        <v>2000056783</v>
      </c>
      <c r="C801" s="1">
        <v>44102</v>
      </c>
      <c r="D801" t="s">
        <v>2730</v>
      </c>
      <c r="F801" t="s">
        <v>19</v>
      </c>
      <c r="G801" t="s">
        <v>1720</v>
      </c>
      <c r="H801" t="s">
        <v>2732</v>
      </c>
      <c r="I801" t="s">
        <v>22</v>
      </c>
      <c r="J801">
        <v>0.63</v>
      </c>
      <c r="K801">
        <v>2.6</v>
      </c>
      <c r="L801">
        <v>4</v>
      </c>
      <c r="M801">
        <v>0.76</v>
      </c>
      <c r="N801" t="s">
        <v>23</v>
      </c>
      <c r="O801" s="1">
        <v>44467</v>
      </c>
      <c r="S801" t="s">
        <v>915</v>
      </c>
      <c r="T801" s="6" t="s">
        <v>942</v>
      </c>
      <c r="U801" s="6" t="s">
        <v>926</v>
      </c>
      <c r="V801" s="2" t="s">
        <v>923</v>
      </c>
      <c r="W801" t="str">
        <f t="shared" si="12"/>
        <v>2000056783_20209</v>
      </c>
      <c r="X801" s="2" t="s">
        <v>1616</v>
      </c>
    </row>
    <row r="802" spans="1:24" hidden="1" x14ac:dyDescent="0.35">
      <c r="B802">
        <v>2000056783</v>
      </c>
      <c r="C802" s="1">
        <v>44845</v>
      </c>
      <c r="D802" t="s">
        <v>2730</v>
      </c>
      <c r="F802" t="s">
        <v>19</v>
      </c>
      <c r="G802" t="s">
        <v>1720</v>
      </c>
      <c r="H802" t="s">
        <v>2732</v>
      </c>
      <c r="I802" t="s">
        <v>22</v>
      </c>
      <c r="J802">
        <v>0.95699999999999996</v>
      </c>
      <c r="K802">
        <v>3</v>
      </c>
      <c r="L802">
        <v>0</v>
      </c>
      <c r="M802">
        <v>0.92</v>
      </c>
      <c r="N802" t="s">
        <v>2314</v>
      </c>
      <c r="O802" s="1">
        <v>45941</v>
      </c>
      <c r="S802" t="s">
        <v>915</v>
      </c>
      <c r="T802" s="6" t="s">
        <v>948</v>
      </c>
      <c r="U802" s="6" t="s">
        <v>945</v>
      </c>
      <c r="V802" s="2" t="s">
        <v>954</v>
      </c>
      <c r="W802" t="str">
        <f t="shared" si="12"/>
        <v>2000056783_202210</v>
      </c>
      <c r="X802" s="2" t="s">
        <v>1616</v>
      </c>
    </row>
    <row r="803" spans="1:24" hidden="1" x14ac:dyDescent="0.35">
      <c r="A803">
        <v>10</v>
      </c>
      <c r="B803">
        <v>2000056789</v>
      </c>
      <c r="C803" s="1">
        <v>44002</v>
      </c>
      <c r="D803" t="s">
        <v>51</v>
      </c>
      <c r="E803" t="s">
        <v>18</v>
      </c>
      <c r="F803" t="s">
        <v>52</v>
      </c>
      <c r="G803" t="s">
        <v>20</v>
      </c>
      <c r="H803" t="s">
        <v>53</v>
      </c>
      <c r="I803" t="s">
        <v>41</v>
      </c>
      <c r="J803">
        <v>0.92600000000000005</v>
      </c>
      <c r="K803">
        <v>3</v>
      </c>
      <c r="L803">
        <v>3</v>
      </c>
      <c r="M803">
        <v>0.97499999999999998</v>
      </c>
      <c r="N803" t="s">
        <v>28</v>
      </c>
      <c r="O803" s="1">
        <v>44732</v>
      </c>
      <c r="S803" t="s">
        <v>915</v>
      </c>
      <c r="T803" s="6" t="s">
        <v>927</v>
      </c>
      <c r="U803" s="6" t="s">
        <v>932</v>
      </c>
      <c r="V803" s="2" t="s">
        <v>923</v>
      </c>
      <c r="W803" t="str">
        <f t="shared" si="12"/>
        <v>2000056789_20206</v>
      </c>
      <c r="X803" s="2" t="s">
        <v>1615</v>
      </c>
    </row>
    <row r="804" spans="1:24" hidden="1" x14ac:dyDescent="0.35">
      <c r="A804">
        <v>61</v>
      </c>
      <c r="B804">
        <v>2000056789</v>
      </c>
      <c r="C804" s="1">
        <v>44726</v>
      </c>
      <c r="D804" t="s">
        <v>51</v>
      </c>
      <c r="E804" t="s">
        <v>18</v>
      </c>
      <c r="F804" t="s">
        <v>373</v>
      </c>
      <c r="G804" t="s">
        <v>20</v>
      </c>
      <c r="H804" t="s">
        <v>461</v>
      </c>
      <c r="I804" t="s">
        <v>41</v>
      </c>
      <c r="J804">
        <v>0.97499999999999998</v>
      </c>
      <c r="K804">
        <v>3</v>
      </c>
      <c r="L804">
        <v>1</v>
      </c>
      <c r="M804">
        <v>0.87</v>
      </c>
      <c r="N804" t="s">
        <v>368</v>
      </c>
      <c r="O804" s="1">
        <v>45822</v>
      </c>
      <c r="S804" t="s">
        <v>915</v>
      </c>
      <c r="T804" s="6" t="s">
        <v>927</v>
      </c>
      <c r="U804" s="6" t="s">
        <v>951</v>
      </c>
      <c r="V804" s="2" t="s">
        <v>954</v>
      </c>
      <c r="W804" t="str">
        <f t="shared" si="12"/>
        <v>2000056789_20226</v>
      </c>
      <c r="X804" s="2" t="s">
        <v>1615</v>
      </c>
    </row>
    <row r="805" spans="1:24" hidden="1" x14ac:dyDescent="0.35">
      <c r="A805">
        <v>151</v>
      </c>
      <c r="B805">
        <v>2000056800</v>
      </c>
      <c r="C805" s="1">
        <v>45610</v>
      </c>
      <c r="D805" t="s">
        <v>3266</v>
      </c>
      <c r="E805" t="s">
        <v>18</v>
      </c>
      <c r="F805" t="s">
        <v>19</v>
      </c>
      <c r="G805" t="s">
        <v>1606</v>
      </c>
      <c r="H805" t="s">
        <v>3267</v>
      </c>
      <c r="I805" t="s">
        <v>22</v>
      </c>
      <c r="J805">
        <v>0.98799999999999999</v>
      </c>
      <c r="K805">
        <v>3</v>
      </c>
      <c r="L805">
        <v>3</v>
      </c>
      <c r="M805">
        <v>0.95</v>
      </c>
      <c r="N805" t="s">
        <v>368</v>
      </c>
      <c r="O805" s="1">
        <v>46705</v>
      </c>
      <c r="S805" t="s">
        <v>915</v>
      </c>
      <c r="T805" s="5" t="s">
        <v>945</v>
      </c>
      <c r="U805" s="5" t="s">
        <v>951</v>
      </c>
      <c r="V805" t="s">
        <v>956</v>
      </c>
      <c r="W805" t="str">
        <f t="shared" si="12"/>
        <v>2000056800_202411</v>
      </c>
      <c r="X805" t="s">
        <v>1616</v>
      </c>
    </row>
    <row r="806" spans="1:24" hidden="1" x14ac:dyDescent="0.35">
      <c r="B806">
        <v>2000056802</v>
      </c>
      <c r="C806" s="1">
        <v>44026</v>
      </c>
      <c r="D806" t="s">
        <v>2735</v>
      </c>
      <c r="F806" t="s">
        <v>19</v>
      </c>
      <c r="G806" t="s">
        <v>1750</v>
      </c>
      <c r="H806" t="s">
        <v>2736</v>
      </c>
      <c r="I806" t="s">
        <v>22</v>
      </c>
      <c r="J806">
        <v>0.73299999999999998</v>
      </c>
      <c r="K806">
        <v>2.6</v>
      </c>
      <c r="L806">
        <v>6</v>
      </c>
      <c r="M806">
        <v>0.53</v>
      </c>
      <c r="N806" t="s">
        <v>2310</v>
      </c>
      <c r="O806" s="1">
        <v>44756</v>
      </c>
      <c r="S806" t="s">
        <v>915</v>
      </c>
      <c r="T806" s="6" t="s">
        <v>936</v>
      </c>
      <c r="U806" s="6" t="s">
        <v>951</v>
      </c>
      <c r="V806" s="2" t="s">
        <v>923</v>
      </c>
      <c r="W806" t="str">
        <f t="shared" si="12"/>
        <v>2000056802_20207</v>
      </c>
      <c r="X806" s="2" t="s">
        <v>1616</v>
      </c>
    </row>
    <row r="807" spans="1:24" hidden="1" x14ac:dyDescent="0.35">
      <c r="B807">
        <v>2000056802</v>
      </c>
      <c r="C807" s="1">
        <v>44691</v>
      </c>
      <c r="D807" t="s">
        <v>2737</v>
      </c>
      <c r="F807" t="s">
        <v>19</v>
      </c>
      <c r="G807" t="s">
        <v>1750</v>
      </c>
      <c r="H807" t="s">
        <v>2738</v>
      </c>
      <c r="I807" t="s">
        <v>22</v>
      </c>
      <c r="J807">
        <v>0.90500000000000003</v>
      </c>
      <c r="K807">
        <v>3</v>
      </c>
      <c r="L807">
        <v>1</v>
      </c>
      <c r="M807">
        <v>0.9</v>
      </c>
      <c r="N807" t="s">
        <v>2314</v>
      </c>
      <c r="O807" s="1">
        <v>45787</v>
      </c>
      <c r="S807" t="s">
        <v>915</v>
      </c>
      <c r="T807" s="6" t="s">
        <v>947</v>
      </c>
      <c r="U807" s="6" t="s">
        <v>948</v>
      </c>
      <c r="V807" s="2" t="s">
        <v>954</v>
      </c>
      <c r="W807" t="str">
        <f t="shared" si="12"/>
        <v>2000056802_20225</v>
      </c>
      <c r="X807" s="2" t="s">
        <v>1616</v>
      </c>
    </row>
    <row r="808" spans="1:24" hidden="1" x14ac:dyDescent="0.35">
      <c r="A808">
        <v>35</v>
      </c>
      <c r="B808">
        <v>2000057671</v>
      </c>
      <c r="C808" s="1">
        <v>45740</v>
      </c>
      <c r="D808" t="s">
        <v>1690</v>
      </c>
      <c r="E808" t="s">
        <v>18</v>
      </c>
      <c r="F808" t="s">
        <v>43</v>
      </c>
      <c r="G808" t="s">
        <v>1606</v>
      </c>
      <c r="H808" t="s">
        <v>1691</v>
      </c>
      <c r="I808" t="s">
        <v>22</v>
      </c>
      <c r="J808">
        <v>1</v>
      </c>
      <c r="K808">
        <v>3</v>
      </c>
      <c r="L808">
        <v>0</v>
      </c>
      <c r="M808">
        <v>0.95</v>
      </c>
      <c r="N808" t="s">
        <v>2314</v>
      </c>
      <c r="O808" s="1">
        <v>46836</v>
      </c>
      <c r="S808" t="s">
        <v>915</v>
      </c>
      <c r="T808" s="5" t="s">
        <v>941</v>
      </c>
      <c r="U808" s="5" t="s">
        <v>935</v>
      </c>
      <c r="V808" t="s">
        <v>1650</v>
      </c>
      <c r="W808" t="str">
        <f t="shared" si="12"/>
        <v>2000057671_20253</v>
      </c>
      <c r="X808" t="s">
        <v>1616</v>
      </c>
    </row>
    <row r="809" spans="1:24" hidden="1" x14ac:dyDescent="0.35">
      <c r="B809">
        <v>2000056807</v>
      </c>
      <c r="C809" s="1">
        <v>44796</v>
      </c>
      <c r="D809" t="s">
        <v>2739</v>
      </c>
      <c r="F809" t="s">
        <v>43</v>
      </c>
      <c r="G809" t="s">
        <v>1606</v>
      </c>
      <c r="H809" t="s">
        <v>2740</v>
      </c>
      <c r="I809" t="s">
        <v>41</v>
      </c>
      <c r="J809">
        <v>1</v>
      </c>
      <c r="K809">
        <v>3</v>
      </c>
      <c r="L809">
        <v>0</v>
      </c>
      <c r="M809">
        <v>0.88</v>
      </c>
      <c r="N809" t="s">
        <v>2314</v>
      </c>
      <c r="O809" s="1">
        <v>45892</v>
      </c>
      <c r="S809" t="s">
        <v>915</v>
      </c>
      <c r="T809" s="6" t="s">
        <v>940</v>
      </c>
      <c r="U809" s="6" t="s">
        <v>934</v>
      </c>
      <c r="V809" s="2" t="s">
        <v>954</v>
      </c>
      <c r="W809" t="str">
        <f t="shared" si="12"/>
        <v>2000056807_20228</v>
      </c>
      <c r="X809" s="2" t="s">
        <v>1616</v>
      </c>
    </row>
    <row r="810" spans="1:24" hidden="1" x14ac:dyDescent="0.35">
      <c r="A810">
        <v>43</v>
      </c>
      <c r="B810">
        <v>2000056815</v>
      </c>
      <c r="C810" s="1">
        <v>44413</v>
      </c>
      <c r="D810" t="s">
        <v>231</v>
      </c>
      <c r="E810" t="s">
        <v>18</v>
      </c>
      <c r="F810" t="s">
        <v>52</v>
      </c>
      <c r="G810" t="s">
        <v>20</v>
      </c>
      <c r="H810" t="s">
        <v>232</v>
      </c>
      <c r="I810" t="s">
        <v>41</v>
      </c>
      <c r="J810">
        <v>0.86199999999999999</v>
      </c>
      <c r="K810">
        <v>2.7</v>
      </c>
      <c r="L810">
        <v>2</v>
      </c>
      <c r="M810">
        <v>0.82</v>
      </c>
      <c r="N810" t="s">
        <v>28</v>
      </c>
      <c r="O810" s="1">
        <v>45143</v>
      </c>
      <c r="S810" t="s">
        <v>915</v>
      </c>
      <c r="T810" s="6" t="s">
        <v>940</v>
      </c>
      <c r="U810" s="6" t="s">
        <v>947</v>
      </c>
      <c r="V810" s="2" t="s">
        <v>952</v>
      </c>
      <c r="W810" t="str">
        <f t="shared" si="12"/>
        <v>2000056815_20218</v>
      </c>
      <c r="X810" s="2" t="s">
        <v>1615</v>
      </c>
    </row>
    <row r="811" spans="1:24" hidden="1" x14ac:dyDescent="0.35">
      <c r="A811">
        <v>52</v>
      </c>
      <c r="B811">
        <v>2000056815</v>
      </c>
      <c r="C811" s="1">
        <v>45142</v>
      </c>
      <c r="D811" t="s">
        <v>231</v>
      </c>
      <c r="E811" t="s">
        <v>18</v>
      </c>
      <c r="F811" t="s">
        <v>52</v>
      </c>
      <c r="G811" t="s">
        <v>20</v>
      </c>
      <c r="H811" t="s">
        <v>596</v>
      </c>
      <c r="I811" t="s">
        <v>41</v>
      </c>
      <c r="J811">
        <v>0.91700000000000004</v>
      </c>
      <c r="K811">
        <v>2.6</v>
      </c>
      <c r="L811">
        <v>2</v>
      </c>
      <c r="M811">
        <v>0.92</v>
      </c>
      <c r="N811" t="s">
        <v>28</v>
      </c>
      <c r="O811" s="1">
        <v>45873</v>
      </c>
      <c r="S811" t="s">
        <v>915</v>
      </c>
      <c r="T811" s="6" t="s">
        <v>940</v>
      </c>
      <c r="U811" s="6" t="s">
        <v>946</v>
      </c>
      <c r="V811" s="2" t="s">
        <v>955</v>
      </c>
      <c r="W811" t="str">
        <f t="shared" si="12"/>
        <v>2000056815_20238</v>
      </c>
      <c r="X811" s="2" t="s">
        <v>1615</v>
      </c>
    </row>
    <row r="812" spans="1:24" hidden="1" x14ac:dyDescent="0.35">
      <c r="B812">
        <v>2000056871</v>
      </c>
      <c r="C812" s="1">
        <v>44029</v>
      </c>
      <c r="D812" t="s">
        <v>2743</v>
      </c>
      <c r="F812" t="s">
        <v>43</v>
      </c>
      <c r="G812" t="s">
        <v>1759</v>
      </c>
      <c r="H812" t="s">
        <v>2744</v>
      </c>
      <c r="I812" t="s">
        <v>22</v>
      </c>
      <c r="J812">
        <v>0.63400000000000001</v>
      </c>
      <c r="K812">
        <v>2.6</v>
      </c>
      <c r="L812">
        <v>5</v>
      </c>
      <c r="M812">
        <v>0.82</v>
      </c>
      <c r="N812" t="s">
        <v>23</v>
      </c>
      <c r="O812" s="1">
        <v>44394</v>
      </c>
      <c r="S812" t="s">
        <v>915</v>
      </c>
      <c r="T812" s="6" t="s">
        <v>936</v>
      </c>
      <c r="U812" s="6" t="s">
        <v>929</v>
      </c>
      <c r="V812" s="2" t="s">
        <v>923</v>
      </c>
      <c r="W812" t="str">
        <f t="shared" si="12"/>
        <v>2000056871_20207</v>
      </c>
      <c r="X812" s="2" t="s">
        <v>1616</v>
      </c>
    </row>
    <row r="813" spans="1:24" hidden="1" x14ac:dyDescent="0.35">
      <c r="A813">
        <v>53</v>
      </c>
      <c r="B813">
        <v>2000056875</v>
      </c>
      <c r="C813" s="1">
        <v>44151</v>
      </c>
      <c r="D813" t="s">
        <v>141</v>
      </c>
      <c r="E813" t="s">
        <v>18</v>
      </c>
      <c r="F813" t="s">
        <v>39</v>
      </c>
      <c r="G813" t="s">
        <v>20</v>
      </c>
      <c r="H813" t="s">
        <v>142</v>
      </c>
      <c r="I813" t="s">
        <v>41</v>
      </c>
      <c r="J813">
        <v>0.82399999999999995</v>
      </c>
      <c r="K813">
        <v>2.6</v>
      </c>
      <c r="L813">
        <v>5</v>
      </c>
      <c r="M813">
        <v>0.95</v>
      </c>
      <c r="N813" t="s">
        <v>28</v>
      </c>
      <c r="O813" s="1">
        <v>44881</v>
      </c>
      <c r="S813" t="s">
        <v>915</v>
      </c>
      <c r="T813" s="6" t="s">
        <v>945</v>
      </c>
      <c r="U813" s="6" t="s">
        <v>928</v>
      </c>
      <c r="V813" s="2" t="s">
        <v>923</v>
      </c>
      <c r="W813" t="str">
        <f t="shared" si="12"/>
        <v>2000056875_202011</v>
      </c>
      <c r="X813" s="2" t="s">
        <v>1615</v>
      </c>
    </row>
    <row r="814" spans="1:24" hidden="1" x14ac:dyDescent="0.35">
      <c r="A814">
        <v>110</v>
      </c>
      <c r="B814">
        <v>2000056875</v>
      </c>
      <c r="C814" s="1">
        <v>44873</v>
      </c>
      <c r="D814" t="s">
        <v>141</v>
      </c>
      <c r="E814" t="s">
        <v>18</v>
      </c>
      <c r="F814" t="s">
        <v>373</v>
      </c>
      <c r="G814" t="s">
        <v>20</v>
      </c>
      <c r="H814" t="s">
        <v>528</v>
      </c>
      <c r="I814" t="s">
        <v>41</v>
      </c>
      <c r="J814">
        <v>0.93300000000000005</v>
      </c>
      <c r="K814">
        <v>2.6</v>
      </c>
      <c r="L814">
        <v>4</v>
      </c>
      <c r="M814">
        <v>0.82</v>
      </c>
      <c r="N814" t="s">
        <v>28</v>
      </c>
      <c r="O814" s="1">
        <v>45604</v>
      </c>
      <c r="S814" t="s">
        <v>915</v>
      </c>
      <c r="T814" s="6" t="s">
        <v>945</v>
      </c>
      <c r="U814" s="6" t="s">
        <v>940</v>
      </c>
      <c r="V814" s="2" t="s">
        <v>954</v>
      </c>
      <c r="W814" t="str">
        <f t="shared" si="12"/>
        <v>2000056875_202211</v>
      </c>
      <c r="X814" s="2" t="s">
        <v>1615</v>
      </c>
    </row>
    <row r="815" spans="1:24" hidden="1" x14ac:dyDescent="0.35">
      <c r="A815">
        <v>83</v>
      </c>
      <c r="B815">
        <v>2000056875</v>
      </c>
      <c r="C815" s="1">
        <v>45615</v>
      </c>
      <c r="D815" t="s">
        <v>141</v>
      </c>
      <c r="E815" t="s">
        <v>18</v>
      </c>
      <c r="F815" t="s">
        <v>373</v>
      </c>
      <c r="G815" t="s">
        <v>20</v>
      </c>
      <c r="H815" t="s">
        <v>2307</v>
      </c>
      <c r="I815" t="s">
        <v>41</v>
      </c>
      <c r="J815">
        <v>0.94699999999999995</v>
      </c>
      <c r="K815">
        <v>3</v>
      </c>
      <c r="L815">
        <v>0</v>
      </c>
      <c r="M815">
        <v>0.9</v>
      </c>
      <c r="N815" t="s">
        <v>368</v>
      </c>
      <c r="O815" s="1">
        <v>46710</v>
      </c>
      <c r="S815" t="s">
        <v>915</v>
      </c>
      <c r="T815" s="6" t="s">
        <v>945</v>
      </c>
      <c r="U815" s="6" t="s">
        <v>931</v>
      </c>
      <c r="V815" s="2" t="s">
        <v>956</v>
      </c>
      <c r="W815" t="str">
        <f t="shared" si="12"/>
        <v>2000056875_202411</v>
      </c>
      <c r="X815" s="2" t="s">
        <v>1615</v>
      </c>
    </row>
    <row r="816" spans="1:24" hidden="1" x14ac:dyDescent="0.35">
      <c r="B816">
        <v>2000056879</v>
      </c>
      <c r="C816" s="1">
        <v>44012</v>
      </c>
      <c r="D816" t="s">
        <v>1573</v>
      </c>
      <c r="F816" t="s">
        <v>43</v>
      </c>
      <c r="G816" t="s">
        <v>1603</v>
      </c>
      <c r="H816" t="s">
        <v>2748</v>
      </c>
      <c r="I816" t="s">
        <v>41</v>
      </c>
      <c r="J816">
        <v>0.92200000000000004</v>
      </c>
      <c r="K816">
        <v>3</v>
      </c>
      <c r="L816">
        <v>1</v>
      </c>
      <c r="M816">
        <v>0.76</v>
      </c>
      <c r="N816" t="s">
        <v>2310</v>
      </c>
      <c r="O816" s="1">
        <v>44742</v>
      </c>
      <c r="S816" t="s">
        <v>915</v>
      </c>
      <c r="T816" s="6" t="s">
        <v>927</v>
      </c>
      <c r="U816" s="6" t="s">
        <v>938</v>
      </c>
      <c r="V816" s="2" t="s">
        <v>923</v>
      </c>
      <c r="W816" t="str">
        <f t="shared" si="12"/>
        <v>2000056879_20206</v>
      </c>
      <c r="X816" s="2" t="s">
        <v>1616</v>
      </c>
    </row>
    <row r="817" spans="1:24" hidden="1" x14ac:dyDescent="0.35">
      <c r="B817">
        <v>2000056879</v>
      </c>
      <c r="C817" s="1">
        <v>44740</v>
      </c>
      <c r="D817" t="s">
        <v>1573</v>
      </c>
      <c r="F817" t="s">
        <v>43</v>
      </c>
      <c r="G817" t="s">
        <v>1603</v>
      </c>
      <c r="H817" t="s">
        <v>2749</v>
      </c>
      <c r="I817" t="s">
        <v>41</v>
      </c>
      <c r="J817">
        <v>1</v>
      </c>
      <c r="K817">
        <v>3</v>
      </c>
      <c r="L817">
        <v>0</v>
      </c>
      <c r="M817">
        <v>1</v>
      </c>
      <c r="N817" t="s">
        <v>2314</v>
      </c>
      <c r="O817" s="1">
        <v>45836</v>
      </c>
      <c r="S817" t="s">
        <v>915</v>
      </c>
      <c r="T817" s="6" t="s">
        <v>927</v>
      </c>
      <c r="U817" s="6" t="s">
        <v>926</v>
      </c>
      <c r="V817" s="2" t="s">
        <v>954</v>
      </c>
      <c r="W817" t="str">
        <f t="shared" si="12"/>
        <v>2000056879_20226</v>
      </c>
      <c r="X817" s="2" t="s">
        <v>1616</v>
      </c>
    </row>
    <row r="818" spans="1:24" hidden="1" x14ac:dyDescent="0.35">
      <c r="A818">
        <v>59</v>
      </c>
      <c r="B818">
        <v>2000056879</v>
      </c>
      <c r="C818" s="1">
        <v>45518</v>
      </c>
      <c r="D818" t="s">
        <v>1573</v>
      </c>
      <c r="E818" t="s">
        <v>18</v>
      </c>
      <c r="F818" t="s">
        <v>19</v>
      </c>
      <c r="G818" t="s">
        <v>20</v>
      </c>
      <c r="H818" t="s">
        <v>1575</v>
      </c>
      <c r="I818" t="s">
        <v>41</v>
      </c>
      <c r="J818">
        <v>0.88</v>
      </c>
      <c r="K818">
        <v>2.7</v>
      </c>
      <c r="L818">
        <v>5</v>
      </c>
      <c r="M818">
        <v>0.81</v>
      </c>
      <c r="N818" t="s">
        <v>28</v>
      </c>
      <c r="O818" s="1">
        <v>46248</v>
      </c>
      <c r="S818" t="s">
        <v>915</v>
      </c>
      <c r="T818" s="6" t="s">
        <v>940</v>
      </c>
      <c r="U818" s="6" t="s">
        <v>951</v>
      </c>
      <c r="V818" s="2" t="s">
        <v>956</v>
      </c>
      <c r="W818" t="str">
        <f t="shared" si="12"/>
        <v>2000056879_20248</v>
      </c>
      <c r="X818" s="2" t="s">
        <v>1615</v>
      </c>
    </row>
    <row r="819" spans="1:24" hidden="1" x14ac:dyDescent="0.35">
      <c r="A819">
        <v>103</v>
      </c>
      <c r="B819">
        <v>2000056953</v>
      </c>
      <c r="C819" s="1">
        <v>45524</v>
      </c>
      <c r="D819" t="s">
        <v>1894</v>
      </c>
      <c r="E819" t="s">
        <v>18</v>
      </c>
      <c r="F819" t="s">
        <v>39</v>
      </c>
      <c r="G819" t="s">
        <v>1606</v>
      </c>
      <c r="H819" t="s">
        <v>1895</v>
      </c>
      <c r="I819" t="s">
        <v>41</v>
      </c>
      <c r="J819">
        <v>1</v>
      </c>
      <c r="K819">
        <v>3</v>
      </c>
      <c r="L819">
        <v>0</v>
      </c>
      <c r="M819">
        <v>0.82</v>
      </c>
      <c r="N819" t="s">
        <v>368</v>
      </c>
      <c r="O819" s="1">
        <v>46619</v>
      </c>
      <c r="S819" t="s">
        <v>915</v>
      </c>
      <c r="T819" s="5" t="s">
        <v>940</v>
      </c>
      <c r="U819" s="5" t="s">
        <v>932</v>
      </c>
      <c r="V819" t="s">
        <v>956</v>
      </c>
      <c r="W819" t="str">
        <f t="shared" si="12"/>
        <v>2000056953_20248</v>
      </c>
      <c r="X819" s="2" t="s">
        <v>1616</v>
      </c>
    </row>
    <row r="820" spans="1:24" hidden="1" x14ac:dyDescent="0.35">
      <c r="A820">
        <v>37</v>
      </c>
      <c r="B820">
        <v>2000056961</v>
      </c>
      <c r="C820" s="1">
        <v>44679</v>
      </c>
      <c r="D820" t="s">
        <v>417</v>
      </c>
      <c r="E820" t="s">
        <v>18</v>
      </c>
      <c r="F820" t="s">
        <v>39</v>
      </c>
      <c r="G820" t="s">
        <v>20</v>
      </c>
      <c r="H820" t="s">
        <v>418</v>
      </c>
      <c r="I820" t="s">
        <v>41</v>
      </c>
      <c r="J820">
        <v>0.86499999999999999</v>
      </c>
      <c r="K820">
        <v>2.6</v>
      </c>
      <c r="L820">
        <v>4</v>
      </c>
      <c r="M820">
        <v>0.95</v>
      </c>
      <c r="N820" t="s">
        <v>28</v>
      </c>
      <c r="O820" s="1">
        <v>45410</v>
      </c>
      <c r="S820" t="s">
        <v>915</v>
      </c>
      <c r="T820" s="6" t="s">
        <v>946</v>
      </c>
      <c r="U820" s="6" t="s">
        <v>926</v>
      </c>
      <c r="V820" s="2" t="s">
        <v>954</v>
      </c>
      <c r="W820" t="str">
        <f t="shared" si="12"/>
        <v>2000056961_20224</v>
      </c>
      <c r="X820" s="2" t="s">
        <v>1615</v>
      </c>
    </row>
    <row r="821" spans="1:24" hidden="1" x14ac:dyDescent="0.35">
      <c r="A821">
        <v>23</v>
      </c>
      <c r="B821">
        <v>2000056961</v>
      </c>
      <c r="C821" s="1">
        <v>45405</v>
      </c>
      <c r="D821" t="s">
        <v>417</v>
      </c>
      <c r="E821" t="s">
        <v>18</v>
      </c>
      <c r="F821" t="s">
        <v>39</v>
      </c>
      <c r="G821" t="s">
        <v>20</v>
      </c>
      <c r="H821" t="s">
        <v>695</v>
      </c>
      <c r="I821" t="s">
        <v>148</v>
      </c>
      <c r="J821">
        <v>0.91700000000000004</v>
      </c>
      <c r="K821">
        <v>2.7</v>
      </c>
      <c r="L821">
        <v>2</v>
      </c>
      <c r="M821">
        <v>0.96</v>
      </c>
      <c r="N821" t="s">
        <v>28</v>
      </c>
      <c r="O821" s="1">
        <v>46135</v>
      </c>
      <c r="S821" t="s">
        <v>915</v>
      </c>
      <c r="T821" s="6" t="s">
        <v>946</v>
      </c>
      <c r="U821" s="6" t="s">
        <v>934</v>
      </c>
      <c r="V821" s="2" t="s">
        <v>956</v>
      </c>
      <c r="W821" t="str">
        <f t="shared" si="12"/>
        <v>2000056961_20244</v>
      </c>
      <c r="X821" s="2" t="s">
        <v>1615</v>
      </c>
    </row>
    <row r="822" spans="1:24" hidden="1" x14ac:dyDescent="0.35">
      <c r="A822">
        <v>14</v>
      </c>
      <c r="B822">
        <v>2000056964</v>
      </c>
      <c r="C822" s="1">
        <v>44005</v>
      </c>
      <c r="D822" t="s">
        <v>60</v>
      </c>
      <c r="E822" t="s">
        <v>18</v>
      </c>
      <c r="F822" t="s">
        <v>43</v>
      </c>
      <c r="G822" t="s">
        <v>20</v>
      </c>
      <c r="H822" t="s">
        <v>61</v>
      </c>
      <c r="I822" t="s">
        <v>41</v>
      </c>
      <c r="J822">
        <v>0.47699999999999998</v>
      </c>
      <c r="K822">
        <v>2</v>
      </c>
      <c r="L822">
        <v>7</v>
      </c>
      <c r="M822">
        <v>0.68</v>
      </c>
      <c r="N822" t="s">
        <v>916</v>
      </c>
      <c r="O822" s="1">
        <v>44219</v>
      </c>
      <c r="S822" t="s">
        <v>915</v>
      </c>
      <c r="T822" s="6" t="s">
        <v>927</v>
      </c>
      <c r="U822" s="6" t="s">
        <v>934</v>
      </c>
      <c r="V822" s="2" t="s">
        <v>923</v>
      </c>
      <c r="W822" t="str">
        <f t="shared" si="12"/>
        <v>2000056964_20206</v>
      </c>
      <c r="X822" s="2" t="s">
        <v>1615</v>
      </c>
    </row>
    <row r="823" spans="1:24" hidden="1" x14ac:dyDescent="0.35">
      <c r="A823">
        <v>17</v>
      </c>
      <c r="B823">
        <v>2000056964</v>
      </c>
      <c r="C823" s="1">
        <v>44301</v>
      </c>
      <c r="D823" t="s">
        <v>60</v>
      </c>
      <c r="E823" t="s">
        <v>18</v>
      </c>
      <c r="F823" t="s">
        <v>43</v>
      </c>
      <c r="G823" t="s">
        <v>20</v>
      </c>
      <c r="H823" t="s">
        <v>185</v>
      </c>
      <c r="I823" t="s">
        <v>41</v>
      </c>
      <c r="J823">
        <v>0.92600000000000005</v>
      </c>
      <c r="K823">
        <v>2.7</v>
      </c>
      <c r="L823">
        <v>3</v>
      </c>
      <c r="M823">
        <v>0.72</v>
      </c>
      <c r="N823" t="s">
        <v>28</v>
      </c>
      <c r="O823" s="1">
        <v>45031</v>
      </c>
      <c r="R823" t="s">
        <v>186</v>
      </c>
      <c r="S823" t="s">
        <v>915</v>
      </c>
      <c r="T823" s="6" t="s">
        <v>946</v>
      </c>
      <c r="U823" s="6" t="s">
        <v>943</v>
      </c>
      <c r="V823" s="2" t="s">
        <v>952</v>
      </c>
      <c r="W823" t="str">
        <f t="shared" si="12"/>
        <v>2000056964_20214</v>
      </c>
      <c r="X823" s="2" t="s">
        <v>1615</v>
      </c>
    </row>
    <row r="824" spans="1:24" hidden="1" x14ac:dyDescent="0.35">
      <c r="A824">
        <v>34</v>
      </c>
      <c r="B824">
        <v>2000056964</v>
      </c>
      <c r="C824" s="1">
        <v>45035</v>
      </c>
      <c r="D824" t="s">
        <v>60</v>
      </c>
      <c r="E824" t="s">
        <v>18</v>
      </c>
      <c r="F824" t="s">
        <v>43</v>
      </c>
      <c r="G824" t="s">
        <v>20</v>
      </c>
      <c r="H824" t="s">
        <v>573</v>
      </c>
      <c r="I824" t="s">
        <v>41</v>
      </c>
      <c r="J824">
        <v>0.8</v>
      </c>
      <c r="K824">
        <v>2.7</v>
      </c>
      <c r="L824">
        <v>4</v>
      </c>
      <c r="M824">
        <v>0.72</v>
      </c>
      <c r="N824" t="s">
        <v>28</v>
      </c>
      <c r="O824" s="1">
        <v>45766</v>
      </c>
      <c r="S824" t="s">
        <v>915</v>
      </c>
      <c r="T824" s="6" t="s">
        <v>946</v>
      </c>
      <c r="U824" s="6" t="s">
        <v>931</v>
      </c>
      <c r="V824" s="2" t="s">
        <v>955</v>
      </c>
      <c r="W824" t="str">
        <f t="shared" si="12"/>
        <v>2000056964_20234</v>
      </c>
      <c r="X824" s="2" t="s">
        <v>1615</v>
      </c>
    </row>
    <row r="825" spans="1:24" hidden="1" x14ac:dyDescent="0.35">
      <c r="A825">
        <v>13</v>
      </c>
      <c r="B825">
        <v>2000058808</v>
      </c>
      <c r="C825" s="1">
        <v>45714</v>
      </c>
      <c r="D825" t="s">
        <v>3443</v>
      </c>
      <c r="E825" t="s">
        <v>18</v>
      </c>
      <c r="F825" t="s">
        <v>148</v>
      </c>
      <c r="G825" t="s">
        <v>20</v>
      </c>
      <c r="H825" t="s">
        <v>3444</v>
      </c>
      <c r="I825" t="s">
        <v>148</v>
      </c>
      <c r="J825">
        <v>1</v>
      </c>
      <c r="K825">
        <v>3</v>
      </c>
      <c r="L825">
        <v>0</v>
      </c>
      <c r="M825">
        <v>0.93</v>
      </c>
      <c r="N825" t="s">
        <v>368</v>
      </c>
      <c r="O825" s="1">
        <v>46809</v>
      </c>
      <c r="Q825" t="s">
        <v>3459</v>
      </c>
      <c r="S825" t="s">
        <v>915</v>
      </c>
      <c r="T825" s="5" t="s">
        <v>921</v>
      </c>
      <c r="U825" s="5" t="s">
        <v>924</v>
      </c>
      <c r="V825" t="s">
        <v>1650</v>
      </c>
      <c r="W825" t="str">
        <f t="shared" si="12"/>
        <v>2000058808_20252</v>
      </c>
      <c r="X825" t="s">
        <v>1615</v>
      </c>
    </row>
    <row r="826" spans="1:24" hidden="1" x14ac:dyDescent="0.35">
      <c r="A826">
        <v>43</v>
      </c>
      <c r="B826">
        <v>2000056969</v>
      </c>
      <c r="C826" s="1">
        <v>45071</v>
      </c>
      <c r="D826" t="s">
        <v>585</v>
      </c>
      <c r="E826" t="s">
        <v>18</v>
      </c>
      <c r="F826" t="s">
        <v>148</v>
      </c>
      <c r="G826" t="s">
        <v>73</v>
      </c>
      <c r="H826" t="s">
        <v>586</v>
      </c>
      <c r="I826" t="s">
        <v>148</v>
      </c>
      <c r="J826">
        <v>0.72899999999999998</v>
      </c>
      <c r="K826">
        <v>2</v>
      </c>
      <c r="L826">
        <v>13</v>
      </c>
      <c r="M826">
        <v>0.67</v>
      </c>
      <c r="N826" t="s">
        <v>23</v>
      </c>
      <c r="O826" s="1">
        <v>45437</v>
      </c>
      <c r="S826" t="s">
        <v>915</v>
      </c>
      <c r="T826" s="6" t="s">
        <v>947</v>
      </c>
      <c r="U826" s="6" t="s">
        <v>922</v>
      </c>
      <c r="V826" s="2" t="s">
        <v>955</v>
      </c>
      <c r="W826" t="str">
        <f t="shared" si="12"/>
        <v>2000056969_20235</v>
      </c>
      <c r="X826" s="2" t="s">
        <v>1615</v>
      </c>
    </row>
    <row r="827" spans="1:24" hidden="1" x14ac:dyDescent="0.35">
      <c r="A827">
        <v>36</v>
      </c>
      <c r="B827">
        <v>2000056969</v>
      </c>
      <c r="C827" s="1">
        <v>45436</v>
      </c>
      <c r="D827" t="s">
        <v>585</v>
      </c>
      <c r="E827" t="s">
        <v>18</v>
      </c>
      <c r="F827" t="s">
        <v>148</v>
      </c>
      <c r="G827" t="s">
        <v>20</v>
      </c>
      <c r="H827" t="s">
        <v>708</v>
      </c>
      <c r="I827" t="s">
        <v>148</v>
      </c>
      <c r="J827">
        <v>0.94099999999999995</v>
      </c>
      <c r="K827">
        <v>2.8</v>
      </c>
      <c r="L827">
        <v>1</v>
      </c>
      <c r="M827">
        <v>0.83</v>
      </c>
      <c r="N827" t="s">
        <v>28</v>
      </c>
      <c r="O827" s="1">
        <v>46166</v>
      </c>
      <c r="S827" t="s">
        <v>915</v>
      </c>
      <c r="T827" s="6" t="s">
        <v>947</v>
      </c>
      <c r="U827" s="6" t="s">
        <v>935</v>
      </c>
      <c r="V827" s="2" t="s">
        <v>956</v>
      </c>
      <c r="W827" t="str">
        <f t="shared" si="12"/>
        <v>2000056969_20245</v>
      </c>
      <c r="X827" s="2" t="s">
        <v>1615</v>
      </c>
    </row>
    <row r="828" spans="1:24" hidden="1" x14ac:dyDescent="0.35">
      <c r="A828">
        <v>36</v>
      </c>
      <c r="B828">
        <v>2000059193</v>
      </c>
      <c r="C828" s="1">
        <v>45741</v>
      </c>
      <c r="D828" t="s">
        <v>3544</v>
      </c>
      <c r="E828" t="s">
        <v>18</v>
      </c>
      <c r="F828" t="s">
        <v>1701</v>
      </c>
      <c r="G828" t="s">
        <v>1820</v>
      </c>
      <c r="H828" t="s">
        <v>3545</v>
      </c>
      <c r="I828" t="s">
        <v>41</v>
      </c>
      <c r="J828">
        <v>0.90300000000000002</v>
      </c>
      <c r="K828">
        <v>3</v>
      </c>
      <c r="L828">
        <v>4</v>
      </c>
      <c r="M828">
        <v>0.87</v>
      </c>
      <c r="N828" t="s">
        <v>2314</v>
      </c>
      <c r="O828" s="1">
        <v>46837</v>
      </c>
      <c r="R828" t="s">
        <v>3533</v>
      </c>
      <c r="S828" t="s">
        <v>915</v>
      </c>
      <c r="T828" s="5" t="s">
        <v>941</v>
      </c>
      <c r="U828" s="5" t="s">
        <v>922</v>
      </c>
      <c r="V828" t="s">
        <v>1650</v>
      </c>
      <c r="W828" t="str">
        <f t="shared" si="12"/>
        <v>2000059193_20253</v>
      </c>
      <c r="X828" t="s">
        <v>1616</v>
      </c>
    </row>
    <row r="829" spans="1:24" hidden="1" x14ac:dyDescent="0.35">
      <c r="A829">
        <v>9</v>
      </c>
      <c r="B829">
        <v>2000056987</v>
      </c>
      <c r="C829" s="1">
        <v>44285</v>
      </c>
      <c r="D829" t="s">
        <v>167</v>
      </c>
      <c r="E829" t="s">
        <v>18</v>
      </c>
      <c r="F829" t="s">
        <v>39</v>
      </c>
      <c r="G829" t="s">
        <v>168</v>
      </c>
      <c r="H829" t="s">
        <v>169</v>
      </c>
      <c r="I829" t="s">
        <v>41</v>
      </c>
      <c r="J829">
        <v>0.86499999999999999</v>
      </c>
      <c r="K829">
        <v>2.6</v>
      </c>
      <c r="L829">
        <v>6</v>
      </c>
      <c r="M829">
        <v>0.86</v>
      </c>
      <c r="N829" t="s">
        <v>28</v>
      </c>
      <c r="O829" s="1">
        <v>45015</v>
      </c>
      <c r="S829" t="s">
        <v>915</v>
      </c>
      <c r="T829" s="6" t="s">
        <v>941</v>
      </c>
      <c r="U829" s="6" t="s">
        <v>938</v>
      </c>
      <c r="V829" s="2" t="s">
        <v>952</v>
      </c>
      <c r="W829" t="str">
        <f t="shared" si="12"/>
        <v>2000056987_20213</v>
      </c>
      <c r="X829" s="2" t="s">
        <v>1615</v>
      </c>
    </row>
    <row r="830" spans="1:24" hidden="1" x14ac:dyDescent="0.35">
      <c r="A830">
        <v>20</v>
      </c>
      <c r="B830">
        <v>2000056987</v>
      </c>
      <c r="C830" s="1">
        <v>45010</v>
      </c>
      <c r="D830" t="s">
        <v>167</v>
      </c>
      <c r="E830" t="s">
        <v>18</v>
      </c>
      <c r="F830" t="s">
        <v>39</v>
      </c>
      <c r="G830" t="s">
        <v>168</v>
      </c>
      <c r="H830" t="s">
        <v>169</v>
      </c>
      <c r="I830" t="s">
        <v>41</v>
      </c>
      <c r="J830">
        <v>0.91200000000000003</v>
      </c>
      <c r="K830">
        <v>3</v>
      </c>
      <c r="L830">
        <v>2</v>
      </c>
      <c r="M830">
        <v>0.86</v>
      </c>
      <c r="N830" t="s">
        <v>368</v>
      </c>
      <c r="O830" s="1">
        <v>46106</v>
      </c>
      <c r="S830" t="s">
        <v>915</v>
      </c>
      <c r="T830" s="6" t="s">
        <v>941</v>
      </c>
      <c r="U830" s="6" t="s">
        <v>922</v>
      </c>
      <c r="V830" s="2" t="s">
        <v>955</v>
      </c>
      <c r="W830" t="str">
        <f t="shared" si="12"/>
        <v>2000056987_20233</v>
      </c>
      <c r="X830" s="2" t="s">
        <v>1615</v>
      </c>
    </row>
    <row r="831" spans="1:24" hidden="1" x14ac:dyDescent="0.35">
      <c r="B831">
        <v>2000056988</v>
      </c>
      <c r="C831" s="1">
        <v>44481</v>
      </c>
      <c r="D831" t="s">
        <v>2756</v>
      </c>
      <c r="F831" t="s">
        <v>39</v>
      </c>
      <c r="G831" t="s">
        <v>1606</v>
      </c>
      <c r="H831" t="s">
        <v>2757</v>
      </c>
      <c r="I831" t="s">
        <v>41</v>
      </c>
      <c r="J831">
        <v>0.90400000000000003</v>
      </c>
      <c r="K831">
        <v>3</v>
      </c>
      <c r="L831">
        <v>6</v>
      </c>
      <c r="M831">
        <v>0.77</v>
      </c>
      <c r="N831" t="s">
        <v>2314</v>
      </c>
      <c r="O831" s="1">
        <v>45577</v>
      </c>
      <c r="S831" t="s">
        <v>915</v>
      </c>
      <c r="T831" s="6" t="s">
        <v>948</v>
      </c>
      <c r="U831" s="6" t="s">
        <v>949</v>
      </c>
      <c r="V831" s="2" t="s">
        <v>952</v>
      </c>
      <c r="W831" t="str">
        <f t="shared" si="12"/>
        <v>2000056988_202110</v>
      </c>
      <c r="X831" s="2" t="s">
        <v>1616</v>
      </c>
    </row>
    <row r="832" spans="1:24" hidden="1" x14ac:dyDescent="0.35">
      <c r="A832">
        <v>137</v>
      </c>
      <c r="B832">
        <v>2000056988</v>
      </c>
      <c r="C832" s="1">
        <v>45587</v>
      </c>
      <c r="D832" t="s">
        <v>2756</v>
      </c>
      <c r="E832" t="s">
        <v>18</v>
      </c>
      <c r="F832" t="s">
        <v>2806</v>
      </c>
      <c r="G832" t="s">
        <v>1606</v>
      </c>
      <c r="H832" t="s">
        <v>2757</v>
      </c>
      <c r="I832" t="s">
        <v>22</v>
      </c>
      <c r="J832">
        <v>0.84</v>
      </c>
      <c r="K832">
        <v>3</v>
      </c>
      <c r="L832">
        <v>7</v>
      </c>
      <c r="M832">
        <v>0.78</v>
      </c>
      <c r="N832" t="s">
        <v>368</v>
      </c>
      <c r="O832" s="1">
        <v>46682</v>
      </c>
      <c r="S832" t="s">
        <v>915</v>
      </c>
      <c r="T832" s="5" t="s">
        <v>948</v>
      </c>
      <c r="U832" s="5" t="s">
        <v>933</v>
      </c>
      <c r="V832" t="s">
        <v>956</v>
      </c>
      <c r="W832" t="str">
        <f t="shared" si="12"/>
        <v>2000056988_202410</v>
      </c>
      <c r="X832" t="s">
        <v>1616</v>
      </c>
    </row>
    <row r="833" spans="1:24" hidden="1" x14ac:dyDescent="0.35">
      <c r="B833">
        <v>2000057003</v>
      </c>
      <c r="C833" s="1">
        <v>45054</v>
      </c>
      <c r="D833" t="s">
        <v>2758</v>
      </c>
      <c r="F833" t="s">
        <v>148</v>
      </c>
      <c r="G833" t="s">
        <v>1606</v>
      </c>
      <c r="H833" t="s">
        <v>2759</v>
      </c>
      <c r="I833" t="s">
        <v>148</v>
      </c>
      <c r="J833">
        <v>1</v>
      </c>
      <c r="K833">
        <v>3</v>
      </c>
      <c r="L833">
        <v>0</v>
      </c>
      <c r="M833">
        <v>0.84</v>
      </c>
      <c r="N833" t="s">
        <v>2314</v>
      </c>
      <c r="O833" s="1">
        <v>46150</v>
      </c>
      <c r="S833" t="s">
        <v>915</v>
      </c>
      <c r="T833" s="6" t="s">
        <v>947</v>
      </c>
      <c r="U833" s="6" t="s">
        <v>940</v>
      </c>
      <c r="V833" s="2" t="s">
        <v>955</v>
      </c>
      <c r="W833" t="str">
        <f t="shared" si="12"/>
        <v>2000057003_20235</v>
      </c>
      <c r="X833" s="2" t="s">
        <v>1616</v>
      </c>
    </row>
    <row r="834" spans="1:24" hidden="1" x14ac:dyDescent="0.35">
      <c r="B834">
        <v>2000057012</v>
      </c>
      <c r="C834" s="1">
        <v>45225</v>
      </c>
      <c r="D834" t="s">
        <v>2760</v>
      </c>
      <c r="F834" t="s">
        <v>376</v>
      </c>
      <c r="G834" t="s">
        <v>1606</v>
      </c>
      <c r="H834" t="s">
        <v>2761</v>
      </c>
      <c r="I834" t="s">
        <v>22</v>
      </c>
      <c r="J834">
        <v>0.92900000000000005</v>
      </c>
      <c r="K834">
        <v>3</v>
      </c>
      <c r="M834">
        <v>1</v>
      </c>
      <c r="N834" t="s">
        <v>2314</v>
      </c>
      <c r="O834" s="1">
        <v>46321</v>
      </c>
      <c r="S834" t="s">
        <v>915</v>
      </c>
      <c r="T834" s="6" t="s">
        <v>948</v>
      </c>
      <c r="U834" s="6" t="s">
        <v>924</v>
      </c>
      <c r="V834" s="2" t="s">
        <v>955</v>
      </c>
      <c r="W834" t="str">
        <f t="shared" ref="W834:W897" si="13">CONCATENATE(B834,"_",V834,T834)</f>
        <v>2000057012_202310</v>
      </c>
      <c r="X834" s="2" t="s">
        <v>1616</v>
      </c>
    </row>
    <row r="835" spans="1:24" hidden="1" x14ac:dyDescent="0.35">
      <c r="B835">
        <v>2000057017</v>
      </c>
      <c r="C835" s="1">
        <v>44151</v>
      </c>
      <c r="D835" t="s">
        <v>3861</v>
      </c>
      <c r="F835" t="s">
        <v>43</v>
      </c>
      <c r="G835" t="s">
        <v>1606</v>
      </c>
      <c r="H835" t="s">
        <v>2762</v>
      </c>
      <c r="I835" t="s">
        <v>41</v>
      </c>
      <c r="J835">
        <v>0.81599999999999995</v>
      </c>
      <c r="K835">
        <v>2.7</v>
      </c>
      <c r="L835">
        <v>2</v>
      </c>
      <c r="M835">
        <v>0.8</v>
      </c>
      <c r="N835" t="s">
        <v>2310</v>
      </c>
      <c r="O835" s="1">
        <v>44881</v>
      </c>
      <c r="S835" t="s">
        <v>915</v>
      </c>
      <c r="T835" s="6" t="s">
        <v>945</v>
      </c>
      <c r="U835" s="6" t="s">
        <v>928</v>
      </c>
      <c r="V835" s="2" t="s">
        <v>923</v>
      </c>
      <c r="W835" t="str">
        <f t="shared" si="13"/>
        <v>2000057017_202011</v>
      </c>
      <c r="X835" s="2" t="s">
        <v>1616</v>
      </c>
    </row>
    <row r="836" spans="1:24" hidden="1" x14ac:dyDescent="0.35">
      <c r="B836">
        <v>2000057017</v>
      </c>
      <c r="C836" s="1">
        <v>44797</v>
      </c>
      <c r="D836" t="s">
        <v>3861</v>
      </c>
      <c r="F836" t="s">
        <v>39</v>
      </c>
      <c r="G836" t="s">
        <v>1606</v>
      </c>
      <c r="H836" t="s">
        <v>2763</v>
      </c>
      <c r="I836" t="s">
        <v>41</v>
      </c>
      <c r="J836">
        <v>0.95199999999999996</v>
      </c>
      <c r="K836">
        <v>3</v>
      </c>
      <c r="L836">
        <v>1</v>
      </c>
      <c r="M836">
        <v>0.89</v>
      </c>
      <c r="N836" t="s">
        <v>2314</v>
      </c>
      <c r="O836" s="1">
        <v>45893</v>
      </c>
      <c r="S836" t="s">
        <v>915</v>
      </c>
      <c r="T836" s="6" t="s">
        <v>940</v>
      </c>
      <c r="U836" s="6" t="s">
        <v>935</v>
      </c>
      <c r="V836" s="2" t="s">
        <v>954</v>
      </c>
      <c r="W836" t="str">
        <f t="shared" si="13"/>
        <v>2000057017_20228</v>
      </c>
      <c r="X836" s="2" t="s">
        <v>1616</v>
      </c>
    </row>
    <row r="837" spans="1:24" hidden="1" x14ac:dyDescent="0.35">
      <c r="A837">
        <v>4</v>
      </c>
      <c r="B837">
        <v>2000057033</v>
      </c>
      <c r="C837" s="1">
        <v>44579</v>
      </c>
      <c r="D837" t="s">
        <v>4167</v>
      </c>
      <c r="E837" t="s">
        <v>18</v>
      </c>
      <c r="F837" t="s">
        <v>32</v>
      </c>
      <c r="G837" t="s">
        <v>20</v>
      </c>
      <c r="H837" t="s">
        <v>355</v>
      </c>
      <c r="I837" t="s">
        <v>22</v>
      </c>
      <c r="J837">
        <v>0.81</v>
      </c>
      <c r="K837">
        <v>2.2000000000000002</v>
      </c>
      <c r="L837">
        <v>5</v>
      </c>
      <c r="M837">
        <v>0.76</v>
      </c>
      <c r="N837" t="s">
        <v>28</v>
      </c>
      <c r="O837" s="1">
        <v>45309</v>
      </c>
      <c r="S837" t="s">
        <v>915</v>
      </c>
      <c r="T837" s="6" t="s">
        <v>953</v>
      </c>
      <c r="U837" s="6" t="s">
        <v>930</v>
      </c>
      <c r="V837" s="2" t="s">
        <v>954</v>
      </c>
      <c r="W837" t="str">
        <f t="shared" si="13"/>
        <v>2000057033_20221</v>
      </c>
      <c r="X837" s="2" t="s">
        <v>1615</v>
      </c>
    </row>
    <row r="838" spans="1:24" hidden="1" x14ac:dyDescent="0.35">
      <c r="A838">
        <v>35</v>
      </c>
      <c r="B838">
        <v>2000057033</v>
      </c>
      <c r="C838" s="1">
        <v>44099</v>
      </c>
      <c r="D838" t="s">
        <v>4167</v>
      </c>
      <c r="E838" t="s">
        <v>18</v>
      </c>
      <c r="F838" t="s">
        <v>32</v>
      </c>
      <c r="G838" t="s">
        <v>20</v>
      </c>
      <c r="H838" t="s">
        <v>105</v>
      </c>
      <c r="I838" t="s">
        <v>22</v>
      </c>
      <c r="J838">
        <v>0.68300000000000005</v>
      </c>
      <c r="K838">
        <v>2</v>
      </c>
      <c r="L838">
        <v>8</v>
      </c>
      <c r="M838">
        <v>0.75</v>
      </c>
      <c r="N838" t="s">
        <v>23</v>
      </c>
      <c r="O838" s="1">
        <v>44464</v>
      </c>
      <c r="R838" t="s">
        <v>24</v>
      </c>
      <c r="S838" t="s">
        <v>915</v>
      </c>
      <c r="T838" s="6" t="s">
        <v>942</v>
      </c>
      <c r="U838" s="6" t="s">
        <v>922</v>
      </c>
      <c r="V838" s="2" t="s">
        <v>923</v>
      </c>
      <c r="W838" t="str">
        <f t="shared" si="13"/>
        <v>2000057033_20209</v>
      </c>
      <c r="X838" s="2" t="s">
        <v>1615</v>
      </c>
    </row>
    <row r="839" spans="1:24" hidden="1" x14ac:dyDescent="0.35">
      <c r="A839">
        <v>71</v>
      </c>
      <c r="B839">
        <v>2000057033</v>
      </c>
      <c r="C839" s="1">
        <v>43745</v>
      </c>
      <c r="D839" t="s">
        <v>4167</v>
      </c>
      <c r="E839" t="s">
        <v>18</v>
      </c>
      <c r="F839" t="s">
        <v>1628</v>
      </c>
      <c r="G839" t="s">
        <v>1636</v>
      </c>
      <c r="H839" t="s">
        <v>105</v>
      </c>
      <c r="I839" t="s">
        <v>22</v>
      </c>
      <c r="J839">
        <v>0.755</v>
      </c>
      <c r="K839">
        <v>2.4</v>
      </c>
      <c r="L839">
        <v>6</v>
      </c>
      <c r="N839" t="s">
        <v>23</v>
      </c>
      <c r="O839" s="1">
        <v>44111</v>
      </c>
      <c r="R839" t="s">
        <v>1637</v>
      </c>
      <c r="S839" t="s">
        <v>915</v>
      </c>
      <c r="T839" s="5" t="s">
        <v>948</v>
      </c>
      <c r="U839" s="5">
        <v>7</v>
      </c>
      <c r="V839" t="s">
        <v>1618</v>
      </c>
      <c r="W839" t="str">
        <f t="shared" si="13"/>
        <v>2000057033_201910</v>
      </c>
      <c r="X839" s="2" t="s">
        <v>1615</v>
      </c>
    </row>
    <row r="840" spans="1:24" hidden="1" x14ac:dyDescent="0.35">
      <c r="A840">
        <v>4</v>
      </c>
      <c r="B840">
        <v>2000057033</v>
      </c>
      <c r="C840" s="1">
        <v>45314</v>
      </c>
      <c r="D840" t="s">
        <v>4167</v>
      </c>
      <c r="E840" t="s">
        <v>18</v>
      </c>
      <c r="F840" t="s">
        <v>32</v>
      </c>
      <c r="G840" t="s">
        <v>20</v>
      </c>
      <c r="H840" t="s">
        <v>355</v>
      </c>
      <c r="I840" t="s">
        <v>22</v>
      </c>
      <c r="J840">
        <v>0.84599999999999997</v>
      </c>
      <c r="K840">
        <v>2.6</v>
      </c>
      <c r="L840">
        <v>4</v>
      </c>
      <c r="M840">
        <v>0.78</v>
      </c>
      <c r="N840" t="s">
        <v>28</v>
      </c>
      <c r="O840" s="1">
        <v>46045</v>
      </c>
      <c r="S840" t="s">
        <v>915</v>
      </c>
      <c r="T840" s="6" t="s">
        <v>953</v>
      </c>
      <c r="U840" s="6" t="s">
        <v>934</v>
      </c>
      <c r="V840" s="2" t="s">
        <v>956</v>
      </c>
      <c r="W840" t="str">
        <f t="shared" si="13"/>
        <v>2000057033_20241</v>
      </c>
      <c r="X840" s="2" t="s">
        <v>1615</v>
      </c>
    </row>
    <row r="841" spans="1:24" hidden="1" x14ac:dyDescent="0.35">
      <c r="B841">
        <v>2000057067</v>
      </c>
      <c r="C841" s="1">
        <v>44434</v>
      </c>
      <c r="D841" t="s">
        <v>1900</v>
      </c>
      <c r="F841" t="s">
        <v>148</v>
      </c>
      <c r="G841" t="s">
        <v>1606</v>
      </c>
      <c r="H841" t="s">
        <v>2764</v>
      </c>
      <c r="I841" t="s">
        <v>148</v>
      </c>
      <c r="J841">
        <v>0.81299999999999994</v>
      </c>
      <c r="K841">
        <v>2.2999999999999998</v>
      </c>
      <c r="L841">
        <v>10</v>
      </c>
      <c r="M841">
        <v>0.91</v>
      </c>
      <c r="N841" t="s">
        <v>2310</v>
      </c>
      <c r="O841" s="1">
        <v>45164</v>
      </c>
      <c r="S841" t="s">
        <v>915</v>
      </c>
      <c r="T841" s="6" t="s">
        <v>940</v>
      </c>
      <c r="U841" s="6" t="s">
        <v>924</v>
      </c>
      <c r="V841" s="2" t="s">
        <v>952</v>
      </c>
      <c r="W841" t="str">
        <f t="shared" si="13"/>
        <v>2000057067_20218</v>
      </c>
      <c r="X841" s="2" t="s">
        <v>1616</v>
      </c>
    </row>
    <row r="842" spans="1:24" hidden="1" x14ac:dyDescent="0.35">
      <c r="A842">
        <v>106</v>
      </c>
      <c r="B842">
        <v>2000057067</v>
      </c>
      <c r="C842" s="1">
        <v>45527</v>
      </c>
      <c r="D842" t="s">
        <v>1900</v>
      </c>
      <c r="E842" t="s">
        <v>18</v>
      </c>
      <c r="F842" t="s">
        <v>148</v>
      </c>
      <c r="G842" t="s">
        <v>1606</v>
      </c>
      <c r="H842" t="s">
        <v>1901</v>
      </c>
      <c r="I842" t="s">
        <v>148</v>
      </c>
      <c r="J842">
        <v>1</v>
      </c>
      <c r="K842">
        <v>3</v>
      </c>
      <c r="L842">
        <v>0</v>
      </c>
      <c r="M842">
        <v>1</v>
      </c>
      <c r="N842" t="s">
        <v>368</v>
      </c>
      <c r="O842" s="1">
        <v>46622</v>
      </c>
      <c r="S842" t="s">
        <v>915</v>
      </c>
      <c r="T842" s="5" t="s">
        <v>940</v>
      </c>
      <c r="U842" s="5" t="s">
        <v>934</v>
      </c>
      <c r="V842" t="s">
        <v>956</v>
      </c>
      <c r="W842" t="str">
        <f t="shared" si="13"/>
        <v>2000057067_20248</v>
      </c>
      <c r="X842" s="2" t="s">
        <v>1616</v>
      </c>
    </row>
    <row r="843" spans="1:24" hidden="1" x14ac:dyDescent="0.35">
      <c r="B843">
        <v>2000057079</v>
      </c>
      <c r="C843" s="1">
        <v>43703</v>
      </c>
      <c r="D843" t="s">
        <v>3933</v>
      </c>
      <c r="F843" t="s">
        <v>43</v>
      </c>
      <c r="G843" t="s">
        <v>1606</v>
      </c>
      <c r="H843" t="s">
        <v>2768</v>
      </c>
      <c r="I843" t="s">
        <v>41</v>
      </c>
      <c r="J843">
        <v>0.64800000000000002</v>
      </c>
      <c r="K843">
        <v>2.4</v>
      </c>
      <c r="L843">
        <v>4</v>
      </c>
      <c r="N843" t="s">
        <v>23</v>
      </c>
      <c r="O843" s="1">
        <v>44069</v>
      </c>
      <c r="S843" t="s">
        <v>915</v>
      </c>
      <c r="T843" s="6" t="s">
        <v>940</v>
      </c>
      <c r="U843" s="6" t="s">
        <v>924</v>
      </c>
      <c r="V843" s="2" t="s">
        <v>1618</v>
      </c>
      <c r="W843" t="str">
        <f t="shared" si="13"/>
        <v>2000057079_20198</v>
      </c>
      <c r="X843" s="2" t="s">
        <v>1616</v>
      </c>
    </row>
    <row r="844" spans="1:24" hidden="1" x14ac:dyDescent="0.35">
      <c r="B844">
        <v>2000057079</v>
      </c>
      <c r="C844" s="1">
        <v>44125</v>
      </c>
      <c r="D844" t="s">
        <v>3933</v>
      </c>
      <c r="F844" t="s">
        <v>43</v>
      </c>
      <c r="G844" t="s">
        <v>1606</v>
      </c>
      <c r="H844" t="s">
        <v>2769</v>
      </c>
      <c r="I844" t="s">
        <v>41</v>
      </c>
      <c r="J844">
        <v>0.68799999999999994</v>
      </c>
      <c r="K844">
        <v>2.7</v>
      </c>
      <c r="L844">
        <v>2</v>
      </c>
      <c r="M844">
        <v>0.72</v>
      </c>
      <c r="N844" t="s">
        <v>23</v>
      </c>
      <c r="O844" s="1">
        <v>44490</v>
      </c>
      <c r="S844" t="s">
        <v>915</v>
      </c>
      <c r="T844" s="6" t="s">
        <v>948</v>
      </c>
      <c r="U844" s="6" t="s">
        <v>944</v>
      </c>
      <c r="V844" s="2" t="s">
        <v>923</v>
      </c>
      <c r="W844" t="str">
        <f t="shared" si="13"/>
        <v>2000057079_202010</v>
      </c>
      <c r="X844" s="2" t="s">
        <v>1616</v>
      </c>
    </row>
    <row r="845" spans="1:24" hidden="1" x14ac:dyDescent="0.35">
      <c r="B845">
        <v>2000057079</v>
      </c>
      <c r="C845" s="1">
        <v>44529</v>
      </c>
      <c r="D845" t="s">
        <v>3933</v>
      </c>
      <c r="F845" t="s">
        <v>43</v>
      </c>
      <c r="G845" t="s">
        <v>1606</v>
      </c>
      <c r="H845" t="s">
        <v>2770</v>
      </c>
      <c r="I845" t="s">
        <v>41</v>
      </c>
      <c r="J845">
        <v>0.76600000000000001</v>
      </c>
      <c r="K845">
        <v>2.2999999999999998</v>
      </c>
      <c r="L845">
        <v>3</v>
      </c>
      <c r="M845">
        <v>0.66</v>
      </c>
      <c r="N845" t="s">
        <v>2361</v>
      </c>
      <c r="O845" s="1">
        <v>44894</v>
      </c>
      <c r="S845" t="s">
        <v>915</v>
      </c>
      <c r="T845" s="6" t="s">
        <v>945</v>
      </c>
      <c r="U845" s="6" t="s">
        <v>937</v>
      </c>
      <c r="V845" s="2" t="s">
        <v>952</v>
      </c>
      <c r="W845" t="str">
        <f t="shared" si="13"/>
        <v>2000057079_202111</v>
      </c>
      <c r="X845" s="2" t="s">
        <v>1616</v>
      </c>
    </row>
    <row r="846" spans="1:24" hidden="1" x14ac:dyDescent="0.35">
      <c r="B846">
        <v>2000057079</v>
      </c>
      <c r="C846" s="1">
        <v>44817</v>
      </c>
      <c r="D846" t="s">
        <v>3933</v>
      </c>
      <c r="F846" t="s">
        <v>43</v>
      </c>
      <c r="G846" t="s">
        <v>1720</v>
      </c>
      <c r="H846" t="s">
        <v>2771</v>
      </c>
      <c r="I846" t="s">
        <v>41</v>
      </c>
      <c r="J846">
        <v>0.93799999999999994</v>
      </c>
      <c r="K846">
        <v>3</v>
      </c>
      <c r="L846">
        <v>1</v>
      </c>
      <c r="M846">
        <v>0.93</v>
      </c>
      <c r="N846" t="s">
        <v>2314</v>
      </c>
      <c r="O846" s="1">
        <v>45913</v>
      </c>
      <c r="S846" t="s">
        <v>915</v>
      </c>
      <c r="T846" s="6" t="s">
        <v>942</v>
      </c>
      <c r="U846" s="6" t="s">
        <v>950</v>
      </c>
      <c r="V846" s="2" t="s">
        <v>954</v>
      </c>
      <c r="W846" t="str">
        <f t="shared" si="13"/>
        <v>2000057079_20229</v>
      </c>
      <c r="X846" s="2" t="s">
        <v>1616</v>
      </c>
    </row>
    <row r="847" spans="1:24" hidden="1" x14ac:dyDescent="0.35">
      <c r="A847">
        <v>45</v>
      </c>
      <c r="B847">
        <v>2000057091</v>
      </c>
      <c r="C847" s="1">
        <v>45432</v>
      </c>
      <c r="D847" t="s">
        <v>1755</v>
      </c>
      <c r="E847" t="s">
        <v>18</v>
      </c>
      <c r="F847" t="s">
        <v>43</v>
      </c>
      <c r="G847" t="s">
        <v>1606</v>
      </c>
      <c r="H847" t="s">
        <v>1756</v>
      </c>
      <c r="I847" t="s">
        <v>41</v>
      </c>
      <c r="J847">
        <v>1</v>
      </c>
      <c r="K847">
        <v>3</v>
      </c>
      <c r="L847">
        <v>0</v>
      </c>
      <c r="M847">
        <v>1</v>
      </c>
      <c r="N847" t="s">
        <v>368</v>
      </c>
      <c r="O847" s="1">
        <v>46527</v>
      </c>
      <c r="P847" t="s">
        <v>279</v>
      </c>
      <c r="Q847" t="s">
        <v>1757</v>
      </c>
      <c r="R847" t="s">
        <v>1613</v>
      </c>
      <c r="S847" t="s">
        <v>915</v>
      </c>
      <c r="T847" s="5" t="s">
        <v>947</v>
      </c>
      <c r="U847" s="5" t="s">
        <v>932</v>
      </c>
      <c r="V847" t="s">
        <v>956</v>
      </c>
      <c r="W847" t="str">
        <f t="shared" si="13"/>
        <v>2000057091_20245</v>
      </c>
      <c r="X847" s="2" t="s">
        <v>1616</v>
      </c>
    </row>
    <row r="848" spans="1:24" hidden="1" x14ac:dyDescent="0.35">
      <c r="B848">
        <v>2000057091</v>
      </c>
      <c r="C848" s="1">
        <v>44032</v>
      </c>
      <c r="D848" t="s">
        <v>1755</v>
      </c>
      <c r="F848" t="s">
        <v>43</v>
      </c>
      <c r="G848" t="s">
        <v>1606</v>
      </c>
      <c r="H848" t="s">
        <v>2772</v>
      </c>
      <c r="I848" t="s">
        <v>41</v>
      </c>
      <c r="J848">
        <v>0.82299999999999995</v>
      </c>
      <c r="K848">
        <v>2.6</v>
      </c>
      <c r="L848">
        <v>3</v>
      </c>
      <c r="M848">
        <v>0.87</v>
      </c>
      <c r="N848" t="s">
        <v>2310</v>
      </c>
      <c r="O848" s="1">
        <v>44762</v>
      </c>
      <c r="S848" t="s">
        <v>915</v>
      </c>
      <c r="T848" s="6" t="s">
        <v>936</v>
      </c>
      <c r="U848" s="6" t="s">
        <v>932</v>
      </c>
      <c r="V848" s="2" t="s">
        <v>923</v>
      </c>
      <c r="W848" t="str">
        <f t="shared" si="13"/>
        <v>2000057091_20207</v>
      </c>
      <c r="X848" s="2" t="s">
        <v>1616</v>
      </c>
    </row>
    <row r="849" spans="1:24" hidden="1" x14ac:dyDescent="0.35">
      <c r="B849">
        <v>2000057091</v>
      </c>
      <c r="C849" s="1">
        <v>44720</v>
      </c>
      <c r="D849" t="s">
        <v>1755</v>
      </c>
      <c r="F849" t="s">
        <v>43</v>
      </c>
      <c r="G849" t="s">
        <v>1606</v>
      </c>
      <c r="H849" t="s">
        <v>2773</v>
      </c>
      <c r="I849" t="s">
        <v>41</v>
      </c>
      <c r="J849">
        <v>0.88900000000000001</v>
      </c>
      <c r="K849">
        <v>3</v>
      </c>
      <c r="L849">
        <v>0</v>
      </c>
      <c r="M849">
        <v>0.96</v>
      </c>
      <c r="N849" t="s">
        <v>2310</v>
      </c>
      <c r="O849" s="1">
        <v>45451</v>
      </c>
      <c r="S849" t="s">
        <v>915</v>
      </c>
      <c r="T849" s="6" t="s">
        <v>927</v>
      </c>
      <c r="U849" s="6" t="s">
        <v>940</v>
      </c>
      <c r="V849" s="2" t="s">
        <v>954</v>
      </c>
      <c r="W849" t="str">
        <f t="shared" si="13"/>
        <v>2000057091_20226</v>
      </c>
      <c r="X849" s="2" t="s">
        <v>1616</v>
      </c>
    </row>
    <row r="850" spans="1:24" hidden="1" x14ac:dyDescent="0.35">
      <c r="B850">
        <v>2000057095</v>
      </c>
      <c r="C850" s="1">
        <v>44691</v>
      </c>
      <c r="D850" t="s">
        <v>2774</v>
      </c>
      <c r="F850" t="s">
        <v>148</v>
      </c>
      <c r="G850" t="s">
        <v>1753</v>
      </c>
      <c r="H850" t="s">
        <v>2775</v>
      </c>
      <c r="I850" t="s">
        <v>148</v>
      </c>
      <c r="J850">
        <v>0.91700000000000004</v>
      </c>
      <c r="K850">
        <v>3</v>
      </c>
      <c r="L850">
        <v>2</v>
      </c>
      <c r="M850">
        <v>0.7</v>
      </c>
      <c r="N850" t="s">
        <v>2314</v>
      </c>
      <c r="O850" s="1">
        <v>45787</v>
      </c>
      <c r="S850" t="s">
        <v>915</v>
      </c>
      <c r="T850" s="6" t="s">
        <v>947</v>
      </c>
      <c r="U850" s="6" t="s">
        <v>948</v>
      </c>
      <c r="V850" s="2" t="s">
        <v>954</v>
      </c>
      <c r="W850" t="str">
        <f t="shared" si="13"/>
        <v>2000057095_20225</v>
      </c>
      <c r="X850" s="2" t="s">
        <v>1616</v>
      </c>
    </row>
    <row r="851" spans="1:24" hidden="1" x14ac:dyDescent="0.35">
      <c r="A851">
        <v>37</v>
      </c>
      <c r="B851">
        <v>2000055447</v>
      </c>
      <c r="C851" s="1">
        <v>45742</v>
      </c>
      <c r="D851" t="s">
        <v>1684</v>
      </c>
      <c r="E851" t="s">
        <v>18</v>
      </c>
      <c r="F851" t="s">
        <v>43</v>
      </c>
      <c r="G851" t="s">
        <v>1609</v>
      </c>
      <c r="H851" t="s">
        <v>1685</v>
      </c>
      <c r="I851" t="s">
        <v>41</v>
      </c>
      <c r="J851">
        <v>0.75</v>
      </c>
      <c r="M851">
        <v>0.71</v>
      </c>
      <c r="N851" t="s">
        <v>3658</v>
      </c>
      <c r="O851" s="1">
        <v>46107</v>
      </c>
      <c r="R851" t="s">
        <v>3691</v>
      </c>
      <c r="S851" t="s">
        <v>915</v>
      </c>
      <c r="T851" s="6" t="s">
        <v>941</v>
      </c>
      <c r="U851" s="6" t="s">
        <v>924</v>
      </c>
      <c r="V851" s="2" t="s">
        <v>1650</v>
      </c>
      <c r="W851" t="str">
        <f t="shared" si="13"/>
        <v>2000055447_20253</v>
      </c>
      <c r="X851" t="s">
        <v>1616</v>
      </c>
    </row>
    <row r="852" spans="1:24" hidden="1" x14ac:dyDescent="0.35">
      <c r="A852">
        <v>12</v>
      </c>
      <c r="B852">
        <v>2000057123</v>
      </c>
      <c r="C852" s="1">
        <v>45380</v>
      </c>
      <c r="D852" t="s">
        <v>679</v>
      </c>
      <c r="E852" t="s">
        <v>18</v>
      </c>
      <c r="F852" t="s">
        <v>148</v>
      </c>
      <c r="G852" t="s">
        <v>168</v>
      </c>
      <c r="H852" t="s">
        <v>680</v>
      </c>
      <c r="I852" t="s">
        <v>148</v>
      </c>
      <c r="J852">
        <v>0.95699999999999996</v>
      </c>
      <c r="K852">
        <v>3</v>
      </c>
      <c r="L852">
        <v>1</v>
      </c>
      <c r="M852">
        <v>0.96</v>
      </c>
      <c r="N852" t="s">
        <v>368</v>
      </c>
      <c r="O852" s="1">
        <v>46475</v>
      </c>
      <c r="Q852" t="s">
        <v>323</v>
      </c>
      <c r="S852" t="s">
        <v>915</v>
      </c>
      <c r="T852" s="6" t="s">
        <v>941</v>
      </c>
      <c r="U852" s="6" t="s">
        <v>937</v>
      </c>
      <c r="V852" s="2" t="s">
        <v>956</v>
      </c>
      <c r="W852" t="str">
        <f t="shared" si="13"/>
        <v>2000057123_20243</v>
      </c>
      <c r="X852" s="2" t="s">
        <v>1615</v>
      </c>
    </row>
    <row r="853" spans="1:24" hidden="1" x14ac:dyDescent="0.35">
      <c r="B853">
        <v>2000057143</v>
      </c>
      <c r="C853" s="1">
        <v>43872</v>
      </c>
      <c r="D853" t="s">
        <v>2785</v>
      </c>
      <c r="F853" t="s">
        <v>43</v>
      </c>
      <c r="G853" t="s">
        <v>1606</v>
      </c>
      <c r="H853" t="s">
        <v>2786</v>
      </c>
      <c r="I853" t="s">
        <v>22</v>
      </c>
      <c r="J853">
        <v>0.70340000000000003</v>
      </c>
      <c r="K853">
        <v>2.2000000000000002</v>
      </c>
      <c r="L853">
        <v>6</v>
      </c>
      <c r="M853">
        <v>0.8</v>
      </c>
      <c r="N853" t="s">
        <v>23</v>
      </c>
      <c r="O853" s="1">
        <v>44238</v>
      </c>
      <c r="S853" t="s">
        <v>915</v>
      </c>
      <c r="T853" s="6" t="s">
        <v>921</v>
      </c>
      <c r="U853" s="6" t="s">
        <v>945</v>
      </c>
      <c r="V853" s="2" t="s">
        <v>923</v>
      </c>
      <c r="W853" t="str">
        <f t="shared" si="13"/>
        <v>2000057143_20202</v>
      </c>
      <c r="X853" s="2" t="s">
        <v>1616</v>
      </c>
    </row>
    <row r="854" spans="1:24" hidden="1" x14ac:dyDescent="0.35">
      <c r="B854">
        <v>2000057143</v>
      </c>
      <c r="C854" s="1">
        <v>44291</v>
      </c>
      <c r="D854" t="s">
        <v>2785</v>
      </c>
      <c r="F854" t="s">
        <v>43</v>
      </c>
      <c r="G854" t="s">
        <v>1606</v>
      </c>
      <c r="H854" t="s">
        <v>2787</v>
      </c>
      <c r="I854" t="s">
        <v>22</v>
      </c>
      <c r="J854">
        <v>0.86</v>
      </c>
      <c r="K854">
        <v>2.6</v>
      </c>
      <c r="L854">
        <v>6</v>
      </c>
      <c r="M854">
        <v>0.88</v>
      </c>
      <c r="N854" t="s">
        <v>2310</v>
      </c>
      <c r="O854" s="1">
        <v>45021</v>
      </c>
      <c r="S854" t="s">
        <v>915</v>
      </c>
      <c r="T854" s="6" t="s">
        <v>946</v>
      </c>
      <c r="U854" s="6" t="s">
        <v>947</v>
      </c>
      <c r="V854" s="2" t="s">
        <v>952</v>
      </c>
      <c r="W854" t="str">
        <f t="shared" si="13"/>
        <v>2000057143_20214</v>
      </c>
      <c r="X854" s="2" t="s">
        <v>1616</v>
      </c>
    </row>
    <row r="855" spans="1:24" hidden="1" x14ac:dyDescent="0.35">
      <c r="B855">
        <v>2000057143</v>
      </c>
      <c r="C855" s="1">
        <v>45030</v>
      </c>
      <c r="D855" t="s">
        <v>2785</v>
      </c>
      <c r="F855" t="s">
        <v>43</v>
      </c>
      <c r="G855" t="s">
        <v>1606</v>
      </c>
      <c r="H855" t="s">
        <v>2788</v>
      </c>
      <c r="I855" t="s">
        <v>22</v>
      </c>
      <c r="J855">
        <v>0.82799999999999996</v>
      </c>
      <c r="K855">
        <v>2.6</v>
      </c>
      <c r="L855">
        <v>5</v>
      </c>
      <c r="M855">
        <v>0.93</v>
      </c>
      <c r="N855" t="s">
        <v>2310</v>
      </c>
      <c r="O855" s="1">
        <v>45761</v>
      </c>
      <c r="S855" t="s">
        <v>915</v>
      </c>
      <c r="T855" s="6" t="s">
        <v>946</v>
      </c>
      <c r="U855" s="6" t="s">
        <v>951</v>
      </c>
      <c r="V855" s="2" t="s">
        <v>955</v>
      </c>
      <c r="W855" t="str">
        <f t="shared" si="13"/>
        <v>2000057143_20234</v>
      </c>
      <c r="X855" s="2" t="s">
        <v>1616</v>
      </c>
    </row>
    <row r="856" spans="1:24" x14ac:dyDescent="0.35">
      <c r="A856">
        <v>21</v>
      </c>
      <c r="B856">
        <v>2000057153</v>
      </c>
      <c r="C856" s="1">
        <v>44305</v>
      </c>
      <c r="D856" t="s">
        <v>4182</v>
      </c>
      <c r="E856" t="s">
        <v>18</v>
      </c>
      <c r="F856" t="s">
        <v>43</v>
      </c>
      <c r="G856" t="s">
        <v>26</v>
      </c>
      <c r="H856" t="s">
        <v>194</v>
      </c>
      <c r="I856" t="s">
        <v>41</v>
      </c>
      <c r="J856">
        <v>0.95899999999999996</v>
      </c>
      <c r="K856">
        <v>3</v>
      </c>
      <c r="L856">
        <v>1</v>
      </c>
      <c r="M856">
        <v>0.95</v>
      </c>
      <c r="N856" t="s">
        <v>368</v>
      </c>
      <c r="O856" s="1">
        <v>45401</v>
      </c>
      <c r="Q856" t="s">
        <v>50</v>
      </c>
      <c r="R856" t="s">
        <v>24</v>
      </c>
      <c r="S856" t="s">
        <v>915</v>
      </c>
      <c r="T856" s="6" t="s">
        <v>946</v>
      </c>
      <c r="U856" s="6" t="s">
        <v>931</v>
      </c>
      <c r="V856" s="2" t="s">
        <v>952</v>
      </c>
      <c r="W856" t="str">
        <f t="shared" si="13"/>
        <v>2000057153_20214</v>
      </c>
      <c r="X856" s="2" t="s">
        <v>1615</v>
      </c>
    </row>
    <row r="857" spans="1:24" x14ac:dyDescent="0.35">
      <c r="A857">
        <v>10</v>
      </c>
      <c r="B857">
        <v>2000057153</v>
      </c>
      <c r="C857" s="1">
        <v>43556</v>
      </c>
      <c r="D857" t="s">
        <v>4182</v>
      </c>
      <c r="E857" t="s">
        <v>18</v>
      </c>
      <c r="F857" t="s">
        <v>1621</v>
      </c>
      <c r="G857" t="s">
        <v>26</v>
      </c>
      <c r="H857" t="s">
        <v>1622</v>
      </c>
      <c r="I857" t="s">
        <v>41</v>
      </c>
      <c r="J857">
        <v>0.97699999999999998</v>
      </c>
      <c r="K857">
        <v>2.7</v>
      </c>
      <c r="L857">
        <v>0</v>
      </c>
      <c r="N857" t="s">
        <v>28</v>
      </c>
      <c r="O857" s="1">
        <v>44287</v>
      </c>
      <c r="Q857" t="s">
        <v>50</v>
      </c>
      <c r="S857" t="s">
        <v>915</v>
      </c>
      <c r="T857" s="5" t="s">
        <v>946</v>
      </c>
      <c r="U857" s="5">
        <v>1</v>
      </c>
      <c r="V857" t="s">
        <v>1618</v>
      </c>
      <c r="W857" t="str">
        <f t="shared" si="13"/>
        <v>2000057153_20194</v>
      </c>
      <c r="X857" s="2" t="s">
        <v>1615</v>
      </c>
    </row>
    <row r="858" spans="1:24" x14ac:dyDescent="0.35">
      <c r="B858">
        <v>2000057153</v>
      </c>
      <c r="C858" s="1">
        <v>43556</v>
      </c>
      <c r="D858" t="s">
        <v>4182</v>
      </c>
      <c r="F858" t="s">
        <v>43</v>
      </c>
      <c r="G858" t="s">
        <v>26</v>
      </c>
      <c r="H858" t="s">
        <v>1622</v>
      </c>
      <c r="I858" t="s">
        <v>41</v>
      </c>
      <c r="J858">
        <v>0.97699999999999998</v>
      </c>
      <c r="K858">
        <v>2.7</v>
      </c>
      <c r="L858">
        <v>0</v>
      </c>
      <c r="N858" t="s">
        <v>2310</v>
      </c>
      <c r="O858" s="1">
        <v>44287</v>
      </c>
      <c r="S858" t="s">
        <v>915</v>
      </c>
      <c r="T858" s="6" t="s">
        <v>946</v>
      </c>
      <c r="U858" s="6" t="s">
        <v>953</v>
      </c>
      <c r="V858" s="2" t="s">
        <v>1618</v>
      </c>
      <c r="W858" t="str">
        <f t="shared" si="13"/>
        <v>2000057153_20194</v>
      </c>
      <c r="X858" s="2" t="s">
        <v>1616</v>
      </c>
    </row>
    <row r="859" spans="1:24" x14ac:dyDescent="0.35">
      <c r="A859">
        <v>24</v>
      </c>
      <c r="B859">
        <v>2000057153</v>
      </c>
      <c r="C859" s="1">
        <v>45406</v>
      </c>
      <c r="D859" t="s">
        <v>4182</v>
      </c>
      <c r="E859" t="s">
        <v>18</v>
      </c>
      <c r="F859" t="s">
        <v>43</v>
      </c>
      <c r="G859" t="s">
        <v>26</v>
      </c>
      <c r="H859" t="s">
        <v>696</v>
      </c>
      <c r="I859" t="s">
        <v>148</v>
      </c>
      <c r="J859">
        <v>0.88</v>
      </c>
      <c r="K859">
        <v>3</v>
      </c>
      <c r="L859">
        <v>0</v>
      </c>
      <c r="M859">
        <v>0.85</v>
      </c>
      <c r="N859" t="s">
        <v>28</v>
      </c>
      <c r="O859" s="1">
        <v>46136</v>
      </c>
      <c r="Q859" t="s">
        <v>697</v>
      </c>
      <c r="S859" t="s">
        <v>915</v>
      </c>
      <c r="T859" s="6" t="s">
        <v>946</v>
      </c>
      <c r="U859" s="6" t="s">
        <v>935</v>
      </c>
      <c r="V859" s="2" t="s">
        <v>956</v>
      </c>
      <c r="W859" t="str">
        <f t="shared" si="13"/>
        <v>2000057153_20244</v>
      </c>
      <c r="X859" s="2" t="s">
        <v>1615</v>
      </c>
    </row>
    <row r="860" spans="1:24" hidden="1" x14ac:dyDescent="0.35">
      <c r="A860">
        <v>7</v>
      </c>
      <c r="B860">
        <v>2000057162</v>
      </c>
      <c r="C860" s="1">
        <v>44282</v>
      </c>
      <c r="D860" t="s">
        <v>160</v>
      </c>
      <c r="E860" t="s">
        <v>18</v>
      </c>
      <c r="F860" t="s">
        <v>19</v>
      </c>
      <c r="G860" t="s">
        <v>149</v>
      </c>
      <c r="H860" t="s">
        <v>161</v>
      </c>
      <c r="I860" t="s">
        <v>22</v>
      </c>
      <c r="J860">
        <v>0.81799999999999995</v>
      </c>
      <c r="K860">
        <v>2.8</v>
      </c>
      <c r="L860">
        <v>6</v>
      </c>
      <c r="M860">
        <v>0.72</v>
      </c>
      <c r="N860" t="s">
        <v>28</v>
      </c>
      <c r="O860" s="1">
        <v>45012</v>
      </c>
      <c r="S860" t="s">
        <v>915</v>
      </c>
      <c r="T860" s="6" t="s">
        <v>941</v>
      </c>
      <c r="U860" s="6" t="s">
        <v>925</v>
      </c>
      <c r="V860" s="2" t="s">
        <v>952</v>
      </c>
      <c r="W860" t="str">
        <f t="shared" si="13"/>
        <v>2000057162_20213</v>
      </c>
      <c r="X860" s="2" t="s">
        <v>1615</v>
      </c>
    </row>
    <row r="861" spans="1:24" hidden="1" x14ac:dyDescent="0.35">
      <c r="A861">
        <v>10</v>
      </c>
      <c r="B861">
        <v>2000057162</v>
      </c>
      <c r="C861" s="1">
        <v>44999</v>
      </c>
      <c r="D861" t="s">
        <v>160</v>
      </c>
      <c r="E861" t="s">
        <v>18</v>
      </c>
      <c r="F861" t="s">
        <v>19</v>
      </c>
      <c r="G861" t="s">
        <v>149</v>
      </c>
      <c r="H861" t="s">
        <v>161</v>
      </c>
      <c r="I861" t="s">
        <v>22</v>
      </c>
      <c r="J861">
        <v>0.92400000000000004</v>
      </c>
      <c r="K861">
        <v>2.8</v>
      </c>
      <c r="L861">
        <v>2</v>
      </c>
      <c r="M861">
        <v>0.7</v>
      </c>
      <c r="N861" t="s">
        <v>28</v>
      </c>
      <c r="O861" s="1">
        <v>45730</v>
      </c>
      <c r="S861" t="s">
        <v>915</v>
      </c>
      <c r="T861" s="6" t="s">
        <v>941</v>
      </c>
      <c r="U861" s="6" t="s">
        <v>951</v>
      </c>
      <c r="V861" s="2" t="s">
        <v>955</v>
      </c>
      <c r="W861" t="str">
        <f t="shared" si="13"/>
        <v>2000057162_20233</v>
      </c>
      <c r="X861" s="2" t="s">
        <v>1615</v>
      </c>
    </row>
    <row r="862" spans="1:24" hidden="1" x14ac:dyDescent="0.35">
      <c r="A862">
        <v>14</v>
      </c>
      <c r="B862">
        <v>2000061444</v>
      </c>
      <c r="C862" s="1">
        <v>45740</v>
      </c>
      <c r="D862" t="s">
        <v>3575</v>
      </c>
      <c r="E862" t="s">
        <v>18</v>
      </c>
      <c r="F862" t="s">
        <v>473</v>
      </c>
      <c r="G862" t="s">
        <v>20</v>
      </c>
      <c r="H862" t="s">
        <v>3576</v>
      </c>
      <c r="I862" t="s">
        <v>41</v>
      </c>
      <c r="J862">
        <v>0.97799999999999998</v>
      </c>
      <c r="K862">
        <v>3</v>
      </c>
      <c r="L862">
        <v>0</v>
      </c>
      <c r="M862">
        <v>0.85</v>
      </c>
      <c r="N862" t="s">
        <v>368</v>
      </c>
      <c r="O862" s="1">
        <v>46836</v>
      </c>
      <c r="S862" t="s">
        <v>915</v>
      </c>
      <c r="T862" s="5" t="s">
        <v>941</v>
      </c>
      <c r="U862" s="5" t="s">
        <v>935</v>
      </c>
      <c r="V862" t="s">
        <v>1650</v>
      </c>
      <c r="W862" t="str">
        <f t="shared" si="13"/>
        <v>2000061444_20253</v>
      </c>
      <c r="X862" t="s">
        <v>1615</v>
      </c>
    </row>
    <row r="863" spans="1:24" hidden="1" x14ac:dyDescent="0.35">
      <c r="A863">
        <v>47</v>
      </c>
      <c r="B863">
        <v>2000057173</v>
      </c>
      <c r="C863" s="1">
        <v>44698</v>
      </c>
      <c r="D863" t="s">
        <v>436</v>
      </c>
      <c r="E863" t="s">
        <v>18</v>
      </c>
      <c r="F863" t="s">
        <v>19</v>
      </c>
      <c r="G863" t="s">
        <v>82</v>
      </c>
      <c r="H863" t="s">
        <v>437</v>
      </c>
      <c r="I863" t="s">
        <v>22</v>
      </c>
      <c r="J863">
        <v>1</v>
      </c>
      <c r="K863">
        <v>3</v>
      </c>
      <c r="L863">
        <v>0</v>
      </c>
      <c r="M863">
        <v>0.97</v>
      </c>
      <c r="N863" t="s">
        <v>368</v>
      </c>
      <c r="O863" s="1">
        <v>45794</v>
      </c>
      <c r="P863" t="s">
        <v>165</v>
      </c>
      <c r="Q863" t="s">
        <v>50</v>
      </c>
      <c r="S863" t="s">
        <v>915</v>
      </c>
      <c r="T863" s="6" t="s">
        <v>947</v>
      </c>
      <c r="U863" s="6" t="s">
        <v>929</v>
      </c>
      <c r="V863" s="2" t="s">
        <v>954</v>
      </c>
      <c r="W863" t="str">
        <f t="shared" si="13"/>
        <v>2000057173_20225</v>
      </c>
      <c r="X863" s="2" t="s">
        <v>1615</v>
      </c>
    </row>
    <row r="864" spans="1:24" hidden="1" x14ac:dyDescent="0.35">
      <c r="A864">
        <v>12</v>
      </c>
      <c r="B864">
        <v>2000057173</v>
      </c>
      <c r="C864" s="1">
        <v>43558</v>
      </c>
      <c r="D864" t="s">
        <v>436</v>
      </c>
      <c r="E864" t="s">
        <v>18</v>
      </c>
      <c r="F864" t="s">
        <v>19</v>
      </c>
      <c r="G864" t="s">
        <v>82</v>
      </c>
      <c r="H864" t="s">
        <v>1624</v>
      </c>
      <c r="I864" t="s">
        <v>22</v>
      </c>
      <c r="J864">
        <v>0.98099999999999998</v>
      </c>
      <c r="K864">
        <v>3</v>
      </c>
      <c r="L864">
        <v>0</v>
      </c>
      <c r="N864" t="s">
        <v>28</v>
      </c>
      <c r="O864" s="1">
        <v>44289</v>
      </c>
      <c r="Q864" t="s">
        <v>1625</v>
      </c>
      <c r="S864" t="s">
        <v>915</v>
      </c>
      <c r="T864" s="5" t="s">
        <v>946</v>
      </c>
      <c r="U864" s="5">
        <v>3</v>
      </c>
      <c r="V864" t="s">
        <v>1618</v>
      </c>
      <c r="W864" t="str">
        <f t="shared" si="13"/>
        <v>2000057173_20194</v>
      </c>
      <c r="X864" s="2" t="s">
        <v>1615</v>
      </c>
    </row>
    <row r="865" spans="1:24" hidden="1" x14ac:dyDescent="0.35">
      <c r="A865">
        <v>15</v>
      </c>
      <c r="B865">
        <v>2000056499</v>
      </c>
      <c r="C865" s="1">
        <v>45742</v>
      </c>
      <c r="D865" t="s">
        <v>3577</v>
      </c>
      <c r="E865" t="s">
        <v>18</v>
      </c>
      <c r="F865" t="s">
        <v>52</v>
      </c>
      <c r="G865" t="s">
        <v>26</v>
      </c>
      <c r="H865" t="s">
        <v>3578</v>
      </c>
      <c r="I865" t="s">
        <v>148</v>
      </c>
      <c r="J865">
        <v>0.96899999999999997</v>
      </c>
      <c r="K865">
        <v>3</v>
      </c>
      <c r="L865">
        <v>0</v>
      </c>
      <c r="M865">
        <v>0.94</v>
      </c>
      <c r="N865" t="s">
        <v>368</v>
      </c>
      <c r="O865" s="1">
        <v>46838</v>
      </c>
      <c r="Q865" t="s">
        <v>3579</v>
      </c>
      <c r="S865" t="s">
        <v>915</v>
      </c>
      <c r="T865" s="5" t="s">
        <v>941</v>
      </c>
      <c r="U865" s="5" t="s">
        <v>924</v>
      </c>
      <c r="V865" t="s">
        <v>1650</v>
      </c>
      <c r="W865" t="str">
        <f t="shared" si="13"/>
        <v>2000056499_20253</v>
      </c>
      <c r="X865" t="s">
        <v>1615</v>
      </c>
    </row>
    <row r="866" spans="1:24" hidden="1" x14ac:dyDescent="0.35">
      <c r="B866">
        <v>2000057174</v>
      </c>
      <c r="C866" s="1">
        <v>43396</v>
      </c>
      <c r="D866" t="s">
        <v>2800</v>
      </c>
      <c r="F866" t="s">
        <v>19</v>
      </c>
      <c r="G866" t="s">
        <v>1820</v>
      </c>
      <c r="H866" t="s">
        <v>2801</v>
      </c>
      <c r="I866" t="s">
        <v>22</v>
      </c>
      <c r="J866">
        <v>0.88</v>
      </c>
      <c r="K866">
        <v>3</v>
      </c>
      <c r="L866">
        <v>3</v>
      </c>
      <c r="N866" t="str">
        <f>IF(K866&gt;=2.1,"2 years",IF(K866&gt;=1.1,"1 Years","06 Months"))</f>
        <v>2 years</v>
      </c>
      <c r="O866" s="1">
        <f>C866+(365*2)</f>
        <v>44126</v>
      </c>
      <c r="S866" t="s">
        <v>915</v>
      </c>
      <c r="T866" s="6" t="s">
        <v>948</v>
      </c>
      <c r="U866" s="6" t="s">
        <v>934</v>
      </c>
      <c r="V866" s="2" t="s">
        <v>2475</v>
      </c>
      <c r="W866" t="str">
        <f t="shared" si="13"/>
        <v>2000057174_201810</v>
      </c>
      <c r="X866" s="2" t="s">
        <v>1616</v>
      </c>
    </row>
    <row r="867" spans="1:24" hidden="1" x14ac:dyDescent="0.35">
      <c r="B867">
        <v>2000057174</v>
      </c>
      <c r="C867" s="1">
        <v>44103</v>
      </c>
      <c r="D867" t="s">
        <v>2800</v>
      </c>
      <c r="F867" t="s">
        <v>19</v>
      </c>
      <c r="G867" t="s">
        <v>1720</v>
      </c>
      <c r="H867" t="s">
        <v>2802</v>
      </c>
      <c r="I867" t="s">
        <v>22</v>
      </c>
      <c r="J867">
        <v>0.82699999999999996</v>
      </c>
      <c r="K867">
        <v>3</v>
      </c>
      <c r="L867">
        <v>0</v>
      </c>
      <c r="M867">
        <v>0.91</v>
      </c>
      <c r="N867" t="s">
        <v>2310</v>
      </c>
      <c r="O867" s="1">
        <v>44833</v>
      </c>
      <c r="S867" t="s">
        <v>915</v>
      </c>
      <c r="T867" s="6" t="s">
        <v>942</v>
      </c>
      <c r="U867" s="6" t="s">
        <v>937</v>
      </c>
      <c r="V867" s="2" t="s">
        <v>923</v>
      </c>
      <c r="W867" t="str">
        <f t="shared" si="13"/>
        <v>2000057174_20209</v>
      </c>
      <c r="X867" s="2" t="s">
        <v>1616</v>
      </c>
    </row>
    <row r="868" spans="1:24" hidden="1" x14ac:dyDescent="0.35">
      <c r="B868">
        <v>2000057174</v>
      </c>
      <c r="C868" s="1">
        <v>44760</v>
      </c>
      <c r="D868" t="s">
        <v>2800</v>
      </c>
      <c r="F868" t="s">
        <v>19</v>
      </c>
      <c r="G868" t="s">
        <v>1720</v>
      </c>
      <c r="H868" t="s">
        <v>2803</v>
      </c>
      <c r="I868" t="s">
        <v>22</v>
      </c>
      <c r="J868">
        <v>0.99</v>
      </c>
      <c r="K868">
        <v>3</v>
      </c>
      <c r="L868">
        <v>1</v>
      </c>
      <c r="M868">
        <v>0.95</v>
      </c>
      <c r="N868" t="s">
        <v>2314</v>
      </c>
      <c r="O868" s="1">
        <v>45856</v>
      </c>
      <c r="S868" t="s">
        <v>915</v>
      </c>
      <c r="T868" s="6" t="s">
        <v>936</v>
      </c>
      <c r="U868" s="6" t="s">
        <v>930</v>
      </c>
      <c r="V868" s="2" t="s">
        <v>954</v>
      </c>
      <c r="W868" t="str">
        <f t="shared" si="13"/>
        <v>2000057174_20227</v>
      </c>
      <c r="X868" s="2" t="s">
        <v>1616</v>
      </c>
    </row>
    <row r="869" spans="1:24" hidden="1" x14ac:dyDescent="0.35">
      <c r="B869">
        <v>2000057178</v>
      </c>
      <c r="C869" s="1">
        <v>44510</v>
      </c>
      <c r="D869" t="s">
        <v>2808</v>
      </c>
      <c r="F869" t="s">
        <v>39</v>
      </c>
      <c r="G869" t="s">
        <v>1606</v>
      </c>
      <c r="H869" t="s">
        <v>2809</v>
      </c>
      <c r="I869" t="s">
        <v>41</v>
      </c>
      <c r="J869">
        <v>0.81599999999999995</v>
      </c>
      <c r="K869">
        <v>3</v>
      </c>
      <c r="L869">
        <v>5</v>
      </c>
      <c r="M869">
        <v>0.89</v>
      </c>
      <c r="N869" t="s">
        <v>2310</v>
      </c>
      <c r="O869" s="1">
        <v>45240</v>
      </c>
      <c r="S869" t="s">
        <v>915</v>
      </c>
      <c r="T869" s="6" t="s">
        <v>945</v>
      </c>
      <c r="U869" s="6" t="s">
        <v>948</v>
      </c>
      <c r="V869" s="2" t="s">
        <v>952</v>
      </c>
      <c r="W869" t="str">
        <f t="shared" si="13"/>
        <v>2000057178_202111</v>
      </c>
      <c r="X869" s="2" t="s">
        <v>1616</v>
      </c>
    </row>
    <row r="870" spans="1:24" hidden="1" x14ac:dyDescent="0.35">
      <c r="B870">
        <v>2000057178</v>
      </c>
      <c r="C870" s="1">
        <v>45212</v>
      </c>
      <c r="D870" t="s">
        <v>2808</v>
      </c>
      <c r="F870" t="s">
        <v>39</v>
      </c>
      <c r="G870" t="s">
        <v>1606</v>
      </c>
      <c r="H870" t="s">
        <v>2810</v>
      </c>
      <c r="I870" t="s">
        <v>41</v>
      </c>
      <c r="J870">
        <v>0.81799999999999995</v>
      </c>
      <c r="K870">
        <v>3</v>
      </c>
      <c r="M870">
        <v>0.82</v>
      </c>
      <c r="N870" t="s">
        <v>2310</v>
      </c>
      <c r="O870" s="1">
        <v>45943</v>
      </c>
      <c r="S870" t="s">
        <v>915</v>
      </c>
      <c r="T870" s="6" t="s">
        <v>948</v>
      </c>
      <c r="U870" s="6" t="s">
        <v>950</v>
      </c>
      <c r="V870" s="2" t="s">
        <v>955</v>
      </c>
      <c r="W870" t="str">
        <f t="shared" si="13"/>
        <v>2000057178_202310</v>
      </c>
      <c r="X870" s="2" t="s">
        <v>1616</v>
      </c>
    </row>
    <row r="871" spans="1:24" hidden="1" x14ac:dyDescent="0.35">
      <c r="A871">
        <v>40</v>
      </c>
      <c r="B871">
        <v>2000057196</v>
      </c>
      <c r="C871" s="1">
        <v>44410</v>
      </c>
      <c r="D871" t="s">
        <v>226</v>
      </c>
      <c r="E871" t="s">
        <v>18</v>
      </c>
      <c r="F871" t="s">
        <v>32</v>
      </c>
      <c r="G871" t="s">
        <v>20</v>
      </c>
      <c r="H871" t="s">
        <v>227</v>
      </c>
      <c r="I871" t="s">
        <v>148</v>
      </c>
      <c r="J871">
        <v>0.87</v>
      </c>
      <c r="K871">
        <v>2.8</v>
      </c>
      <c r="L871">
        <v>3</v>
      </c>
      <c r="M871">
        <v>0.72</v>
      </c>
      <c r="N871" t="s">
        <v>28</v>
      </c>
      <c r="O871" s="1">
        <v>45140</v>
      </c>
      <c r="S871" t="s">
        <v>915</v>
      </c>
      <c r="T871" s="6" t="s">
        <v>940</v>
      </c>
      <c r="U871" s="6" t="s">
        <v>921</v>
      </c>
      <c r="V871" s="2" t="s">
        <v>952</v>
      </c>
      <c r="W871" t="str">
        <f t="shared" si="13"/>
        <v>2000057196_20218</v>
      </c>
      <c r="X871" s="2" t="s">
        <v>1615</v>
      </c>
    </row>
    <row r="872" spans="1:24" hidden="1" x14ac:dyDescent="0.35">
      <c r="A872">
        <v>50</v>
      </c>
      <c r="B872">
        <v>2000057196</v>
      </c>
      <c r="C872" s="1">
        <v>45134</v>
      </c>
      <c r="D872" t="s">
        <v>226</v>
      </c>
      <c r="E872" t="s">
        <v>18</v>
      </c>
      <c r="F872" t="s">
        <v>148</v>
      </c>
      <c r="G872" t="s">
        <v>20</v>
      </c>
      <c r="H872" t="s">
        <v>593</v>
      </c>
      <c r="I872" t="s">
        <v>148</v>
      </c>
      <c r="J872">
        <v>0.80400000000000005</v>
      </c>
      <c r="K872">
        <v>2.5</v>
      </c>
      <c r="L872">
        <v>2</v>
      </c>
      <c r="M872">
        <v>0.55000000000000004</v>
      </c>
      <c r="N872" t="s">
        <v>28</v>
      </c>
      <c r="O872" s="1">
        <v>45864</v>
      </c>
      <c r="S872" t="s">
        <v>915</v>
      </c>
      <c r="T872" s="6" t="s">
        <v>936</v>
      </c>
      <c r="U872" s="6" t="s">
        <v>925</v>
      </c>
      <c r="V872" s="2" t="s">
        <v>955</v>
      </c>
      <c r="W872" t="str">
        <f t="shared" si="13"/>
        <v>2000057196_20237</v>
      </c>
      <c r="X872" s="2" t="s">
        <v>1615</v>
      </c>
    </row>
    <row r="873" spans="1:24" hidden="1" x14ac:dyDescent="0.35">
      <c r="B873">
        <v>2000057217</v>
      </c>
      <c r="C873" s="1">
        <v>44158</v>
      </c>
      <c r="D873" t="s">
        <v>2817</v>
      </c>
      <c r="F873" t="s">
        <v>43</v>
      </c>
      <c r="G873" t="s">
        <v>1609</v>
      </c>
      <c r="H873" t="s">
        <v>2818</v>
      </c>
      <c r="I873" t="s">
        <v>41</v>
      </c>
      <c r="J873">
        <v>0.95</v>
      </c>
      <c r="K873">
        <v>2.7</v>
      </c>
      <c r="L873">
        <v>1</v>
      </c>
      <c r="M873">
        <v>0.92</v>
      </c>
      <c r="N873" t="s">
        <v>2310</v>
      </c>
      <c r="O873" s="1">
        <v>44888</v>
      </c>
      <c r="S873" t="s">
        <v>915</v>
      </c>
      <c r="T873" s="6" t="s">
        <v>945</v>
      </c>
      <c r="U873" s="6" t="s">
        <v>934</v>
      </c>
      <c r="V873" s="2" t="s">
        <v>923</v>
      </c>
      <c r="W873" t="str">
        <f t="shared" si="13"/>
        <v>2000057217_202011</v>
      </c>
      <c r="X873" s="2" t="s">
        <v>1616</v>
      </c>
    </row>
    <row r="874" spans="1:24" hidden="1" x14ac:dyDescent="0.35">
      <c r="B874">
        <v>2000057217</v>
      </c>
      <c r="C874" s="1">
        <v>45187</v>
      </c>
      <c r="D874" t="s">
        <v>2817</v>
      </c>
      <c r="F874" t="s">
        <v>1859</v>
      </c>
      <c r="G874" t="s">
        <v>1606</v>
      </c>
      <c r="H874" t="s">
        <v>2819</v>
      </c>
      <c r="I874" t="s">
        <v>41</v>
      </c>
      <c r="J874">
        <v>0.96699999999999997</v>
      </c>
      <c r="K874">
        <v>3</v>
      </c>
      <c r="M874">
        <v>0.94</v>
      </c>
      <c r="N874" t="s">
        <v>2314</v>
      </c>
      <c r="O874" s="1">
        <v>46283</v>
      </c>
      <c r="S874" t="s">
        <v>915</v>
      </c>
      <c r="T874" s="6" t="s">
        <v>942</v>
      </c>
      <c r="U874" s="6" t="s">
        <v>930</v>
      </c>
      <c r="V874" s="2" t="s">
        <v>955</v>
      </c>
      <c r="W874" t="str">
        <f t="shared" si="13"/>
        <v>2000057217_20239</v>
      </c>
      <c r="X874" s="2" t="s">
        <v>1616</v>
      </c>
    </row>
    <row r="875" spans="1:24" hidden="1" x14ac:dyDescent="0.35">
      <c r="A875">
        <v>130</v>
      </c>
      <c r="B875">
        <v>2000057256</v>
      </c>
      <c r="C875" s="1">
        <v>45573</v>
      </c>
      <c r="D875" t="s">
        <v>3231</v>
      </c>
      <c r="E875" t="s">
        <v>18</v>
      </c>
      <c r="F875" t="s">
        <v>43</v>
      </c>
      <c r="G875" t="s">
        <v>1606</v>
      </c>
      <c r="H875" t="s">
        <v>2824</v>
      </c>
      <c r="I875" t="s">
        <v>22</v>
      </c>
      <c r="J875">
        <v>1</v>
      </c>
      <c r="K875">
        <v>3</v>
      </c>
      <c r="L875">
        <v>2</v>
      </c>
      <c r="M875">
        <v>0.98</v>
      </c>
      <c r="N875" t="s">
        <v>368</v>
      </c>
      <c r="O875" s="1">
        <v>46668</v>
      </c>
      <c r="P875" t="s">
        <v>3232</v>
      </c>
      <c r="R875" t="s">
        <v>1613</v>
      </c>
      <c r="S875" t="s">
        <v>915</v>
      </c>
      <c r="T875" s="5" t="s">
        <v>948</v>
      </c>
      <c r="U875" s="5" t="s">
        <v>940</v>
      </c>
      <c r="V875" t="s">
        <v>956</v>
      </c>
      <c r="W875" t="str">
        <f t="shared" si="13"/>
        <v>2000057256_202410</v>
      </c>
      <c r="X875" t="s">
        <v>1616</v>
      </c>
    </row>
    <row r="876" spans="1:24" hidden="1" x14ac:dyDescent="0.35">
      <c r="B876">
        <v>2000057265</v>
      </c>
      <c r="C876" s="1">
        <v>44090</v>
      </c>
      <c r="D876" t="s">
        <v>2825</v>
      </c>
      <c r="F876" t="s">
        <v>19</v>
      </c>
      <c r="G876" t="s">
        <v>1720</v>
      </c>
      <c r="H876" t="s">
        <v>2826</v>
      </c>
      <c r="I876" t="s">
        <v>22</v>
      </c>
      <c r="J876">
        <v>0.94899999999999995</v>
      </c>
      <c r="K876">
        <v>2.6</v>
      </c>
      <c r="L876">
        <v>0</v>
      </c>
      <c r="M876">
        <v>0.95</v>
      </c>
      <c r="N876" t="s">
        <v>2310</v>
      </c>
      <c r="O876" s="1">
        <v>44820</v>
      </c>
      <c r="S876" t="s">
        <v>915</v>
      </c>
      <c r="T876" s="6" t="s">
        <v>942</v>
      </c>
      <c r="U876" s="6" t="s">
        <v>928</v>
      </c>
      <c r="V876" s="2" t="s">
        <v>923</v>
      </c>
      <c r="W876" t="str">
        <f t="shared" si="13"/>
        <v>2000057265_20209</v>
      </c>
      <c r="X876" s="2" t="s">
        <v>1616</v>
      </c>
    </row>
    <row r="877" spans="1:24" hidden="1" x14ac:dyDescent="0.35">
      <c r="B877">
        <v>2000057265</v>
      </c>
      <c r="C877" s="1">
        <v>44846</v>
      </c>
      <c r="D877" t="s">
        <v>2825</v>
      </c>
      <c r="F877" t="s">
        <v>19</v>
      </c>
      <c r="G877" t="s">
        <v>1720</v>
      </c>
      <c r="H877" t="s">
        <v>2827</v>
      </c>
      <c r="I877" t="s">
        <v>22</v>
      </c>
      <c r="J877">
        <v>1</v>
      </c>
      <c r="K877">
        <v>3</v>
      </c>
      <c r="L877">
        <v>0</v>
      </c>
      <c r="M877">
        <v>1</v>
      </c>
      <c r="N877" t="s">
        <v>2314</v>
      </c>
      <c r="O877" s="1">
        <v>45942</v>
      </c>
      <c r="S877" t="s">
        <v>915</v>
      </c>
      <c r="T877" s="6" t="s">
        <v>948</v>
      </c>
      <c r="U877" s="6" t="s">
        <v>949</v>
      </c>
      <c r="V877" s="2" t="s">
        <v>954</v>
      </c>
      <c r="W877" t="str">
        <f t="shared" si="13"/>
        <v>2000057265_202210</v>
      </c>
      <c r="X877" s="2" t="s">
        <v>1616</v>
      </c>
    </row>
    <row r="878" spans="1:24" hidden="1" x14ac:dyDescent="0.35">
      <c r="A878">
        <v>27</v>
      </c>
      <c r="B878">
        <v>2000057272</v>
      </c>
      <c r="C878" s="1">
        <v>44376</v>
      </c>
      <c r="D878" t="s">
        <v>202</v>
      </c>
      <c r="E878" t="s">
        <v>18</v>
      </c>
      <c r="F878" t="s">
        <v>39</v>
      </c>
      <c r="G878" t="s">
        <v>20</v>
      </c>
      <c r="H878" t="s">
        <v>203</v>
      </c>
      <c r="I878" t="s">
        <v>41</v>
      </c>
      <c r="J878">
        <v>0.84099999999999997</v>
      </c>
      <c r="K878">
        <v>2.6</v>
      </c>
      <c r="L878">
        <v>4</v>
      </c>
      <c r="M878">
        <v>0.69</v>
      </c>
      <c r="N878" t="s">
        <v>28</v>
      </c>
      <c r="O878" s="1">
        <v>45106</v>
      </c>
      <c r="R878" t="s">
        <v>24</v>
      </c>
      <c r="S878" t="s">
        <v>915</v>
      </c>
      <c r="T878" s="6" t="s">
        <v>927</v>
      </c>
      <c r="U878" s="6" t="s">
        <v>937</v>
      </c>
      <c r="V878" s="2" t="s">
        <v>952</v>
      </c>
      <c r="W878" t="str">
        <f t="shared" si="13"/>
        <v>2000057272_20216</v>
      </c>
      <c r="X878" s="2" t="s">
        <v>1615</v>
      </c>
    </row>
    <row r="879" spans="1:24" hidden="1" x14ac:dyDescent="0.35">
      <c r="A879">
        <v>47</v>
      </c>
      <c r="B879">
        <v>2000057272</v>
      </c>
      <c r="C879" s="1">
        <v>45105</v>
      </c>
      <c r="D879" t="s">
        <v>202</v>
      </c>
      <c r="E879" t="s">
        <v>18</v>
      </c>
      <c r="F879" t="s">
        <v>39</v>
      </c>
      <c r="G879" t="s">
        <v>20</v>
      </c>
      <c r="H879" t="s">
        <v>590</v>
      </c>
      <c r="I879" t="s">
        <v>41</v>
      </c>
      <c r="J879">
        <v>0.92300000000000004</v>
      </c>
      <c r="K879">
        <v>2.6</v>
      </c>
      <c r="L879">
        <v>3</v>
      </c>
      <c r="M879">
        <v>0.69</v>
      </c>
      <c r="N879" t="s">
        <v>28</v>
      </c>
      <c r="O879" s="1">
        <v>45836</v>
      </c>
      <c r="S879" t="s">
        <v>915</v>
      </c>
      <c r="T879" s="6" t="s">
        <v>927</v>
      </c>
      <c r="U879" s="6" t="s">
        <v>926</v>
      </c>
      <c r="V879" s="2" t="s">
        <v>955</v>
      </c>
      <c r="W879" t="str">
        <f t="shared" si="13"/>
        <v>2000057272_20236</v>
      </c>
      <c r="X879" s="2" t="s">
        <v>1615</v>
      </c>
    </row>
    <row r="880" spans="1:24" hidden="1" x14ac:dyDescent="0.35">
      <c r="A880">
        <v>74</v>
      </c>
      <c r="B880">
        <v>2000057272</v>
      </c>
      <c r="C880" s="1">
        <v>43747</v>
      </c>
      <c r="D880" t="s">
        <v>202</v>
      </c>
      <c r="E880" t="s">
        <v>18</v>
      </c>
      <c r="F880" t="s">
        <v>39</v>
      </c>
      <c r="G880" t="s">
        <v>1636</v>
      </c>
      <c r="H880" t="s">
        <v>1640</v>
      </c>
      <c r="I880" t="s">
        <v>41</v>
      </c>
      <c r="J880">
        <v>0.85699999999999998</v>
      </c>
      <c r="K880">
        <v>2.8</v>
      </c>
      <c r="L880">
        <v>3</v>
      </c>
      <c r="N880" t="s">
        <v>28</v>
      </c>
      <c r="O880" s="1">
        <v>44478</v>
      </c>
      <c r="S880" t="s">
        <v>915</v>
      </c>
      <c r="T880" s="5" t="s">
        <v>948</v>
      </c>
      <c r="U880" s="5">
        <v>9</v>
      </c>
      <c r="V880" t="s">
        <v>1618</v>
      </c>
      <c r="W880" t="str">
        <f t="shared" si="13"/>
        <v>2000057272_201910</v>
      </c>
      <c r="X880" s="2" t="s">
        <v>1615</v>
      </c>
    </row>
    <row r="881" spans="1:24" hidden="1" x14ac:dyDescent="0.35">
      <c r="A881">
        <v>63</v>
      </c>
      <c r="B881">
        <v>2000057325</v>
      </c>
      <c r="C881" s="1">
        <v>45467</v>
      </c>
      <c r="D881" t="s">
        <v>1799</v>
      </c>
      <c r="E881" t="s">
        <v>18</v>
      </c>
      <c r="F881" t="s">
        <v>376</v>
      </c>
      <c r="G881" t="s">
        <v>1606</v>
      </c>
      <c r="H881" t="s">
        <v>1800</v>
      </c>
      <c r="I881" t="s">
        <v>41</v>
      </c>
      <c r="J881">
        <v>0.95699999999999996</v>
      </c>
      <c r="K881">
        <v>3</v>
      </c>
      <c r="L881">
        <v>1</v>
      </c>
      <c r="M881">
        <v>0.82</v>
      </c>
      <c r="N881" t="s">
        <v>368</v>
      </c>
      <c r="O881" s="1">
        <v>46562</v>
      </c>
      <c r="S881" t="s">
        <v>915</v>
      </c>
      <c r="T881" s="5" t="s">
        <v>927</v>
      </c>
      <c r="U881" s="5" t="s">
        <v>935</v>
      </c>
      <c r="V881" t="s">
        <v>956</v>
      </c>
      <c r="W881" t="str">
        <f t="shared" si="13"/>
        <v>2000057325_20246</v>
      </c>
      <c r="X881" s="2" t="s">
        <v>1616</v>
      </c>
    </row>
    <row r="882" spans="1:24" hidden="1" x14ac:dyDescent="0.35">
      <c r="A882">
        <v>2</v>
      </c>
      <c r="B882">
        <v>2000057341</v>
      </c>
      <c r="C882" s="1">
        <v>45310</v>
      </c>
      <c r="D882" t="s">
        <v>666</v>
      </c>
      <c r="E882" t="s">
        <v>18</v>
      </c>
      <c r="F882" t="s">
        <v>148</v>
      </c>
      <c r="G882" t="s">
        <v>20</v>
      </c>
      <c r="H882" t="s">
        <v>667</v>
      </c>
      <c r="I882" t="s">
        <v>148</v>
      </c>
      <c r="J882">
        <v>0.66700000000000004</v>
      </c>
      <c r="K882">
        <v>2.25</v>
      </c>
      <c r="L882">
        <v>4</v>
      </c>
      <c r="M882">
        <v>0.61</v>
      </c>
      <c r="N882" t="s">
        <v>23</v>
      </c>
      <c r="O882" s="1">
        <v>45676</v>
      </c>
      <c r="S882" t="s">
        <v>915</v>
      </c>
      <c r="T882" s="6" t="s">
        <v>953</v>
      </c>
      <c r="U882" s="6" t="s">
        <v>931</v>
      </c>
      <c r="V882" s="2" t="s">
        <v>956</v>
      </c>
      <c r="W882" t="str">
        <f t="shared" si="13"/>
        <v>2000057341_20241</v>
      </c>
      <c r="X882" s="2" t="s">
        <v>1615</v>
      </c>
    </row>
    <row r="883" spans="1:24" hidden="1" x14ac:dyDescent="0.35">
      <c r="A883">
        <v>16</v>
      </c>
      <c r="B883">
        <v>2000058657</v>
      </c>
      <c r="C883" s="1">
        <v>45747</v>
      </c>
      <c r="D883" t="s">
        <v>3580</v>
      </c>
      <c r="E883" t="s">
        <v>18</v>
      </c>
      <c r="F883" t="s">
        <v>52</v>
      </c>
      <c r="G883" t="s">
        <v>3581</v>
      </c>
      <c r="H883" t="s">
        <v>3582</v>
      </c>
      <c r="I883" t="s">
        <v>22</v>
      </c>
      <c r="J883">
        <v>0.89200000000000002</v>
      </c>
      <c r="K883">
        <v>3</v>
      </c>
      <c r="L883">
        <v>3</v>
      </c>
      <c r="M883">
        <v>0.96</v>
      </c>
      <c r="N883" t="s">
        <v>28</v>
      </c>
      <c r="O883" s="1">
        <v>46477</v>
      </c>
      <c r="Q883" t="s">
        <v>3583</v>
      </c>
      <c r="S883" t="s">
        <v>915</v>
      </c>
      <c r="T883" s="5" t="s">
        <v>941</v>
      </c>
      <c r="U883" s="5" t="s">
        <v>939</v>
      </c>
      <c r="V883" t="s">
        <v>1650</v>
      </c>
      <c r="W883" t="str">
        <f t="shared" si="13"/>
        <v>2000058657_20253</v>
      </c>
      <c r="X883" t="s">
        <v>1615</v>
      </c>
    </row>
    <row r="884" spans="1:24" hidden="1" x14ac:dyDescent="0.35">
      <c r="A884">
        <v>112</v>
      </c>
      <c r="B884">
        <v>2000057358</v>
      </c>
      <c r="C884" s="1">
        <v>45546</v>
      </c>
      <c r="D884" t="s">
        <v>1914</v>
      </c>
      <c r="E884" t="s">
        <v>18</v>
      </c>
      <c r="F884" t="s">
        <v>148</v>
      </c>
      <c r="G884" t="s">
        <v>1915</v>
      </c>
      <c r="H884" t="s">
        <v>1916</v>
      </c>
      <c r="I884" t="s">
        <v>22</v>
      </c>
      <c r="J884">
        <v>0.96199999999999997</v>
      </c>
      <c r="K884">
        <v>3</v>
      </c>
      <c r="L884">
        <v>1</v>
      </c>
      <c r="M884">
        <v>0.64</v>
      </c>
      <c r="N884" t="s">
        <v>368</v>
      </c>
      <c r="O884" s="1">
        <v>46641</v>
      </c>
      <c r="S884" t="s">
        <v>915</v>
      </c>
      <c r="T884" s="5" t="s">
        <v>942</v>
      </c>
      <c r="U884" s="5" t="s">
        <v>945</v>
      </c>
      <c r="V884" t="s">
        <v>956</v>
      </c>
      <c r="W884" t="str">
        <f t="shared" si="13"/>
        <v>2000057358_20249</v>
      </c>
      <c r="X884" s="2" t="s">
        <v>1616</v>
      </c>
    </row>
    <row r="885" spans="1:24" hidden="1" x14ac:dyDescent="0.35">
      <c r="B885">
        <v>2000057364</v>
      </c>
      <c r="C885" s="1">
        <v>44502</v>
      </c>
      <c r="D885" t="s">
        <v>2836</v>
      </c>
      <c r="F885" t="s">
        <v>32</v>
      </c>
      <c r="G885" t="s">
        <v>1606</v>
      </c>
      <c r="H885" t="s">
        <v>2837</v>
      </c>
      <c r="I885" t="s">
        <v>41</v>
      </c>
      <c r="J885">
        <v>0.75</v>
      </c>
      <c r="K885">
        <v>2.6</v>
      </c>
      <c r="L885">
        <v>4</v>
      </c>
      <c r="M885">
        <v>0.8</v>
      </c>
      <c r="N885" t="s">
        <v>2361</v>
      </c>
      <c r="O885" s="1">
        <v>44867</v>
      </c>
      <c r="S885" t="s">
        <v>915</v>
      </c>
      <c r="T885" s="6" t="s">
        <v>945</v>
      </c>
      <c r="U885" s="6" t="s">
        <v>921</v>
      </c>
      <c r="V885" s="2" t="s">
        <v>952</v>
      </c>
      <c r="W885" t="str">
        <f t="shared" si="13"/>
        <v>2000057364_202111</v>
      </c>
      <c r="X885" s="2" t="s">
        <v>1616</v>
      </c>
    </row>
    <row r="886" spans="1:24" hidden="1" x14ac:dyDescent="0.35">
      <c r="B886">
        <v>2000057364</v>
      </c>
      <c r="C886" s="1">
        <v>44818</v>
      </c>
      <c r="D886" t="s">
        <v>2836</v>
      </c>
      <c r="F886" t="s">
        <v>32</v>
      </c>
      <c r="G886" t="s">
        <v>1606</v>
      </c>
      <c r="H886" t="s">
        <v>2838</v>
      </c>
      <c r="I886" t="s">
        <v>41</v>
      </c>
      <c r="J886">
        <v>0.91700000000000004</v>
      </c>
      <c r="K886">
        <v>3</v>
      </c>
      <c r="L886">
        <v>1</v>
      </c>
      <c r="M886">
        <v>0.8</v>
      </c>
      <c r="N886" t="s">
        <v>2314</v>
      </c>
      <c r="O886" s="1">
        <v>45914</v>
      </c>
      <c r="S886" t="s">
        <v>915</v>
      </c>
      <c r="T886" s="6" t="s">
        <v>942</v>
      </c>
      <c r="U886" s="6" t="s">
        <v>951</v>
      </c>
      <c r="V886" s="2" t="s">
        <v>954</v>
      </c>
      <c r="W886" t="str">
        <f t="shared" si="13"/>
        <v>2000057364_20229</v>
      </c>
      <c r="X886" s="2" t="s">
        <v>1616</v>
      </c>
    </row>
    <row r="887" spans="1:24" hidden="1" x14ac:dyDescent="0.35">
      <c r="A887">
        <v>87</v>
      </c>
      <c r="B887">
        <v>2000017833</v>
      </c>
      <c r="C887" s="1">
        <v>45252</v>
      </c>
      <c r="D887" t="s">
        <v>3440</v>
      </c>
      <c r="E887" t="s">
        <v>18</v>
      </c>
      <c r="F887" t="s">
        <v>39</v>
      </c>
      <c r="G887" t="s">
        <v>542</v>
      </c>
      <c r="H887" t="s">
        <v>638</v>
      </c>
      <c r="I887" t="s">
        <v>41</v>
      </c>
      <c r="J887">
        <v>0.67500000000000004</v>
      </c>
      <c r="K887">
        <v>2.2000000000000002</v>
      </c>
      <c r="L887">
        <v>5</v>
      </c>
      <c r="M887">
        <v>0.63</v>
      </c>
      <c r="N887" t="s">
        <v>23</v>
      </c>
      <c r="O887" s="1">
        <v>45618</v>
      </c>
      <c r="S887" t="s">
        <v>915</v>
      </c>
      <c r="T887" s="6" t="s">
        <v>945</v>
      </c>
      <c r="U887" s="6" t="s">
        <v>933</v>
      </c>
      <c r="V887" s="2" t="s">
        <v>955</v>
      </c>
      <c r="W887" t="str">
        <f t="shared" si="13"/>
        <v>2000017833_202311</v>
      </c>
      <c r="X887" s="2" t="s">
        <v>1615</v>
      </c>
    </row>
    <row r="888" spans="1:24" hidden="1" x14ac:dyDescent="0.35">
      <c r="A888">
        <v>43</v>
      </c>
      <c r="B888">
        <v>2000057397</v>
      </c>
      <c r="C888" s="1">
        <v>45454</v>
      </c>
      <c r="D888" t="s">
        <v>70</v>
      </c>
      <c r="E888" t="s">
        <v>18</v>
      </c>
      <c r="F888" t="s">
        <v>39</v>
      </c>
      <c r="G888" t="s">
        <v>20</v>
      </c>
      <c r="H888" t="s">
        <v>471</v>
      </c>
      <c r="I888" t="s">
        <v>41</v>
      </c>
      <c r="J888">
        <v>0.91700000000000004</v>
      </c>
      <c r="K888">
        <v>2.7</v>
      </c>
      <c r="L888">
        <v>2</v>
      </c>
      <c r="M888">
        <v>0.87</v>
      </c>
      <c r="N888" t="s">
        <v>28</v>
      </c>
      <c r="O888" s="1">
        <v>46184</v>
      </c>
      <c r="S888" t="s">
        <v>915</v>
      </c>
      <c r="T888" s="6" t="s">
        <v>927</v>
      </c>
      <c r="U888" s="6" t="s">
        <v>945</v>
      </c>
      <c r="V888" s="2" t="s">
        <v>956</v>
      </c>
      <c r="W888" t="str">
        <f t="shared" si="13"/>
        <v>2000057397_20246</v>
      </c>
      <c r="X888" s="2" t="s">
        <v>1615</v>
      </c>
    </row>
    <row r="889" spans="1:24" hidden="1" x14ac:dyDescent="0.35">
      <c r="A889">
        <v>19</v>
      </c>
      <c r="B889">
        <v>2000057397</v>
      </c>
      <c r="C889" s="1">
        <v>44009</v>
      </c>
      <c r="D889" t="s">
        <v>70</v>
      </c>
      <c r="E889" t="s">
        <v>18</v>
      </c>
      <c r="F889" t="s">
        <v>39</v>
      </c>
      <c r="G889" t="s">
        <v>20</v>
      </c>
      <c r="H889" t="s">
        <v>71</v>
      </c>
      <c r="I889" t="s">
        <v>41</v>
      </c>
      <c r="J889">
        <v>0.71699999999999997</v>
      </c>
      <c r="K889">
        <v>2.6</v>
      </c>
      <c r="L889">
        <v>5</v>
      </c>
      <c r="M889">
        <v>0.81</v>
      </c>
      <c r="N889" t="s">
        <v>28</v>
      </c>
      <c r="O889" s="1">
        <v>44739</v>
      </c>
      <c r="S889" t="s">
        <v>915</v>
      </c>
      <c r="T889" s="6" t="s">
        <v>927</v>
      </c>
      <c r="U889" s="6" t="s">
        <v>925</v>
      </c>
      <c r="V889" s="2" t="s">
        <v>923</v>
      </c>
      <c r="W889" t="str">
        <f t="shared" si="13"/>
        <v>2000057397_20206</v>
      </c>
      <c r="X889" s="2" t="s">
        <v>1615</v>
      </c>
    </row>
    <row r="890" spans="1:24" hidden="1" x14ac:dyDescent="0.35">
      <c r="A890">
        <v>67</v>
      </c>
      <c r="B890">
        <v>2000057397</v>
      </c>
      <c r="C890" s="1">
        <v>44734</v>
      </c>
      <c r="D890" t="s">
        <v>70</v>
      </c>
      <c r="E890" t="s">
        <v>18</v>
      </c>
      <c r="F890" t="s">
        <v>39</v>
      </c>
      <c r="G890" t="s">
        <v>20</v>
      </c>
      <c r="H890" t="s">
        <v>471</v>
      </c>
      <c r="I890" t="s">
        <v>41</v>
      </c>
      <c r="J890">
        <v>0.86</v>
      </c>
      <c r="K890">
        <v>2.6</v>
      </c>
      <c r="L890">
        <v>4</v>
      </c>
      <c r="M890">
        <v>0.84</v>
      </c>
      <c r="N890" t="s">
        <v>28</v>
      </c>
      <c r="O890" s="1">
        <v>45465</v>
      </c>
      <c r="S890" t="s">
        <v>915</v>
      </c>
      <c r="T890" s="6" t="s">
        <v>927</v>
      </c>
      <c r="U890" s="6" t="s">
        <v>933</v>
      </c>
      <c r="V890" s="2" t="s">
        <v>954</v>
      </c>
      <c r="W890" t="str">
        <f t="shared" si="13"/>
        <v>2000057397_20226</v>
      </c>
      <c r="X890" s="2" t="s">
        <v>1615</v>
      </c>
    </row>
    <row r="891" spans="1:24" hidden="1" x14ac:dyDescent="0.35">
      <c r="B891">
        <v>2000057401</v>
      </c>
      <c r="C891" s="1">
        <v>45161</v>
      </c>
      <c r="D891" t="s">
        <v>2841</v>
      </c>
      <c r="F891" t="s">
        <v>148</v>
      </c>
      <c r="G891" t="s">
        <v>1817</v>
      </c>
      <c r="H891" t="s">
        <v>2842</v>
      </c>
      <c r="I891" t="s">
        <v>41</v>
      </c>
      <c r="J891">
        <v>0.85699999999999998</v>
      </c>
      <c r="K891">
        <v>3</v>
      </c>
      <c r="M891">
        <v>0.74</v>
      </c>
      <c r="N891" t="s">
        <v>2310</v>
      </c>
      <c r="O891" s="1">
        <v>45892</v>
      </c>
      <c r="S891" t="s">
        <v>915</v>
      </c>
      <c r="T891" s="6" t="s">
        <v>940</v>
      </c>
      <c r="U891" s="6" t="s">
        <v>934</v>
      </c>
      <c r="V891" s="2" t="s">
        <v>955</v>
      </c>
      <c r="W891" t="str">
        <f t="shared" si="13"/>
        <v>2000057401_20238</v>
      </c>
      <c r="X891" s="2" t="s">
        <v>1616</v>
      </c>
    </row>
    <row r="892" spans="1:24" hidden="1" x14ac:dyDescent="0.35">
      <c r="A892">
        <v>65</v>
      </c>
      <c r="B892">
        <v>2000057411</v>
      </c>
      <c r="C892" s="1">
        <v>45546</v>
      </c>
      <c r="D892" t="s">
        <v>106</v>
      </c>
      <c r="E892" t="s">
        <v>18</v>
      </c>
      <c r="F892" t="s">
        <v>19</v>
      </c>
      <c r="G892" t="s">
        <v>82</v>
      </c>
      <c r="H892" t="s">
        <v>511</v>
      </c>
      <c r="I892" t="s">
        <v>19</v>
      </c>
      <c r="J892">
        <v>0.84</v>
      </c>
      <c r="K892">
        <v>2.8</v>
      </c>
      <c r="L892">
        <v>2</v>
      </c>
      <c r="M892">
        <v>0.81</v>
      </c>
      <c r="N892" t="s">
        <v>28</v>
      </c>
      <c r="O892" s="1">
        <v>46276</v>
      </c>
      <c r="S892" t="s">
        <v>915</v>
      </c>
      <c r="T892" s="6" t="s">
        <v>942</v>
      </c>
      <c r="U892" s="6" t="s">
        <v>945</v>
      </c>
      <c r="V892" s="2" t="s">
        <v>956</v>
      </c>
      <c r="W892" t="str">
        <f t="shared" si="13"/>
        <v>2000057411_20249</v>
      </c>
      <c r="X892" s="2" t="s">
        <v>1615</v>
      </c>
    </row>
    <row r="893" spans="1:24" hidden="1" x14ac:dyDescent="0.35">
      <c r="A893">
        <v>36</v>
      </c>
      <c r="B893">
        <v>2000057411</v>
      </c>
      <c r="C893" s="1">
        <v>44102</v>
      </c>
      <c r="D893" t="s">
        <v>106</v>
      </c>
      <c r="E893" t="s">
        <v>18</v>
      </c>
      <c r="F893" t="s">
        <v>19</v>
      </c>
      <c r="G893" t="s">
        <v>82</v>
      </c>
      <c r="H893" t="s">
        <v>107</v>
      </c>
      <c r="I893" t="s">
        <v>22</v>
      </c>
      <c r="J893">
        <v>0.86199999999999999</v>
      </c>
      <c r="K893">
        <v>2.6</v>
      </c>
      <c r="L893">
        <v>5</v>
      </c>
      <c r="M893">
        <v>0.75</v>
      </c>
      <c r="N893" t="s">
        <v>28</v>
      </c>
      <c r="O893" s="1">
        <v>44832</v>
      </c>
      <c r="Q893" t="s">
        <v>108</v>
      </c>
      <c r="S893" t="s">
        <v>915</v>
      </c>
      <c r="T893" s="6" t="s">
        <v>942</v>
      </c>
      <c r="U893" s="6" t="s">
        <v>926</v>
      </c>
      <c r="V893" s="2" t="s">
        <v>923</v>
      </c>
      <c r="W893" t="str">
        <f t="shared" si="13"/>
        <v>2000057411_20209</v>
      </c>
      <c r="X893" s="2" t="s">
        <v>1615</v>
      </c>
    </row>
    <row r="894" spans="1:24" hidden="1" x14ac:dyDescent="0.35">
      <c r="A894">
        <v>70</v>
      </c>
      <c r="B894">
        <v>2000057411</v>
      </c>
      <c r="C894" s="1">
        <v>45194</v>
      </c>
      <c r="D894" t="s">
        <v>106</v>
      </c>
      <c r="E894" t="s">
        <v>18</v>
      </c>
      <c r="F894" t="s">
        <v>19</v>
      </c>
      <c r="G894" t="s">
        <v>82</v>
      </c>
      <c r="H894" t="s">
        <v>511</v>
      </c>
      <c r="I894" t="s">
        <v>22</v>
      </c>
      <c r="J894">
        <v>0.78</v>
      </c>
      <c r="K894">
        <v>2.6</v>
      </c>
      <c r="L894">
        <v>4</v>
      </c>
      <c r="M894">
        <v>0.87</v>
      </c>
      <c r="N894" t="s">
        <v>23</v>
      </c>
      <c r="O894" s="1">
        <v>45560</v>
      </c>
      <c r="Q894" t="s">
        <v>323</v>
      </c>
      <c r="S894" t="s">
        <v>915</v>
      </c>
      <c r="T894" s="6" t="s">
        <v>942</v>
      </c>
      <c r="U894" s="6" t="s">
        <v>922</v>
      </c>
      <c r="V894" s="2" t="s">
        <v>955</v>
      </c>
      <c r="W894" t="str">
        <f t="shared" si="13"/>
        <v>2000057411_20239</v>
      </c>
      <c r="X894" s="2" t="s">
        <v>1615</v>
      </c>
    </row>
    <row r="895" spans="1:24" hidden="1" x14ac:dyDescent="0.35">
      <c r="A895">
        <v>94</v>
      </c>
      <c r="B895">
        <v>2000057411</v>
      </c>
      <c r="C895" s="1">
        <v>44831</v>
      </c>
      <c r="D895" t="s">
        <v>106</v>
      </c>
      <c r="E895" t="s">
        <v>18</v>
      </c>
      <c r="F895" t="s">
        <v>19</v>
      </c>
      <c r="G895" t="s">
        <v>82</v>
      </c>
      <c r="H895" t="s">
        <v>511</v>
      </c>
      <c r="I895" t="s">
        <v>22</v>
      </c>
      <c r="J895">
        <v>0.872</v>
      </c>
      <c r="K895">
        <v>2</v>
      </c>
      <c r="L895">
        <v>5</v>
      </c>
      <c r="M895">
        <v>0.64</v>
      </c>
      <c r="N895" t="s">
        <v>23</v>
      </c>
      <c r="O895" s="1">
        <v>45196</v>
      </c>
      <c r="S895" t="s">
        <v>915</v>
      </c>
      <c r="T895" s="6" t="s">
        <v>942</v>
      </c>
      <c r="U895" s="6" t="s">
        <v>925</v>
      </c>
      <c r="V895" s="2" t="s">
        <v>954</v>
      </c>
      <c r="W895" t="str">
        <f t="shared" si="13"/>
        <v>2000057411_20229</v>
      </c>
      <c r="X895" s="2" t="s">
        <v>1615</v>
      </c>
    </row>
    <row r="896" spans="1:24" hidden="1" x14ac:dyDescent="0.35">
      <c r="A896">
        <v>146</v>
      </c>
      <c r="B896">
        <v>2000057430</v>
      </c>
      <c r="C896" s="1">
        <v>45603</v>
      </c>
      <c r="D896" t="s">
        <v>3257</v>
      </c>
      <c r="E896" t="s">
        <v>18</v>
      </c>
      <c r="F896" t="s">
        <v>43</v>
      </c>
      <c r="G896" t="s">
        <v>1606</v>
      </c>
      <c r="H896" t="s">
        <v>3258</v>
      </c>
      <c r="I896" t="s">
        <v>41</v>
      </c>
      <c r="J896">
        <v>0.97699999999999998</v>
      </c>
      <c r="K896">
        <v>3</v>
      </c>
      <c r="L896">
        <v>1</v>
      </c>
      <c r="M896">
        <v>0.87</v>
      </c>
      <c r="N896" t="s">
        <v>368</v>
      </c>
      <c r="O896" s="1">
        <v>46698</v>
      </c>
      <c r="S896" t="s">
        <v>915</v>
      </c>
      <c r="T896" s="5" t="s">
        <v>945</v>
      </c>
      <c r="U896" s="5" t="s">
        <v>936</v>
      </c>
      <c r="V896" t="s">
        <v>956</v>
      </c>
      <c r="W896" t="str">
        <f t="shared" si="13"/>
        <v>2000057430_202411</v>
      </c>
      <c r="X896" t="s">
        <v>1616</v>
      </c>
    </row>
    <row r="897" spans="1:24" hidden="1" x14ac:dyDescent="0.35">
      <c r="A897">
        <v>51</v>
      </c>
      <c r="B897">
        <v>2000057437</v>
      </c>
      <c r="C897" s="1">
        <v>45141</v>
      </c>
      <c r="D897" t="s">
        <v>594</v>
      </c>
      <c r="E897" t="s">
        <v>18</v>
      </c>
      <c r="F897" t="s">
        <v>39</v>
      </c>
      <c r="G897" t="s">
        <v>116</v>
      </c>
      <c r="H897" t="s">
        <v>595</v>
      </c>
      <c r="I897" t="s">
        <v>41</v>
      </c>
      <c r="J897">
        <v>0.88500000000000001</v>
      </c>
      <c r="K897">
        <v>2.6</v>
      </c>
      <c r="L897">
        <v>1</v>
      </c>
      <c r="M897">
        <v>0.85</v>
      </c>
      <c r="N897" t="s">
        <v>28</v>
      </c>
      <c r="O897" s="1">
        <v>45872</v>
      </c>
      <c r="S897" t="s">
        <v>915</v>
      </c>
      <c r="T897" s="6" t="s">
        <v>940</v>
      </c>
      <c r="U897" s="6" t="s">
        <v>941</v>
      </c>
      <c r="V897" s="2" t="s">
        <v>955</v>
      </c>
      <c r="W897" t="str">
        <f t="shared" si="13"/>
        <v>2000057437_20238</v>
      </c>
      <c r="X897" s="2" t="s">
        <v>1615</v>
      </c>
    </row>
    <row r="898" spans="1:24" hidden="1" x14ac:dyDescent="0.35">
      <c r="B898">
        <v>2000057440</v>
      </c>
      <c r="C898" s="1">
        <v>43720</v>
      </c>
      <c r="D898" t="s">
        <v>2843</v>
      </c>
      <c r="F898" t="s">
        <v>32</v>
      </c>
      <c r="G898" t="s">
        <v>1606</v>
      </c>
      <c r="H898" t="s">
        <v>2844</v>
      </c>
      <c r="I898" t="s">
        <v>41</v>
      </c>
      <c r="J898">
        <v>0.78400000000000003</v>
      </c>
      <c r="K898">
        <v>2.4</v>
      </c>
      <c r="L898">
        <v>6</v>
      </c>
      <c r="N898" t="s">
        <v>2310</v>
      </c>
      <c r="O898" s="1">
        <v>44451</v>
      </c>
      <c r="S898" t="s">
        <v>915</v>
      </c>
      <c r="T898" s="6" t="s">
        <v>942</v>
      </c>
      <c r="U898" s="6" t="s">
        <v>949</v>
      </c>
      <c r="V898" s="2" t="s">
        <v>1618</v>
      </c>
      <c r="W898" t="str">
        <f t="shared" ref="W898:W961" si="14">CONCATENATE(B898,"_",V898,T898)</f>
        <v>2000057440_20199</v>
      </c>
      <c r="X898" s="2" t="s">
        <v>1616</v>
      </c>
    </row>
    <row r="899" spans="1:24" hidden="1" x14ac:dyDescent="0.35">
      <c r="B899">
        <v>2000057440</v>
      </c>
      <c r="C899" s="1">
        <v>44375</v>
      </c>
      <c r="D899" t="s">
        <v>2843</v>
      </c>
      <c r="F899" t="s">
        <v>32</v>
      </c>
      <c r="G899" t="s">
        <v>1606</v>
      </c>
      <c r="H899" t="s">
        <v>2845</v>
      </c>
      <c r="I899" t="s">
        <v>41</v>
      </c>
      <c r="J899">
        <v>0.91700000000000004</v>
      </c>
      <c r="K899">
        <v>2.7</v>
      </c>
      <c r="L899">
        <v>2</v>
      </c>
      <c r="M899">
        <v>0.67</v>
      </c>
      <c r="N899" t="s">
        <v>2310</v>
      </c>
      <c r="O899" s="1">
        <v>45105</v>
      </c>
      <c r="S899" t="s">
        <v>915</v>
      </c>
      <c r="T899" s="6" t="s">
        <v>927</v>
      </c>
      <c r="U899" s="6" t="s">
        <v>926</v>
      </c>
      <c r="V899" s="2" t="s">
        <v>952</v>
      </c>
      <c r="W899" t="str">
        <f t="shared" si="14"/>
        <v>2000057440_20216</v>
      </c>
      <c r="X899" s="2" t="s">
        <v>1616</v>
      </c>
    </row>
    <row r="900" spans="1:24" hidden="1" x14ac:dyDescent="0.35">
      <c r="B900">
        <v>2000057440</v>
      </c>
      <c r="C900" s="1">
        <v>45238</v>
      </c>
      <c r="D900" t="s">
        <v>2843</v>
      </c>
      <c r="F900" t="s">
        <v>32</v>
      </c>
      <c r="G900" t="s">
        <v>1606</v>
      </c>
      <c r="H900" t="s">
        <v>2846</v>
      </c>
      <c r="I900" t="s">
        <v>41</v>
      </c>
      <c r="J900">
        <v>1</v>
      </c>
      <c r="K900">
        <v>3</v>
      </c>
      <c r="M900">
        <v>0.73</v>
      </c>
      <c r="N900" t="s">
        <v>2314</v>
      </c>
      <c r="O900" s="1">
        <v>46334</v>
      </c>
      <c r="S900" t="s">
        <v>915</v>
      </c>
      <c r="T900" s="6" t="s">
        <v>945</v>
      </c>
      <c r="U900" s="6" t="s">
        <v>940</v>
      </c>
      <c r="V900" s="2" t="s">
        <v>955</v>
      </c>
      <c r="W900" t="str">
        <f t="shared" si="14"/>
        <v>2000057440_202311</v>
      </c>
      <c r="X900" s="2" t="s">
        <v>1616</v>
      </c>
    </row>
    <row r="901" spans="1:24" hidden="1" x14ac:dyDescent="0.35">
      <c r="A901">
        <v>54</v>
      </c>
      <c r="B901">
        <v>2000057474</v>
      </c>
      <c r="C901" s="1">
        <v>44152</v>
      </c>
      <c r="D901" t="s">
        <v>143</v>
      </c>
      <c r="E901" t="s">
        <v>18</v>
      </c>
      <c r="F901" t="s">
        <v>39</v>
      </c>
      <c r="G901" t="s">
        <v>20</v>
      </c>
      <c r="H901" t="s">
        <v>144</v>
      </c>
      <c r="I901" t="s">
        <v>41</v>
      </c>
      <c r="J901">
        <v>0.85499999999999998</v>
      </c>
      <c r="K901">
        <v>2.6</v>
      </c>
      <c r="L901">
        <v>2</v>
      </c>
      <c r="M901">
        <v>0.96</v>
      </c>
      <c r="N901" t="s">
        <v>28</v>
      </c>
      <c r="O901" s="1">
        <v>44882</v>
      </c>
      <c r="S901" t="s">
        <v>915</v>
      </c>
      <c r="T901" s="6" t="s">
        <v>945</v>
      </c>
      <c r="U901" s="6" t="s">
        <v>929</v>
      </c>
      <c r="V901" s="2" t="s">
        <v>923</v>
      </c>
      <c r="W901" t="str">
        <f t="shared" si="14"/>
        <v>2000057474_202011</v>
      </c>
      <c r="X901" s="2" t="s">
        <v>1615</v>
      </c>
    </row>
    <row r="902" spans="1:24" hidden="1" x14ac:dyDescent="0.35">
      <c r="A902">
        <v>113</v>
      </c>
      <c r="B902">
        <v>2000057474</v>
      </c>
      <c r="C902" s="1">
        <v>44876</v>
      </c>
      <c r="D902" t="s">
        <v>143</v>
      </c>
      <c r="E902" t="s">
        <v>18</v>
      </c>
      <c r="F902" t="s">
        <v>39</v>
      </c>
      <c r="G902" t="s">
        <v>20</v>
      </c>
      <c r="H902" t="s">
        <v>531</v>
      </c>
      <c r="I902" t="s">
        <v>41</v>
      </c>
      <c r="J902">
        <v>0.91400000000000003</v>
      </c>
      <c r="K902">
        <v>2.6</v>
      </c>
      <c r="L902">
        <v>3</v>
      </c>
      <c r="M902">
        <v>0.96</v>
      </c>
      <c r="N902" t="s">
        <v>28</v>
      </c>
      <c r="O902" s="1">
        <v>45607</v>
      </c>
      <c r="S902" t="s">
        <v>915</v>
      </c>
      <c r="T902" s="6" t="s">
        <v>945</v>
      </c>
      <c r="U902" s="6" t="s">
        <v>945</v>
      </c>
      <c r="V902" s="2" t="s">
        <v>954</v>
      </c>
      <c r="W902" t="str">
        <f t="shared" si="14"/>
        <v>2000057474_202211</v>
      </c>
      <c r="X902" s="2" t="s">
        <v>1615</v>
      </c>
    </row>
    <row r="903" spans="1:24" hidden="1" x14ac:dyDescent="0.35">
      <c r="A903">
        <v>82</v>
      </c>
      <c r="B903">
        <v>2000057474</v>
      </c>
      <c r="C903" s="1">
        <v>45611</v>
      </c>
      <c r="D903" t="s">
        <v>143</v>
      </c>
      <c r="E903" t="s">
        <v>18</v>
      </c>
      <c r="F903" t="s">
        <v>39</v>
      </c>
      <c r="G903" t="s">
        <v>20</v>
      </c>
      <c r="H903" t="s">
        <v>2306</v>
      </c>
      <c r="I903" t="s">
        <v>41</v>
      </c>
      <c r="J903">
        <v>0.90500000000000003</v>
      </c>
      <c r="K903">
        <v>3</v>
      </c>
      <c r="L903">
        <v>1</v>
      </c>
      <c r="M903">
        <v>0.98</v>
      </c>
      <c r="N903" t="s">
        <v>368</v>
      </c>
      <c r="O903" s="1">
        <v>46706</v>
      </c>
      <c r="S903" t="s">
        <v>915</v>
      </c>
      <c r="T903" s="6" t="s">
        <v>945</v>
      </c>
      <c r="U903" s="6" t="s">
        <v>943</v>
      </c>
      <c r="V903" s="2" t="s">
        <v>956</v>
      </c>
      <c r="W903" t="str">
        <f t="shared" si="14"/>
        <v>2000057474_202411</v>
      </c>
      <c r="X903" s="2" t="s">
        <v>1615</v>
      </c>
    </row>
    <row r="904" spans="1:24" hidden="1" x14ac:dyDescent="0.35">
      <c r="A904">
        <v>54</v>
      </c>
      <c r="B904">
        <v>2000057482</v>
      </c>
      <c r="C904" s="1">
        <v>44707</v>
      </c>
      <c r="D904" t="s">
        <v>450</v>
      </c>
      <c r="E904" t="s">
        <v>18</v>
      </c>
      <c r="F904" t="s">
        <v>148</v>
      </c>
      <c r="G904" t="s">
        <v>82</v>
      </c>
      <c r="H904" t="s">
        <v>451</v>
      </c>
      <c r="I904" t="s">
        <v>148</v>
      </c>
      <c r="J904">
        <v>0.72899999999999998</v>
      </c>
      <c r="K904">
        <v>2.6</v>
      </c>
      <c r="L904">
        <v>8</v>
      </c>
      <c r="M904">
        <v>0.68</v>
      </c>
      <c r="N904" t="s">
        <v>23</v>
      </c>
      <c r="O904" s="1">
        <v>45072</v>
      </c>
      <c r="Q904" t="s">
        <v>50</v>
      </c>
      <c r="S904" t="s">
        <v>915</v>
      </c>
      <c r="T904" s="6" t="s">
        <v>947</v>
      </c>
      <c r="U904" s="6" t="s">
        <v>924</v>
      </c>
      <c r="V904" s="2" t="s">
        <v>954</v>
      </c>
      <c r="W904" t="str">
        <f t="shared" si="14"/>
        <v>2000057482_20225</v>
      </c>
      <c r="X904" s="2" t="s">
        <v>1615</v>
      </c>
    </row>
    <row r="905" spans="1:24" hidden="1" x14ac:dyDescent="0.35">
      <c r="A905">
        <v>9</v>
      </c>
      <c r="B905">
        <v>2000057484</v>
      </c>
      <c r="C905" s="1">
        <v>44001</v>
      </c>
      <c r="D905" t="s">
        <v>3991</v>
      </c>
      <c r="E905" t="s">
        <v>18</v>
      </c>
      <c r="F905" t="s">
        <v>19</v>
      </c>
      <c r="G905" t="s">
        <v>20</v>
      </c>
      <c r="H905" t="s">
        <v>49</v>
      </c>
      <c r="I905" t="s">
        <v>22</v>
      </c>
      <c r="J905">
        <v>0.67</v>
      </c>
      <c r="K905">
        <v>2.4</v>
      </c>
      <c r="L905">
        <v>5</v>
      </c>
      <c r="M905">
        <v>0.62</v>
      </c>
      <c r="N905" t="s">
        <v>23</v>
      </c>
      <c r="O905" s="1">
        <v>44366</v>
      </c>
      <c r="Q905" t="s">
        <v>50</v>
      </c>
      <c r="S905" t="s">
        <v>915</v>
      </c>
      <c r="T905" s="6" t="s">
        <v>927</v>
      </c>
      <c r="U905" s="6" t="s">
        <v>931</v>
      </c>
      <c r="V905" s="2" t="s">
        <v>923</v>
      </c>
      <c r="W905" t="str">
        <f t="shared" si="14"/>
        <v>2000057484_20206</v>
      </c>
      <c r="X905" s="2" t="s">
        <v>1615</v>
      </c>
    </row>
    <row r="906" spans="1:24" hidden="1" x14ac:dyDescent="0.35">
      <c r="A906">
        <v>77</v>
      </c>
      <c r="B906">
        <v>2000057484</v>
      </c>
      <c r="C906" s="1">
        <v>44475</v>
      </c>
      <c r="D906" t="s">
        <v>3991</v>
      </c>
      <c r="E906" t="s">
        <v>18</v>
      </c>
      <c r="F906" t="s">
        <v>19</v>
      </c>
      <c r="G906" t="s">
        <v>20</v>
      </c>
      <c r="H906" t="s">
        <v>299</v>
      </c>
      <c r="I906" t="s">
        <v>22</v>
      </c>
      <c r="J906">
        <v>0.90200000000000002</v>
      </c>
      <c r="K906">
        <v>2.6</v>
      </c>
      <c r="L906">
        <v>4</v>
      </c>
      <c r="M906">
        <v>0.71</v>
      </c>
      <c r="N906" t="s">
        <v>28</v>
      </c>
      <c r="O906" s="1">
        <v>45205</v>
      </c>
      <c r="Q906" t="s">
        <v>50</v>
      </c>
      <c r="R906" t="s">
        <v>296</v>
      </c>
      <c r="S906" t="s">
        <v>915</v>
      </c>
      <c r="T906" s="6" t="s">
        <v>948</v>
      </c>
      <c r="U906" s="6" t="s">
        <v>927</v>
      </c>
      <c r="V906" s="2" t="s">
        <v>952</v>
      </c>
      <c r="W906" t="str">
        <f t="shared" si="14"/>
        <v>2000057484_202110</v>
      </c>
      <c r="X906" s="2" t="s">
        <v>1615</v>
      </c>
    </row>
    <row r="907" spans="1:24" hidden="1" x14ac:dyDescent="0.35">
      <c r="A907">
        <v>80</v>
      </c>
      <c r="B907">
        <v>2000057484</v>
      </c>
      <c r="C907" s="1">
        <v>45222</v>
      </c>
      <c r="D907" t="s">
        <v>3991</v>
      </c>
      <c r="E907" t="s">
        <v>18</v>
      </c>
      <c r="F907" t="s">
        <v>19</v>
      </c>
      <c r="G907" t="s">
        <v>20</v>
      </c>
      <c r="H907" t="s">
        <v>626</v>
      </c>
      <c r="I907" t="s">
        <v>22</v>
      </c>
      <c r="J907">
        <v>0.89</v>
      </c>
      <c r="K907">
        <v>2.6</v>
      </c>
      <c r="L907">
        <v>3</v>
      </c>
      <c r="M907">
        <v>0.74</v>
      </c>
      <c r="N907" t="s">
        <v>28</v>
      </c>
      <c r="O907" s="1">
        <v>45953</v>
      </c>
      <c r="S907" t="s">
        <v>915</v>
      </c>
      <c r="T907" s="6" t="s">
        <v>948</v>
      </c>
      <c r="U907" s="6" t="s">
        <v>934</v>
      </c>
      <c r="V907" s="2" t="s">
        <v>955</v>
      </c>
      <c r="W907" t="str">
        <f t="shared" si="14"/>
        <v>2000057484_202310</v>
      </c>
      <c r="X907" s="2" t="s">
        <v>1615</v>
      </c>
    </row>
    <row r="908" spans="1:24" hidden="1" x14ac:dyDescent="0.35">
      <c r="A908">
        <v>1</v>
      </c>
      <c r="B908">
        <v>2000057498</v>
      </c>
      <c r="C908" s="1">
        <v>44277</v>
      </c>
      <c r="D908" t="s">
        <v>147</v>
      </c>
      <c r="E908" t="s">
        <v>18</v>
      </c>
      <c r="F908" t="s">
        <v>148</v>
      </c>
      <c r="G908" t="s">
        <v>149</v>
      </c>
      <c r="H908" t="s">
        <v>150</v>
      </c>
      <c r="I908" t="s">
        <v>148</v>
      </c>
      <c r="J908">
        <v>0.89300000000000002</v>
      </c>
      <c r="K908">
        <v>2.2999999999999998</v>
      </c>
      <c r="L908">
        <v>1</v>
      </c>
      <c r="M908">
        <v>0.62</v>
      </c>
      <c r="N908" t="s">
        <v>28</v>
      </c>
      <c r="O908" s="1">
        <v>45007</v>
      </c>
      <c r="S908" t="s">
        <v>915</v>
      </c>
      <c r="T908" s="6" t="s">
        <v>941</v>
      </c>
      <c r="U908" s="6" t="s">
        <v>933</v>
      </c>
      <c r="V908" s="2" t="s">
        <v>952</v>
      </c>
      <c r="W908" t="str">
        <f t="shared" si="14"/>
        <v>2000057498_20213</v>
      </c>
      <c r="X908" s="2" t="s">
        <v>1615</v>
      </c>
    </row>
    <row r="909" spans="1:24" hidden="1" x14ac:dyDescent="0.35">
      <c r="A909">
        <v>12</v>
      </c>
      <c r="B909">
        <v>2000057498</v>
      </c>
      <c r="C909" s="1">
        <v>45001</v>
      </c>
      <c r="D909" t="s">
        <v>147</v>
      </c>
      <c r="E909" t="s">
        <v>18</v>
      </c>
      <c r="F909" t="s">
        <v>148</v>
      </c>
      <c r="G909" t="s">
        <v>149</v>
      </c>
      <c r="H909" t="s">
        <v>150</v>
      </c>
      <c r="I909" t="s">
        <v>148</v>
      </c>
      <c r="J909">
        <v>0.61899999999999999</v>
      </c>
      <c r="K909">
        <v>2.25</v>
      </c>
      <c r="L909">
        <v>7</v>
      </c>
      <c r="M909">
        <v>0.62</v>
      </c>
      <c r="N909" t="s">
        <v>23</v>
      </c>
      <c r="O909" s="1">
        <v>45367</v>
      </c>
      <c r="S909" t="s">
        <v>915</v>
      </c>
      <c r="T909" s="6" t="s">
        <v>941</v>
      </c>
      <c r="U909" s="6" t="s">
        <v>928</v>
      </c>
      <c r="V909" s="2" t="s">
        <v>955</v>
      </c>
      <c r="W909" t="str">
        <f t="shared" si="14"/>
        <v>2000057498_20233</v>
      </c>
      <c r="X909" s="2" t="s">
        <v>1615</v>
      </c>
    </row>
    <row r="910" spans="1:24" hidden="1" x14ac:dyDescent="0.35">
      <c r="A910">
        <v>9</v>
      </c>
      <c r="B910">
        <v>2000057498</v>
      </c>
      <c r="C910" s="1">
        <v>45378</v>
      </c>
      <c r="D910" t="s">
        <v>147</v>
      </c>
      <c r="E910" t="s">
        <v>18</v>
      </c>
      <c r="F910" t="s">
        <v>148</v>
      </c>
      <c r="G910" t="s">
        <v>149</v>
      </c>
      <c r="H910" t="s">
        <v>675</v>
      </c>
      <c r="I910" t="s">
        <v>41</v>
      </c>
      <c r="J910">
        <v>0.90600000000000003</v>
      </c>
      <c r="K910">
        <v>2.7</v>
      </c>
      <c r="L910">
        <v>1</v>
      </c>
      <c r="M910">
        <v>0.7</v>
      </c>
      <c r="N910" t="s">
        <v>28</v>
      </c>
      <c r="O910" s="1">
        <v>46108</v>
      </c>
      <c r="S910" t="s">
        <v>915</v>
      </c>
      <c r="T910" s="6" t="s">
        <v>941</v>
      </c>
      <c r="U910" s="6" t="s">
        <v>925</v>
      </c>
      <c r="V910" s="2" t="s">
        <v>956</v>
      </c>
      <c r="W910" t="str">
        <f t="shared" si="14"/>
        <v>2000057498_20243</v>
      </c>
      <c r="X910" s="2" t="s">
        <v>1615</v>
      </c>
    </row>
    <row r="911" spans="1:24" hidden="1" x14ac:dyDescent="0.35">
      <c r="A911">
        <v>1</v>
      </c>
      <c r="B911">
        <v>2000057506</v>
      </c>
      <c r="C911" s="1">
        <v>43886</v>
      </c>
      <c r="D911" t="s">
        <v>17</v>
      </c>
      <c r="E911" t="s">
        <v>18</v>
      </c>
      <c r="F911" t="s">
        <v>19</v>
      </c>
      <c r="G911" t="s">
        <v>20</v>
      </c>
      <c r="H911" t="s">
        <v>21</v>
      </c>
      <c r="I911" t="s">
        <v>22</v>
      </c>
      <c r="J911">
        <v>0.5847</v>
      </c>
      <c r="K911">
        <v>2.2999999999999998</v>
      </c>
      <c r="L911">
        <v>5</v>
      </c>
      <c r="M911">
        <v>0.42</v>
      </c>
      <c r="N911" t="s">
        <v>23</v>
      </c>
      <c r="O911" s="1">
        <v>44252</v>
      </c>
      <c r="R911" t="s">
        <v>24</v>
      </c>
      <c r="S911" t="s">
        <v>915</v>
      </c>
      <c r="T911" s="6" t="s">
        <v>921</v>
      </c>
      <c r="U911" s="6" t="s">
        <v>922</v>
      </c>
      <c r="V911" s="2" t="s">
        <v>923</v>
      </c>
      <c r="W911" t="str">
        <f t="shared" si="14"/>
        <v>2000057506_20202</v>
      </c>
      <c r="X911" s="2" t="s">
        <v>1615</v>
      </c>
    </row>
    <row r="912" spans="1:24" hidden="1" x14ac:dyDescent="0.35">
      <c r="A912">
        <v>23</v>
      </c>
      <c r="B912">
        <v>2000057506</v>
      </c>
      <c r="C912" s="1">
        <v>44306</v>
      </c>
      <c r="D912" t="s">
        <v>17</v>
      </c>
      <c r="E912" t="s">
        <v>18</v>
      </c>
      <c r="F912" t="s">
        <v>19</v>
      </c>
      <c r="G912" t="s">
        <v>20</v>
      </c>
      <c r="H912" t="s">
        <v>196</v>
      </c>
      <c r="I912" t="s">
        <v>22</v>
      </c>
      <c r="J912">
        <v>0.81399999999999995</v>
      </c>
      <c r="K912">
        <v>2.4</v>
      </c>
      <c r="L912">
        <v>9</v>
      </c>
      <c r="M912">
        <v>0.65</v>
      </c>
      <c r="N912" t="s">
        <v>28</v>
      </c>
      <c r="O912" s="1">
        <v>45036</v>
      </c>
      <c r="R912" t="s">
        <v>186</v>
      </c>
      <c r="S912" t="s">
        <v>915</v>
      </c>
      <c r="T912" s="6" t="s">
        <v>946</v>
      </c>
      <c r="U912" s="6" t="s">
        <v>932</v>
      </c>
      <c r="V912" s="2" t="s">
        <v>952</v>
      </c>
      <c r="W912" t="str">
        <f t="shared" si="14"/>
        <v>2000057506_20214</v>
      </c>
      <c r="X912" s="2" t="s">
        <v>1615</v>
      </c>
    </row>
    <row r="913" spans="1:24" hidden="1" x14ac:dyDescent="0.35">
      <c r="A913">
        <v>37</v>
      </c>
      <c r="B913">
        <v>2000057506</v>
      </c>
      <c r="C913" s="1">
        <v>45040</v>
      </c>
      <c r="D913" t="s">
        <v>17</v>
      </c>
      <c r="E913" t="s">
        <v>18</v>
      </c>
      <c r="F913" t="s">
        <v>19</v>
      </c>
      <c r="G913" t="s">
        <v>20</v>
      </c>
      <c r="H913" t="s">
        <v>196</v>
      </c>
      <c r="I913" t="s">
        <v>22</v>
      </c>
      <c r="J913">
        <v>0.77</v>
      </c>
      <c r="K913">
        <v>2.4</v>
      </c>
      <c r="L913">
        <v>2</v>
      </c>
      <c r="M913">
        <v>0.71</v>
      </c>
      <c r="N913" t="s">
        <v>23</v>
      </c>
      <c r="O913" s="1">
        <v>45406</v>
      </c>
      <c r="S913" t="s">
        <v>915</v>
      </c>
      <c r="T913" s="6" t="s">
        <v>946</v>
      </c>
      <c r="U913" s="6" t="s">
        <v>935</v>
      </c>
      <c r="V913" s="2" t="s">
        <v>955</v>
      </c>
      <c r="W913" t="str">
        <f t="shared" si="14"/>
        <v>2000057506_20234</v>
      </c>
      <c r="X913" s="2" t="s">
        <v>1615</v>
      </c>
    </row>
    <row r="914" spans="1:24" hidden="1" x14ac:dyDescent="0.35">
      <c r="A914">
        <v>8</v>
      </c>
      <c r="B914">
        <v>2000057506</v>
      </c>
      <c r="C914" s="1">
        <v>43553</v>
      </c>
      <c r="D914" t="s">
        <v>17</v>
      </c>
      <c r="E914" t="s">
        <v>18</v>
      </c>
      <c r="F914" t="s">
        <v>19</v>
      </c>
      <c r="G914" t="s">
        <v>20</v>
      </c>
      <c r="H914" t="s">
        <v>1619</v>
      </c>
      <c r="I914" t="s">
        <v>22</v>
      </c>
      <c r="J914">
        <v>0.72</v>
      </c>
      <c r="K914">
        <v>2.4</v>
      </c>
      <c r="L914">
        <v>5</v>
      </c>
      <c r="N914" t="s">
        <v>28</v>
      </c>
      <c r="O914" s="1">
        <v>44284</v>
      </c>
      <c r="S914" t="s">
        <v>915</v>
      </c>
      <c r="T914" s="5" t="s">
        <v>941</v>
      </c>
      <c r="U914" s="5">
        <v>29</v>
      </c>
      <c r="V914" t="s">
        <v>1618</v>
      </c>
      <c r="W914" t="str">
        <f t="shared" si="14"/>
        <v>2000057506_20193</v>
      </c>
      <c r="X914" s="2" t="s">
        <v>1615</v>
      </c>
    </row>
    <row r="915" spans="1:24" hidden="1" x14ac:dyDescent="0.35">
      <c r="A915">
        <v>26</v>
      </c>
      <c r="B915">
        <v>2000057506</v>
      </c>
      <c r="C915" s="1">
        <v>45407</v>
      </c>
      <c r="D915" t="s">
        <v>17</v>
      </c>
      <c r="E915" t="s">
        <v>18</v>
      </c>
      <c r="F915" t="s">
        <v>19</v>
      </c>
      <c r="G915" t="s">
        <v>20</v>
      </c>
      <c r="H915" t="s">
        <v>699</v>
      </c>
      <c r="I915" t="s">
        <v>22</v>
      </c>
      <c r="J915">
        <v>0.89</v>
      </c>
      <c r="K915">
        <v>3</v>
      </c>
      <c r="L915">
        <v>1</v>
      </c>
      <c r="M915">
        <v>0.75</v>
      </c>
      <c r="N915" t="s">
        <v>28</v>
      </c>
      <c r="O915" s="1">
        <v>46137</v>
      </c>
      <c r="S915" t="s">
        <v>915</v>
      </c>
      <c r="T915" s="6" t="s">
        <v>946</v>
      </c>
      <c r="U915" s="6" t="s">
        <v>922</v>
      </c>
      <c r="V915" s="2" t="s">
        <v>956</v>
      </c>
      <c r="W915" t="str">
        <f t="shared" si="14"/>
        <v>2000057506_20244</v>
      </c>
      <c r="X915" s="2" t="s">
        <v>1615</v>
      </c>
    </row>
    <row r="916" spans="1:24" hidden="1" x14ac:dyDescent="0.35">
      <c r="B916">
        <v>2000057508</v>
      </c>
      <c r="C916" s="1">
        <v>44022</v>
      </c>
      <c r="D916" t="s">
        <v>2857</v>
      </c>
      <c r="F916" t="s">
        <v>43</v>
      </c>
      <c r="G916" t="s">
        <v>1911</v>
      </c>
      <c r="H916" t="s">
        <v>2858</v>
      </c>
      <c r="I916" t="s">
        <v>22</v>
      </c>
      <c r="J916">
        <v>0.72399999999999998</v>
      </c>
      <c r="K916">
        <v>2.6</v>
      </c>
      <c r="L916">
        <v>7</v>
      </c>
      <c r="M916">
        <v>0.84</v>
      </c>
      <c r="N916" t="s">
        <v>2310</v>
      </c>
      <c r="O916" s="1">
        <v>44752</v>
      </c>
      <c r="S916" t="s">
        <v>915</v>
      </c>
      <c r="T916" s="6" t="s">
        <v>936</v>
      </c>
      <c r="U916" s="6" t="s">
        <v>948</v>
      </c>
      <c r="V916" s="2" t="s">
        <v>923</v>
      </c>
      <c r="W916" t="str">
        <f t="shared" si="14"/>
        <v>2000057508_20207</v>
      </c>
      <c r="X916" s="2" t="s">
        <v>1616</v>
      </c>
    </row>
    <row r="917" spans="1:24" hidden="1" x14ac:dyDescent="0.35">
      <c r="B917">
        <v>2000057508</v>
      </c>
      <c r="C917" s="1">
        <v>44693</v>
      </c>
      <c r="D917" t="s">
        <v>2857</v>
      </c>
      <c r="F917" t="s">
        <v>43</v>
      </c>
      <c r="G917" t="s">
        <v>1911</v>
      </c>
      <c r="H917" t="s">
        <v>2859</v>
      </c>
      <c r="I917" t="s">
        <v>22</v>
      </c>
      <c r="J917">
        <v>0.78200000000000003</v>
      </c>
      <c r="K917">
        <v>2.2000000000000002</v>
      </c>
      <c r="L917">
        <v>7</v>
      </c>
      <c r="M917">
        <v>0.79</v>
      </c>
      <c r="N917" t="s">
        <v>2361</v>
      </c>
      <c r="O917" s="1">
        <v>45058</v>
      </c>
      <c r="S917" t="s">
        <v>915</v>
      </c>
      <c r="T917" s="6" t="s">
        <v>947</v>
      </c>
      <c r="U917" s="6" t="s">
        <v>949</v>
      </c>
      <c r="V917" s="2" t="s">
        <v>954</v>
      </c>
      <c r="W917" t="str">
        <f t="shared" si="14"/>
        <v>2000057508_20225</v>
      </c>
      <c r="X917" s="2" t="s">
        <v>1616</v>
      </c>
    </row>
    <row r="918" spans="1:24" hidden="1" x14ac:dyDescent="0.35">
      <c r="B918">
        <v>2000057508</v>
      </c>
      <c r="C918" s="1">
        <v>45062</v>
      </c>
      <c r="D918" t="s">
        <v>2857</v>
      </c>
      <c r="F918" t="s">
        <v>43</v>
      </c>
      <c r="G918" t="s">
        <v>1911</v>
      </c>
      <c r="H918" t="s">
        <v>2859</v>
      </c>
      <c r="I918" t="s">
        <v>22</v>
      </c>
      <c r="J918">
        <v>0.877</v>
      </c>
      <c r="K918">
        <v>2.6</v>
      </c>
      <c r="L918">
        <v>6</v>
      </c>
      <c r="M918">
        <v>0.78</v>
      </c>
      <c r="N918" t="s">
        <v>2310</v>
      </c>
      <c r="O918" s="1">
        <v>45793</v>
      </c>
      <c r="S918" t="s">
        <v>915</v>
      </c>
      <c r="T918" s="6" t="s">
        <v>947</v>
      </c>
      <c r="U918" s="6" t="s">
        <v>928</v>
      </c>
      <c r="V918" s="2" t="s">
        <v>955</v>
      </c>
      <c r="W918" t="str">
        <f t="shared" si="14"/>
        <v>2000057508_20235</v>
      </c>
      <c r="X918" s="2" t="s">
        <v>1616</v>
      </c>
    </row>
    <row r="919" spans="1:24" hidden="1" x14ac:dyDescent="0.35">
      <c r="A919">
        <v>38</v>
      </c>
      <c r="B919">
        <v>2000055366</v>
      </c>
      <c r="C919" s="1">
        <v>45743</v>
      </c>
      <c r="D919" t="s">
        <v>2409</v>
      </c>
      <c r="E919" t="s">
        <v>18</v>
      </c>
      <c r="F919" t="s">
        <v>1701</v>
      </c>
      <c r="G919" t="s">
        <v>1606</v>
      </c>
      <c r="H919" t="s">
        <v>3659</v>
      </c>
      <c r="I919" t="s">
        <v>41</v>
      </c>
      <c r="J919">
        <v>0.96</v>
      </c>
      <c r="K919" t="s">
        <v>3660</v>
      </c>
      <c r="L919">
        <v>1</v>
      </c>
      <c r="M919">
        <v>0.85</v>
      </c>
      <c r="N919" t="s">
        <v>2314</v>
      </c>
      <c r="O919" s="1">
        <v>46839</v>
      </c>
      <c r="R919" t="s">
        <v>1613</v>
      </c>
      <c r="S919" t="s">
        <v>915</v>
      </c>
      <c r="T919" s="6" t="s">
        <v>941</v>
      </c>
      <c r="U919" s="6" t="s">
        <v>925</v>
      </c>
      <c r="V919" s="2" t="s">
        <v>1650</v>
      </c>
      <c r="W919" t="str">
        <f t="shared" si="14"/>
        <v>2000055366_20253</v>
      </c>
      <c r="X919" t="s">
        <v>1616</v>
      </c>
    </row>
    <row r="920" spans="1:24" hidden="1" x14ac:dyDescent="0.35">
      <c r="B920">
        <v>2000057548</v>
      </c>
      <c r="C920" s="1">
        <v>43594</v>
      </c>
      <c r="D920" t="s">
        <v>2870</v>
      </c>
      <c r="F920" t="s">
        <v>39</v>
      </c>
      <c r="G920" t="s">
        <v>2341</v>
      </c>
      <c r="H920" t="s">
        <v>2871</v>
      </c>
      <c r="I920" t="s">
        <v>41</v>
      </c>
      <c r="J920">
        <v>0.97</v>
      </c>
      <c r="K920">
        <v>3</v>
      </c>
      <c r="L920">
        <v>0</v>
      </c>
      <c r="N920" t="s">
        <v>2310</v>
      </c>
      <c r="O920" s="1">
        <v>44325</v>
      </c>
      <c r="S920" t="s">
        <v>915</v>
      </c>
      <c r="T920" s="6" t="s">
        <v>947</v>
      </c>
      <c r="U920" s="6" t="s">
        <v>942</v>
      </c>
      <c r="V920" s="2" t="s">
        <v>1618</v>
      </c>
      <c r="W920" t="str">
        <f t="shared" si="14"/>
        <v>2000057548_20195</v>
      </c>
      <c r="X920" s="2" t="s">
        <v>1616</v>
      </c>
    </row>
    <row r="921" spans="1:24" hidden="1" x14ac:dyDescent="0.35">
      <c r="B921">
        <v>2000057548</v>
      </c>
      <c r="C921" s="1">
        <v>44501</v>
      </c>
      <c r="D921" t="s">
        <v>2870</v>
      </c>
      <c r="F921" t="s">
        <v>39</v>
      </c>
      <c r="G921" t="s">
        <v>1606</v>
      </c>
      <c r="H921" t="s">
        <v>2872</v>
      </c>
      <c r="I921" t="s">
        <v>41</v>
      </c>
      <c r="J921">
        <v>0.93500000000000005</v>
      </c>
      <c r="K921">
        <v>3</v>
      </c>
      <c r="L921">
        <v>2</v>
      </c>
      <c r="M921">
        <v>0.91</v>
      </c>
      <c r="N921" t="s">
        <v>2314</v>
      </c>
      <c r="O921" s="1">
        <v>45597</v>
      </c>
      <c r="S921" t="s">
        <v>915</v>
      </c>
      <c r="T921" s="6" t="s">
        <v>945</v>
      </c>
      <c r="U921" s="6" t="s">
        <v>953</v>
      </c>
      <c r="V921" s="2" t="s">
        <v>952</v>
      </c>
      <c r="W921" t="str">
        <f t="shared" si="14"/>
        <v>2000057548_202111</v>
      </c>
      <c r="X921" s="2" t="s">
        <v>1616</v>
      </c>
    </row>
    <row r="922" spans="1:24" hidden="1" x14ac:dyDescent="0.35">
      <c r="A922">
        <v>35</v>
      </c>
      <c r="B922">
        <v>2000057552</v>
      </c>
      <c r="C922" s="1">
        <v>45420</v>
      </c>
      <c r="D922" t="s">
        <v>1726</v>
      </c>
      <c r="E922" t="s">
        <v>18</v>
      </c>
      <c r="F922" t="s">
        <v>19</v>
      </c>
      <c r="G922" t="s">
        <v>1606</v>
      </c>
      <c r="H922" t="s">
        <v>1727</v>
      </c>
      <c r="I922" t="s">
        <v>22</v>
      </c>
      <c r="J922">
        <v>0.91300000000000003</v>
      </c>
      <c r="K922">
        <v>3</v>
      </c>
      <c r="L922">
        <v>2</v>
      </c>
      <c r="M922">
        <v>0.72</v>
      </c>
      <c r="N922" t="s">
        <v>368</v>
      </c>
      <c r="O922" s="1">
        <v>46515</v>
      </c>
      <c r="R922" t="s">
        <v>1613</v>
      </c>
      <c r="S922" t="s">
        <v>915</v>
      </c>
      <c r="T922" s="5" t="s">
        <v>947</v>
      </c>
      <c r="U922" s="5" t="s">
        <v>940</v>
      </c>
      <c r="V922" t="s">
        <v>956</v>
      </c>
      <c r="W922" t="str">
        <f t="shared" si="14"/>
        <v>2000057552_20245</v>
      </c>
      <c r="X922" s="2" t="s">
        <v>1616</v>
      </c>
    </row>
    <row r="923" spans="1:24" hidden="1" x14ac:dyDescent="0.35">
      <c r="B923">
        <v>2000057552</v>
      </c>
      <c r="C923" s="1">
        <v>44377</v>
      </c>
      <c r="D923" t="s">
        <v>1726</v>
      </c>
      <c r="F923" t="s">
        <v>19</v>
      </c>
      <c r="G923" t="s">
        <v>1606</v>
      </c>
      <c r="H923" t="s">
        <v>2873</v>
      </c>
      <c r="I923" t="s">
        <v>22</v>
      </c>
      <c r="J923">
        <v>0.66400000000000003</v>
      </c>
      <c r="K923">
        <v>2.4</v>
      </c>
      <c r="L923">
        <v>7</v>
      </c>
      <c r="M923">
        <v>0.67</v>
      </c>
      <c r="N923" t="s">
        <v>2361</v>
      </c>
      <c r="O923" s="1">
        <v>44742</v>
      </c>
      <c r="S923" t="s">
        <v>915</v>
      </c>
      <c r="T923" s="6" t="s">
        <v>927</v>
      </c>
      <c r="U923" s="6" t="s">
        <v>938</v>
      </c>
      <c r="V923" s="2" t="s">
        <v>952</v>
      </c>
      <c r="W923" t="str">
        <f t="shared" si="14"/>
        <v>2000057552_20216</v>
      </c>
      <c r="X923" s="2" t="s">
        <v>1616</v>
      </c>
    </row>
    <row r="924" spans="1:24" hidden="1" x14ac:dyDescent="0.35">
      <c r="B924">
        <v>2000057552</v>
      </c>
      <c r="C924" s="1">
        <v>44726</v>
      </c>
      <c r="D924" t="s">
        <v>1726</v>
      </c>
      <c r="F924" t="s">
        <v>19</v>
      </c>
      <c r="G924" t="s">
        <v>1606</v>
      </c>
      <c r="H924" t="s">
        <v>2874</v>
      </c>
      <c r="I924" t="s">
        <v>22</v>
      </c>
      <c r="J924">
        <v>0.89100000000000001</v>
      </c>
      <c r="K924">
        <v>3</v>
      </c>
      <c r="L924">
        <v>3</v>
      </c>
      <c r="M924">
        <v>0.79</v>
      </c>
      <c r="N924" t="s">
        <v>2310</v>
      </c>
      <c r="O924" s="1">
        <v>45457</v>
      </c>
      <c r="S924" t="s">
        <v>915</v>
      </c>
      <c r="T924" s="6" t="s">
        <v>927</v>
      </c>
      <c r="U924" s="6" t="s">
        <v>951</v>
      </c>
      <c r="V924" s="2" t="s">
        <v>954</v>
      </c>
      <c r="W924" t="str">
        <f t="shared" si="14"/>
        <v>2000057552_20226</v>
      </c>
      <c r="X924" s="2" t="s">
        <v>1616</v>
      </c>
    </row>
    <row r="925" spans="1:24" hidden="1" x14ac:dyDescent="0.35">
      <c r="A925">
        <v>60</v>
      </c>
      <c r="B925">
        <v>2000057570</v>
      </c>
      <c r="C925" s="1">
        <v>45461</v>
      </c>
      <c r="D925" t="s">
        <v>1792</v>
      </c>
      <c r="E925" t="s">
        <v>18</v>
      </c>
      <c r="F925" t="s">
        <v>1602</v>
      </c>
      <c r="G925" t="s">
        <v>1603</v>
      </c>
      <c r="H925" t="s">
        <v>1793</v>
      </c>
      <c r="I925" t="s">
        <v>41</v>
      </c>
      <c r="J925">
        <v>1</v>
      </c>
      <c r="K925">
        <v>3</v>
      </c>
      <c r="L925">
        <v>0</v>
      </c>
      <c r="M925">
        <v>0.77</v>
      </c>
      <c r="N925" t="s">
        <v>368</v>
      </c>
      <c r="O925" s="1">
        <v>46556</v>
      </c>
      <c r="R925" t="s">
        <v>1613</v>
      </c>
      <c r="S925" t="s">
        <v>915</v>
      </c>
      <c r="T925" s="5" t="s">
        <v>927</v>
      </c>
      <c r="U925" s="5" t="s">
        <v>930</v>
      </c>
      <c r="V925" t="s">
        <v>956</v>
      </c>
      <c r="W925" t="str">
        <f t="shared" si="14"/>
        <v>2000057570_20246</v>
      </c>
      <c r="X925" s="2" t="s">
        <v>1616</v>
      </c>
    </row>
    <row r="926" spans="1:24" hidden="1" x14ac:dyDescent="0.35">
      <c r="B926">
        <v>2000057570</v>
      </c>
      <c r="C926" s="1">
        <v>43875</v>
      </c>
      <c r="D926" t="s">
        <v>1792</v>
      </c>
      <c r="F926" t="s">
        <v>39</v>
      </c>
      <c r="G926" t="s">
        <v>1603</v>
      </c>
      <c r="H926" t="s">
        <v>2875</v>
      </c>
      <c r="I926" t="s">
        <v>41</v>
      </c>
      <c r="J926">
        <v>0.72219999999999995</v>
      </c>
      <c r="K926">
        <v>2.4</v>
      </c>
      <c r="L926">
        <v>11</v>
      </c>
      <c r="M926">
        <v>0.77</v>
      </c>
      <c r="N926" t="s">
        <v>2310</v>
      </c>
      <c r="O926" s="1">
        <v>44606</v>
      </c>
      <c r="S926" t="s">
        <v>915</v>
      </c>
      <c r="T926" s="6" t="s">
        <v>921</v>
      </c>
      <c r="U926" s="6" t="s">
        <v>951</v>
      </c>
      <c r="V926" s="2" t="s">
        <v>923</v>
      </c>
      <c r="W926" t="str">
        <f t="shared" si="14"/>
        <v>2000057570_20202</v>
      </c>
      <c r="X926" s="2" t="s">
        <v>1616</v>
      </c>
    </row>
    <row r="927" spans="1:24" hidden="1" x14ac:dyDescent="0.35">
      <c r="B927">
        <v>2000057570</v>
      </c>
      <c r="C927" s="1">
        <v>44657</v>
      </c>
      <c r="D927" t="s">
        <v>1792</v>
      </c>
      <c r="F927" t="s">
        <v>39</v>
      </c>
      <c r="G927" t="s">
        <v>1603</v>
      </c>
      <c r="H927" t="s">
        <v>2876</v>
      </c>
      <c r="I927" t="s">
        <v>41</v>
      </c>
      <c r="J927">
        <v>0.875</v>
      </c>
      <c r="K927">
        <v>2.2999999999999998</v>
      </c>
      <c r="L927">
        <v>2</v>
      </c>
      <c r="M927">
        <v>0.84</v>
      </c>
      <c r="N927" t="s">
        <v>2310</v>
      </c>
      <c r="O927" s="1">
        <v>45388</v>
      </c>
      <c r="S927" t="s">
        <v>915</v>
      </c>
      <c r="T927" s="6" t="s">
        <v>946</v>
      </c>
      <c r="U927" s="6" t="s">
        <v>927</v>
      </c>
      <c r="V927" s="2" t="s">
        <v>954</v>
      </c>
      <c r="W927" t="str">
        <f t="shared" si="14"/>
        <v>2000057570_20224</v>
      </c>
      <c r="X927" s="2" t="s">
        <v>1616</v>
      </c>
    </row>
    <row r="928" spans="1:24" hidden="1" x14ac:dyDescent="0.35">
      <c r="A928">
        <v>45</v>
      </c>
      <c r="B928">
        <v>2000057577</v>
      </c>
      <c r="C928" s="1">
        <v>44694</v>
      </c>
      <c r="D928" t="s">
        <v>432</v>
      </c>
      <c r="E928" t="s">
        <v>18</v>
      </c>
      <c r="F928" t="s">
        <v>39</v>
      </c>
      <c r="G928" t="s">
        <v>20</v>
      </c>
      <c r="H928" t="s">
        <v>433</v>
      </c>
      <c r="I928" t="s">
        <v>41</v>
      </c>
      <c r="J928">
        <v>0.84599999999999997</v>
      </c>
      <c r="K928">
        <v>2.2999999999999998</v>
      </c>
      <c r="L928">
        <v>5</v>
      </c>
      <c r="M928">
        <v>0.72</v>
      </c>
      <c r="N928" t="s">
        <v>28</v>
      </c>
      <c r="O928" s="1">
        <v>45425</v>
      </c>
      <c r="S928" t="s">
        <v>915</v>
      </c>
      <c r="T928" s="6" t="s">
        <v>947</v>
      </c>
      <c r="U928" s="6" t="s">
        <v>950</v>
      </c>
      <c r="V928" s="2" t="s">
        <v>954</v>
      </c>
      <c r="W928" t="str">
        <f t="shared" si="14"/>
        <v>2000057577_20225</v>
      </c>
      <c r="X928" s="2" t="s">
        <v>1615</v>
      </c>
    </row>
    <row r="929" spans="1:24" hidden="1" x14ac:dyDescent="0.35">
      <c r="A929">
        <v>35</v>
      </c>
      <c r="B929">
        <v>2000057577</v>
      </c>
      <c r="C929" s="1">
        <v>45435</v>
      </c>
      <c r="D929" t="s">
        <v>432</v>
      </c>
      <c r="E929" t="s">
        <v>18</v>
      </c>
      <c r="F929" t="s">
        <v>39</v>
      </c>
      <c r="G929" t="s">
        <v>20</v>
      </c>
      <c r="H929" t="s">
        <v>707</v>
      </c>
      <c r="I929" t="s">
        <v>41</v>
      </c>
      <c r="J929">
        <v>0.94099999999999995</v>
      </c>
      <c r="K929">
        <v>2.7</v>
      </c>
      <c r="L929">
        <v>2</v>
      </c>
      <c r="M929">
        <v>0.84</v>
      </c>
      <c r="N929" t="s">
        <v>28</v>
      </c>
      <c r="O929" s="1">
        <v>46165</v>
      </c>
      <c r="S929" t="s">
        <v>915</v>
      </c>
      <c r="T929" s="6" t="s">
        <v>947</v>
      </c>
      <c r="U929" s="6" t="s">
        <v>934</v>
      </c>
      <c r="V929" s="2" t="s">
        <v>956</v>
      </c>
      <c r="W929" t="str">
        <f t="shared" si="14"/>
        <v>2000057577_20245</v>
      </c>
      <c r="X929" s="2" t="s">
        <v>1615</v>
      </c>
    </row>
    <row r="930" spans="1:24" hidden="1" x14ac:dyDescent="0.35">
      <c r="B930">
        <v>2000057581</v>
      </c>
      <c r="C930" s="1">
        <v>44139</v>
      </c>
      <c r="D930" t="s">
        <v>2878</v>
      </c>
      <c r="F930" t="s">
        <v>43</v>
      </c>
      <c r="G930" t="s">
        <v>1606</v>
      </c>
      <c r="H930" t="s">
        <v>2879</v>
      </c>
      <c r="I930" t="s">
        <v>41</v>
      </c>
      <c r="J930">
        <v>0.81299999999999994</v>
      </c>
      <c r="K930">
        <v>2.4</v>
      </c>
      <c r="L930">
        <v>2</v>
      </c>
      <c r="M930">
        <v>0.96</v>
      </c>
      <c r="N930" t="s">
        <v>2310</v>
      </c>
      <c r="O930" s="1">
        <v>44869</v>
      </c>
      <c r="S930" t="s">
        <v>915</v>
      </c>
      <c r="T930" s="6" t="s">
        <v>945</v>
      </c>
      <c r="U930" s="6" t="s">
        <v>946</v>
      </c>
      <c r="V930" s="2" t="s">
        <v>923</v>
      </c>
      <c r="W930" t="str">
        <f t="shared" si="14"/>
        <v>2000057581_202011</v>
      </c>
      <c r="X930" s="2" t="s">
        <v>1616</v>
      </c>
    </row>
    <row r="931" spans="1:24" hidden="1" x14ac:dyDescent="0.35">
      <c r="B931">
        <v>2000057581</v>
      </c>
      <c r="C931" s="1">
        <v>44851</v>
      </c>
      <c r="D931" t="s">
        <v>2878</v>
      </c>
      <c r="F931" t="s">
        <v>43</v>
      </c>
      <c r="G931" t="s">
        <v>1606</v>
      </c>
      <c r="H931" t="s">
        <v>2880</v>
      </c>
      <c r="I931" t="s">
        <v>41</v>
      </c>
      <c r="J931">
        <v>1</v>
      </c>
      <c r="K931">
        <v>3</v>
      </c>
      <c r="L931">
        <v>0</v>
      </c>
      <c r="M931">
        <v>0.93</v>
      </c>
      <c r="N931" t="s">
        <v>2314</v>
      </c>
      <c r="O931" s="1">
        <v>45947</v>
      </c>
      <c r="S931" t="s">
        <v>915</v>
      </c>
      <c r="T931" s="6" t="s">
        <v>948</v>
      </c>
      <c r="U931" s="6" t="s">
        <v>929</v>
      </c>
      <c r="V931" s="2" t="s">
        <v>954</v>
      </c>
      <c r="W931" t="str">
        <f t="shared" si="14"/>
        <v>2000057581_202210</v>
      </c>
      <c r="X931" s="2" t="s">
        <v>1616</v>
      </c>
    </row>
    <row r="932" spans="1:24" hidden="1" x14ac:dyDescent="0.35">
      <c r="B932">
        <v>2000057606</v>
      </c>
      <c r="C932" s="1">
        <v>44459</v>
      </c>
      <c r="D932" t="s">
        <v>2883</v>
      </c>
      <c r="F932" t="s">
        <v>39</v>
      </c>
      <c r="G932" t="s">
        <v>1720</v>
      </c>
      <c r="H932" t="s">
        <v>2884</v>
      </c>
      <c r="I932" t="s">
        <v>41</v>
      </c>
      <c r="J932">
        <v>0.875</v>
      </c>
      <c r="K932">
        <v>2.7</v>
      </c>
      <c r="L932">
        <v>8</v>
      </c>
      <c r="M932">
        <v>0.88</v>
      </c>
      <c r="N932" t="s">
        <v>2310</v>
      </c>
      <c r="O932" s="1">
        <v>45189</v>
      </c>
      <c r="S932" t="s">
        <v>915</v>
      </c>
      <c r="T932" s="6" t="s">
        <v>942</v>
      </c>
      <c r="U932" s="6" t="s">
        <v>932</v>
      </c>
      <c r="V932" s="2" t="s">
        <v>952</v>
      </c>
      <c r="W932" t="str">
        <f t="shared" si="14"/>
        <v>2000057606_20219</v>
      </c>
      <c r="X932" s="2" t="s">
        <v>1616</v>
      </c>
    </row>
    <row r="933" spans="1:24" hidden="1" x14ac:dyDescent="0.35">
      <c r="B933">
        <v>2000057606</v>
      </c>
      <c r="C933" s="1">
        <v>45092</v>
      </c>
      <c r="D933" t="s">
        <v>2883</v>
      </c>
      <c r="F933" t="s">
        <v>39</v>
      </c>
      <c r="G933" t="s">
        <v>1606</v>
      </c>
      <c r="H933" t="s">
        <v>2885</v>
      </c>
      <c r="I933" t="s">
        <v>41</v>
      </c>
      <c r="J933">
        <v>1</v>
      </c>
      <c r="K933">
        <v>3</v>
      </c>
      <c r="L933">
        <v>0</v>
      </c>
      <c r="M933">
        <v>1</v>
      </c>
      <c r="N933" t="s">
        <v>2314</v>
      </c>
      <c r="O933" s="1">
        <v>46188</v>
      </c>
      <c r="S933" t="s">
        <v>915</v>
      </c>
      <c r="T933" s="6" t="s">
        <v>927</v>
      </c>
      <c r="U933" s="6" t="s">
        <v>943</v>
      </c>
      <c r="V933" s="2" t="s">
        <v>955</v>
      </c>
      <c r="W933" t="str">
        <f t="shared" si="14"/>
        <v>2000057606_20236</v>
      </c>
      <c r="X933" s="2" t="s">
        <v>1616</v>
      </c>
    </row>
    <row r="934" spans="1:24" hidden="1" x14ac:dyDescent="0.35">
      <c r="A934">
        <v>24</v>
      </c>
      <c r="B934">
        <v>2000057611</v>
      </c>
      <c r="C934" s="1">
        <v>45398</v>
      </c>
      <c r="D934" t="s">
        <v>1697</v>
      </c>
      <c r="E934" t="s">
        <v>18</v>
      </c>
      <c r="F934" t="s">
        <v>1698</v>
      </c>
      <c r="G934" t="s">
        <v>1687</v>
      </c>
      <c r="H934" t="s">
        <v>1699</v>
      </c>
      <c r="I934" t="s">
        <v>41</v>
      </c>
      <c r="J934">
        <v>0.90500000000000003</v>
      </c>
      <c r="K934">
        <v>3</v>
      </c>
      <c r="L934">
        <v>1</v>
      </c>
      <c r="M934">
        <v>0.92</v>
      </c>
      <c r="N934" t="s">
        <v>368</v>
      </c>
      <c r="O934" s="1">
        <v>46493</v>
      </c>
      <c r="S934" t="s">
        <v>915</v>
      </c>
      <c r="T934" s="5" t="s">
        <v>946</v>
      </c>
      <c r="U934" s="5" t="s">
        <v>928</v>
      </c>
      <c r="V934" t="s">
        <v>956</v>
      </c>
      <c r="W934" t="str">
        <f t="shared" si="14"/>
        <v>2000057611_20244</v>
      </c>
      <c r="X934" s="2" t="s">
        <v>1616</v>
      </c>
    </row>
    <row r="935" spans="1:24" hidden="1" x14ac:dyDescent="0.35">
      <c r="B935">
        <v>2000057631</v>
      </c>
      <c r="C935" s="1">
        <v>44419</v>
      </c>
      <c r="D935" t="s">
        <v>2886</v>
      </c>
      <c r="F935" t="s">
        <v>39</v>
      </c>
      <c r="G935" t="s">
        <v>1606</v>
      </c>
      <c r="H935" t="s">
        <v>2887</v>
      </c>
      <c r="I935" t="s">
        <v>41</v>
      </c>
      <c r="J935">
        <v>0.93100000000000005</v>
      </c>
      <c r="K935">
        <v>2.6</v>
      </c>
      <c r="L935">
        <v>5</v>
      </c>
      <c r="M935">
        <v>0.91</v>
      </c>
      <c r="N935" t="s">
        <v>2310</v>
      </c>
      <c r="O935" s="1">
        <v>45149</v>
      </c>
      <c r="S935" t="s">
        <v>915</v>
      </c>
      <c r="T935" s="6" t="s">
        <v>940</v>
      </c>
      <c r="U935" s="6" t="s">
        <v>945</v>
      </c>
      <c r="V935" s="2" t="s">
        <v>952</v>
      </c>
      <c r="W935" t="str">
        <f t="shared" si="14"/>
        <v>2000057631_20218</v>
      </c>
      <c r="X935" s="2" t="s">
        <v>1616</v>
      </c>
    </row>
    <row r="936" spans="1:24" hidden="1" x14ac:dyDescent="0.35">
      <c r="A936">
        <v>17</v>
      </c>
      <c r="B936">
        <v>2000067320</v>
      </c>
      <c r="C936" s="1">
        <v>45748</v>
      </c>
      <c r="D936" t="s">
        <v>3584</v>
      </c>
      <c r="E936" t="s">
        <v>18</v>
      </c>
      <c r="F936" t="s">
        <v>473</v>
      </c>
      <c r="G936" t="s">
        <v>20</v>
      </c>
      <c r="H936" t="s">
        <v>3585</v>
      </c>
      <c r="I936" t="s">
        <v>41</v>
      </c>
      <c r="J936">
        <v>0.92500000000000004</v>
      </c>
      <c r="K936">
        <v>2.7</v>
      </c>
      <c r="L936">
        <v>3</v>
      </c>
      <c r="M936">
        <v>0.94</v>
      </c>
      <c r="N936" t="s">
        <v>28</v>
      </c>
      <c r="O936" s="1">
        <v>46478</v>
      </c>
      <c r="S936" t="s">
        <v>915</v>
      </c>
      <c r="T936" s="5" t="s">
        <v>946</v>
      </c>
      <c r="U936" s="5" t="s">
        <v>953</v>
      </c>
      <c r="V936" t="s">
        <v>1650</v>
      </c>
      <c r="W936" t="str">
        <f t="shared" si="14"/>
        <v>2000067320_20254</v>
      </c>
      <c r="X936" t="s">
        <v>1615</v>
      </c>
    </row>
    <row r="937" spans="1:24" hidden="1" x14ac:dyDescent="0.35">
      <c r="A937">
        <v>34</v>
      </c>
      <c r="B937">
        <v>2000057655</v>
      </c>
      <c r="C937" s="1">
        <v>44098</v>
      </c>
      <c r="D937" t="s">
        <v>3891</v>
      </c>
      <c r="E937" t="s">
        <v>18</v>
      </c>
      <c r="F937" t="s">
        <v>39</v>
      </c>
      <c r="G937" t="s">
        <v>20</v>
      </c>
      <c r="H937" t="s">
        <v>104</v>
      </c>
      <c r="I937" t="s">
        <v>41</v>
      </c>
      <c r="J937">
        <v>0.73899999999999999</v>
      </c>
      <c r="K937">
        <v>2</v>
      </c>
      <c r="L937">
        <v>8</v>
      </c>
      <c r="M937">
        <v>0.83</v>
      </c>
      <c r="N937" t="s">
        <v>23</v>
      </c>
      <c r="O937" s="1">
        <v>44463</v>
      </c>
      <c r="S937" t="s">
        <v>915</v>
      </c>
      <c r="T937" s="6" t="s">
        <v>942</v>
      </c>
      <c r="U937" s="6" t="s">
        <v>935</v>
      </c>
      <c r="V937" s="2" t="s">
        <v>923</v>
      </c>
      <c r="W937" t="str">
        <f t="shared" si="14"/>
        <v>2000057655_20209</v>
      </c>
      <c r="X937" s="2" t="s">
        <v>1615</v>
      </c>
    </row>
    <row r="938" spans="1:24" hidden="1" x14ac:dyDescent="0.35">
      <c r="A938">
        <v>75</v>
      </c>
      <c r="B938">
        <v>2000057655</v>
      </c>
      <c r="C938" s="1">
        <v>45215</v>
      </c>
      <c r="D938" t="s">
        <v>3891</v>
      </c>
      <c r="E938" t="s">
        <v>18</v>
      </c>
      <c r="F938" t="s">
        <v>39</v>
      </c>
      <c r="G938" t="s">
        <v>20</v>
      </c>
      <c r="H938" t="s">
        <v>622</v>
      </c>
      <c r="I938" t="s">
        <v>41</v>
      </c>
      <c r="J938">
        <v>0.83299999999999996</v>
      </c>
      <c r="K938">
        <v>2.6</v>
      </c>
      <c r="L938">
        <v>2</v>
      </c>
      <c r="M938">
        <v>0.76</v>
      </c>
      <c r="N938" t="s">
        <v>28</v>
      </c>
      <c r="O938" s="1">
        <v>45946</v>
      </c>
      <c r="S938" t="s">
        <v>915</v>
      </c>
      <c r="T938" s="6" t="s">
        <v>948</v>
      </c>
      <c r="U938" s="6" t="s">
        <v>928</v>
      </c>
      <c r="V938" s="2" t="s">
        <v>955</v>
      </c>
      <c r="W938" t="str">
        <f t="shared" si="14"/>
        <v>2000057655_202310</v>
      </c>
      <c r="X938" s="2" t="s">
        <v>1615</v>
      </c>
    </row>
    <row r="939" spans="1:24" hidden="1" x14ac:dyDescent="0.35">
      <c r="A939">
        <v>80</v>
      </c>
      <c r="B939">
        <v>2000057655</v>
      </c>
      <c r="C939" s="1">
        <v>44481</v>
      </c>
      <c r="D939" t="s">
        <v>3891</v>
      </c>
      <c r="E939" t="s">
        <v>18</v>
      </c>
      <c r="F939" t="s">
        <v>39</v>
      </c>
      <c r="G939" t="s">
        <v>20</v>
      </c>
      <c r="H939" t="s">
        <v>304</v>
      </c>
      <c r="I939" t="s">
        <v>41</v>
      </c>
      <c r="J939">
        <v>0.84</v>
      </c>
      <c r="K939">
        <v>2.6</v>
      </c>
      <c r="L939">
        <v>5</v>
      </c>
      <c r="M939">
        <v>0.74</v>
      </c>
      <c r="N939" t="s">
        <v>28</v>
      </c>
      <c r="O939" s="1">
        <v>45211</v>
      </c>
      <c r="R939" t="s">
        <v>296</v>
      </c>
      <c r="S939" t="s">
        <v>915</v>
      </c>
      <c r="T939" s="6" t="s">
        <v>948</v>
      </c>
      <c r="U939" s="6" t="s">
        <v>949</v>
      </c>
      <c r="V939" s="2" t="s">
        <v>952</v>
      </c>
      <c r="W939" t="str">
        <f t="shared" si="14"/>
        <v>2000057655_202110</v>
      </c>
      <c r="X939" s="2" t="s">
        <v>1615</v>
      </c>
    </row>
    <row r="940" spans="1:24" hidden="1" x14ac:dyDescent="0.35">
      <c r="B940">
        <v>2000057658</v>
      </c>
      <c r="C940" s="1">
        <v>44504</v>
      </c>
      <c r="D940" t="s">
        <v>2888</v>
      </c>
      <c r="F940" t="s">
        <v>39</v>
      </c>
      <c r="G940" t="s">
        <v>1606</v>
      </c>
      <c r="H940" t="s">
        <v>2889</v>
      </c>
      <c r="I940" t="s">
        <v>41</v>
      </c>
      <c r="J940">
        <v>0.88200000000000001</v>
      </c>
      <c r="K940">
        <v>3</v>
      </c>
      <c r="L940">
        <v>2</v>
      </c>
      <c r="M940">
        <v>0.87</v>
      </c>
      <c r="N940" t="s">
        <v>2310</v>
      </c>
      <c r="O940" s="1">
        <v>45234</v>
      </c>
      <c r="S940" t="s">
        <v>915</v>
      </c>
      <c r="T940" s="6" t="s">
        <v>945</v>
      </c>
      <c r="U940" s="6" t="s">
        <v>946</v>
      </c>
      <c r="V940" s="2" t="s">
        <v>952</v>
      </c>
      <c r="W940" t="str">
        <f t="shared" si="14"/>
        <v>2000057658_202111</v>
      </c>
      <c r="X940" s="2" t="s">
        <v>1616</v>
      </c>
    </row>
    <row r="941" spans="1:24" hidden="1" x14ac:dyDescent="0.35">
      <c r="B941">
        <v>2000057658</v>
      </c>
      <c r="C941" s="1">
        <v>45104</v>
      </c>
      <c r="D941" t="s">
        <v>2888</v>
      </c>
      <c r="F941" t="s">
        <v>39</v>
      </c>
      <c r="G941" t="s">
        <v>1606</v>
      </c>
      <c r="H941" t="s">
        <v>2890</v>
      </c>
      <c r="I941" t="s">
        <v>41</v>
      </c>
      <c r="J941">
        <v>0.90600000000000003</v>
      </c>
      <c r="K941">
        <v>3</v>
      </c>
      <c r="L941">
        <v>2</v>
      </c>
      <c r="M941">
        <v>0.87</v>
      </c>
      <c r="N941" t="s">
        <v>2314</v>
      </c>
      <c r="O941" s="1">
        <v>46200</v>
      </c>
      <c r="S941" t="s">
        <v>915</v>
      </c>
      <c r="T941" s="6" t="s">
        <v>927</v>
      </c>
      <c r="U941" s="6" t="s">
        <v>925</v>
      </c>
      <c r="V941" s="2" t="s">
        <v>955</v>
      </c>
      <c r="W941" t="str">
        <f t="shared" si="14"/>
        <v>2000057658_20236</v>
      </c>
      <c r="X941" s="2" t="s">
        <v>1616</v>
      </c>
    </row>
    <row r="942" spans="1:24" hidden="1" x14ac:dyDescent="0.35">
      <c r="A942">
        <v>77</v>
      </c>
      <c r="B942">
        <v>2000057664</v>
      </c>
      <c r="C942" s="1">
        <v>45217</v>
      </c>
      <c r="D942" t="s">
        <v>326</v>
      </c>
      <c r="E942" t="s">
        <v>18</v>
      </c>
      <c r="F942" t="s">
        <v>39</v>
      </c>
      <c r="G942" t="s">
        <v>20</v>
      </c>
      <c r="H942" t="s">
        <v>625</v>
      </c>
      <c r="I942" t="s">
        <v>41</v>
      </c>
      <c r="J942">
        <v>0.88900000000000001</v>
      </c>
      <c r="K942">
        <v>3</v>
      </c>
      <c r="L942">
        <v>1</v>
      </c>
      <c r="M942">
        <v>0.92</v>
      </c>
      <c r="N942" t="s">
        <v>28</v>
      </c>
      <c r="O942" s="1">
        <v>45948</v>
      </c>
      <c r="S942" t="s">
        <v>915</v>
      </c>
      <c r="T942" s="6" t="s">
        <v>948</v>
      </c>
      <c r="U942" s="6" t="s">
        <v>930</v>
      </c>
      <c r="V942" s="2" t="s">
        <v>955</v>
      </c>
      <c r="W942" t="str">
        <f t="shared" si="14"/>
        <v>2000057664_202310</v>
      </c>
      <c r="X942" s="2" t="s">
        <v>1615</v>
      </c>
    </row>
    <row r="943" spans="1:24" hidden="1" x14ac:dyDescent="0.35">
      <c r="A943">
        <v>90</v>
      </c>
      <c r="B943">
        <v>2000057664</v>
      </c>
      <c r="C943" s="1">
        <v>44495</v>
      </c>
      <c r="D943" t="s">
        <v>326</v>
      </c>
      <c r="E943" t="s">
        <v>18</v>
      </c>
      <c r="F943" t="s">
        <v>39</v>
      </c>
      <c r="G943" t="s">
        <v>20</v>
      </c>
      <c r="H943" t="s">
        <v>327</v>
      </c>
      <c r="I943" t="s">
        <v>41</v>
      </c>
      <c r="J943">
        <v>0.83299999999999996</v>
      </c>
      <c r="K943">
        <v>2.7</v>
      </c>
      <c r="L943">
        <v>4</v>
      </c>
      <c r="M943">
        <v>0.79</v>
      </c>
      <c r="N943" t="s">
        <v>28</v>
      </c>
      <c r="O943" s="1">
        <v>45225</v>
      </c>
      <c r="S943" t="s">
        <v>915</v>
      </c>
      <c r="T943" s="6" t="s">
        <v>948</v>
      </c>
      <c r="U943" s="6" t="s">
        <v>924</v>
      </c>
      <c r="V943" s="2" t="s">
        <v>952</v>
      </c>
      <c r="W943" t="str">
        <f t="shared" si="14"/>
        <v>2000057664_202110</v>
      </c>
      <c r="X943" s="2" t="s">
        <v>1615</v>
      </c>
    </row>
    <row r="944" spans="1:24" hidden="1" x14ac:dyDescent="0.35">
      <c r="B944">
        <v>2000057669</v>
      </c>
      <c r="C944" s="1">
        <v>43663</v>
      </c>
      <c r="D944" t="s">
        <v>2898</v>
      </c>
      <c r="F944" t="s">
        <v>43</v>
      </c>
      <c r="G944" t="s">
        <v>1606</v>
      </c>
      <c r="H944" t="s">
        <v>2899</v>
      </c>
      <c r="I944" t="s">
        <v>41</v>
      </c>
      <c r="J944">
        <v>0.878</v>
      </c>
      <c r="K944">
        <v>2.4</v>
      </c>
      <c r="L944">
        <v>7</v>
      </c>
      <c r="N944" t="s">
        <v>2310</v>
      </c>
      <c r="O944" s="1">
        <v>44394</v>
      </c>
      <c r="S944" t="s">
        <v>915</v>
      </c>
      <c r="T944" s="6" t="s">
        <v>936</v>
      </c>
      <c r="U944" s="6" t="s">
        <v>929</v>
      </c>
      <c r="V944" s="2" t="s">
        <v>1618</v>
      </c>
      <c r="W944" t="str">
        <f t="shared" si="14"/>
        <v>2000057669_20197</v>
      </c>
      <c r="X944" s="2" t="s">
        <v>1616</v>
      </c>
    </row>
    <row r="945" spans="1:24" hidden="1" x14ac:dyDescent="0.35">
      <c r="B945">
        <v>2000057669</v>
      </c>
      <c r="C945" s="1">
        <v>44392</v>
      </c>
      <c r="D945" t="s">
        <v>2898</v>
      </c>
      <c r="F945" t="s">
        <v>43</v>
      </c>
      <c r="G945" t="s">
        <v>1606</v>
      </c>
      <c r="H945" t="s">
        <v>2900</v>
      </c>
      <c r="I945" t="s">
        <v>41</v>
      </c>
      <c r="J945">
        <v>0.85699999999999998</v>
      </c>
      <c r="K945">
        <v>3</v>
      </c>
      <c r="L945">
        <v>3</v>
      </c>
      <c r="M945">
        <v>0.94</v>
      </c>
      <c r="N945" t="s">
        <v>2310</v>
      </c>
      <c r="O945" s="1">
        <v>45122</v>
      </c>
      <c r="S945" t="s">
        <v>915</v>
      </c>
      <c r="T945" s="6" t="s">
        <v>936</v>
      </c>
      <c r="U945" s="6" t="s">
        <v>943</v>
      </c>
      <c r="V945" s="2" t="s">
        <v>952</v>
      </c>
      <c r="W945" t="str">
        <f t="shared" si="14"/>
        <v>2000057669_20217</v>
      </c>
      <c r="X945" s="2" t="s">
        <v>1616</v>
      </c>
    </row>
    <row r="946" spans="1:24" hidden="1" x14ac:dyDescent="0.35">
      <c r="B946">
        <v>2000057669</v>
      </c>
      <c r="C946" s="1">
        <v>45103</v>
      </c>
      <c r="D946" t="s">
        <v>2898</v>
      </c>
      <c r="F946" t="s">
        <v>43</v>
      </c>
      <c r="G946" t="s">
        <v>1606</v>
      </c>
      <c r="H946" t="s">
        <v>2901</v>
      </c>
      <c r="I946" t="s">
        <v>41</v>
      </c>
      <c r="J946">
        <v>0.94799999999999995</v>
      </c>
      <c r="K946">
        <v>3</v>
      </c>
      <c r="L946">
        <v>0</v>
      </c>
      <c r="M946">
        <v>0.85</v>
      </c>
      <c r="N946" t="s">
        <v>2314</v>
      </c>
      <c r="O946" s="1">
        <v>46199</v>
      </c>
      <c r="S946" t="s">
        <v>915</v>
      </c>
      <c r="T946" s="6" t="s">
        <v>927</v>
      </c>
      <c r="U946" s="6" t="s">
        <v>924</v>
      </c>
      <c r="V946" s="2" t="s">
        <v>955</v>
      </c>
      <c r="W946" t="str">
        <f t="shared" si="14"/>
        <v>2000057669_20236</v>
      </c>
      <c r="X946" s="2" t="s">
        <v>1616</v>
      </c>
    </row>
    <row r="947" spans="1:24" hidden="1" x14ac:dyDescent="0.35">
      <c r="A947">
        <v>7</v>
      </c>
      <c r="B947">
        <v>2000057670</v>
      </c>
      <c r="C947" s="1">
        <v>45366</v>
      </c>
      <c r="D947" t="s">
        <v>1653</v>
      </c>
      <c r="E947" t="s">
        <v>18</v>
      </c>
      <c r="F947" t="s">
        <v>43</v>
      </c>
      <c r="G947" t="s">
        <v>1606</v>
      </c>
      <c r="H947" t="s">
        <v>1654</v>
      </c>
      <c r="I947" t="s">
        <v>22</v>
      </c>
      <c r="J947">
        <v>0.98499999999999999</v>
      </c>
      <c r="M947">
        <v>0.95</v>
      </c>
      <c r="N947" t="s">
        <v>368</v>
      </c>
      <c r="O947" s="1">
        <v>45731</v>
      </c>
      <c r="R947" t="s">
        <v>1655</v>
      </c>
      <c r="S947" t="s">
        <v>915</v>
      </c>
      <c r="T947" s="5" t="s">
        <v>941</v>
      </c>
      <c r="U947" s="5" t="s">
        <v>943</v>
      </c>
      <c r="V947" t="s">
        <v>956</v>
      </c>
      <c r="W947" t="str">
        <f t="shared" si="14"/>
        <v>2000057670_20243</v>
      </c>
      <c r="X947" s="2" t="s">
        <v>1616</v>
      </c>
    </row>
    <row r="948" spans="1:24" hidden="1" x14ac:dyDescent="0.35">
      <c r="B948">
        <v>2000057670</v>
      </c>
      <c r="C948" s="1">
        <v>43705</v>
      </c>
      <c r="D948" t="s">
        <v>1653</v>
      </c>
      <c r="F948" t="s">
        <v>43</v>
      </c>
      <c r="G948" t="s">
        <v>2902</v>
      </c>
      <c r="H948" t="s">
        <v>2903</v>
      </c>
      <c r="I948" t="s">
        <v>22</v>
      </c>
      <c r="J948">
        <v>0.95199999999999996</v>
      </c>
      <c r="K948">
        <v>3</v>
      </c>
      <c r="L948">
        <v>2</v>
      </c>
      <c r="N948" t="s">
        <v>2310</v>
      </c>
      <c r="O948" s="1">
        <v>44436</v>
      </c>
      <c r="S948" t="s">
        <v>915</v>
      </c>
      <c r="T948" s="6" t="s">
        <v>940</v>
      </c>
      <c r="U948" s="6" t="s">
        <v>926</v>
      </c>
      <c r="V948" s="2" t="s">
        <v>1618</v>
      </c>
      <c r="W948" t="str">
        <f t="shared" si="14"/>
        <v>2000057670_20198</v>
      </c>
      <c r="X948" s="2" t="s">
        <v>1616</v>
      </c>
    </row>
    <row r="949" spans="1:24" hidden="1" x14ac:dyDescent="0.35">
      <c r="B949">
        <v>2000057670</v>
      </c>
      <c r="C949" s="1">
        <v>44494</v>
      </c>
      <c r="D949" t="s">
        <v>1653</v>
      </c>
      <c r="F949" t="s">
        <v>43</v>
      </c>
      <c r="G949" t="s">
        <v>1606</v>
      </c>
      <c r="H949" t="s">
        <v>2904</v>
      </c>
      <c r="I949" t="s">
        <v>22</v>
      </c>
      <c r="J949">
        <v>0.69399999999999995</v>
      </c>
      <c r="K949">
        <v>2.6</v>
      </c>
      <c r="L949">
        <v>7</v>
      </c>
      <c r="M949">
        <v>0.84</v>
      </c>
      <c r="N949" t="s">
        <v>2361</v>
      </c>
      <c r="O949" s="1">
        <v>44859</v>
      </c>
      <c r="S949" t="s">
        <v>915</v>
      </c>
      <c r="T949" s="6" t="s">
        <v>948</v>
      </c>
      <c r="U949" s="6" t="s">
        <v>922</v>
      </c>
      <c r="V949" s="2" t="s">
        <v>952</v>
      </c>
      <c r="W949" t="str">
        <f t="shared" si="14"/>
        <v>2000057670_202110</v>
      </c>
      <c r="X949" s="2" t="s">
        <v>1616</v>
      </c>
    </row>
    <row r="950" spans="1:24" hidden="1" x14ac:dyDescent="0.35">
      <c r="B950">
        <v>2000057670</v>
      </c>
      <c r="C950" s="1">
        <v>44777</v>
      </c>
      <c r="D950" t="s">
        <v>1653</v>
      </c>
      <c r="F950" t="s">
        <v>43</v>
      </c>
      <c r="G950" t="s">
        <v>1606</v>
      </c>
      <c r="H950" t="s">
        <v>1654</v>
      </c>
      <c r="I950" t="s">
        <v>41</v>
      </c>
      <c r="J950">
        <v>1</v>
      </c>
      <c r="K950">
        <v>3</v>
      </c>
      <c r="L950">
        <v>0</v>
      </c>
      <c r="M950">
        <v>0.96</v>
      </c>
      <c r="N950" t="s">
        <v>2314</v>
      </c>
      <c r="O950" s="1">
        <v>45873</v>
      </c>
      <c r="S950" t="s">
        <v>915</v>
      </c>
      <c r="T950" s="6" t="s">
        <v>940</v>
      </c>
      <c r="U950" s="6" t="s">
        <v>946</v>
      </c>
      <c r="V950" s="2" t="s">
        <v>954</v>
      </c>
      <c r="W950" t="str">
        <f t="shared" si="14"/>
        <v>2000057670_20228</v>
      </c>
      <c r="X950" s="2" t="s">
        <v>1616</v>
      </c>
    </row>
    <row r="951" spans="1:24" hidden="1" x14ac:dyDescent="0.35">
      <c r="A951">
        <v>39</v>
      </c>
      <c r="B951">
        <v>2000057884</v>
      </c>
      <c r="C951" s="1">
        <v>45744</v>
      </c>
      <c r="D951" t="s">
        <v>3661</v>
      </c>
      <c r="E951" t="s">
        <v>18</v>
      </c>
      <c r="F951" t="s">
        <v>19</v>
      </c>
      <c r="G951" t="s">
        <v>1606</v>
      </c>
      <c r="H951" t="s">
        <v>3662</v>
      </c>
      <c r="I951" t="s">
        <v>22</v>
      </c>
      <c r="J951">
        <v>1</v>
      </c>
      <c r="K951" t="s">
        <v>3660</v>
      </c>
      <c r="L951">
        <v>0</v>
      </c>
      <c r="M951">
        <v>0.93</v>
      </c>
      <c r="N951" t="s">
        <v>2314</v>
      </c>
      <c r="O951" s="1">
        <v>46840</v>
      </c>
      <c r="P951" t="s">
        <v>3692</v>
      </c>
      <c r="Q951" t="s">
        <v>30</v>
      </c>
      <c r="R951" t="s">
        <v>3693</v>
      </c>
      <c r="S951" t="s">
        <v>915</v>
      </c>
      <c r="T951" s="6" t="s">
        <v>941</v>
      </c>
      <c r="U951" s="6" t="s">
        <v>926</v>
      </c>
      <c r="V951" s="2" t="s">
        <v>1650</v>
      </c>
      <c r="W951" t="str">
        <f t="shared" si="14"/>
        <v>2000057884_20253</v>
      </c>
      <c r="X951" t="s">
        <v>1616</v>
      </c>
    </row>
    <row r="952" spans="1:24" hidden="1" x14ac:dyDescent="0.35">
      <c r="A952">
        <v>21</v>
      </c>
      <c r="B952">
        <v>2000057671</v>
      </c>
      <c r="C952" s="1">
        <v>45392</v>
      </c>
      <c r="D952" t="s">
        <v>1690</v>
      </c>
      <c r="E952" t="s">
        <v>18</v>
      </c>
      <c r="F952" t="s">
        <v>43</v>
      </c>
      <c r="G952" t="s">
        <v>1606</v>
      </c>
      <c r="H952" t="s">
        <v>1691</v>
      </c>
      <c r="I952" t="s">
        <v>22</v>
      </c>
      <c r="J952">
        <v>0.91700000000000004</v>
      </c>
      <c r="K952">
        <v>2.8</v>
      </c>
      <c r="L952">
        <v>1</v>
      </c>
      <c r="M952">
        <v>0.91</v>
      </c>
      <c r="N952" t="s">
        <v>28</v>
      </c>
      <c r="O952" s="1">
        <v>45757</v>
      </c>
      <c r="R952" t="s">
        <v>1692</v>
      </c>
      <c r="S952" t="s">
        <v>915</v>
      </c>
      <c r="T952" s="5" t="s">
        <v>946</v>
      </c>
      <c r="U952" s="5" t="s">
        <v>948</v>
      </c>
      <c r="V952" t="s">
        <v>956</v>
      </c>
      <c r="W952" t="str">
        <f t="shared" si="14"/>
        <v>2000057671_20244</v>
      </c>
      <c r="X952" s="2" t="s">
        <v>1616</v>
      </c>
    </row>
    <row r="953" spans="1:24" hidden="1" x14ac:dyDescent="0.35">
      <c r="A953">
        <v>40</v>
      </c>
      <c r="B953">
        <v>2000063764</v>
      </c>
      <c r="C953" s="1">
        <v>45747</v>
      </c>
      <c r="D953" t="s">
        <v>3663</v>
      </c>
      <c r="E953" t="s">
        <v>18</v>
      </c>
      <c r="F953" t="s">
        <v>43</v>
      </c>
      <c r="G953" t="s">
        <v>1606</v>
      </c>
      <c r="H953" t="s">
        <v>3664</v>
      </c>
      <c r="I953" t="s">
        <v>41</v>
      </c>
      <c r="J953">
        <v>0.97</v>
      </c>
      <c r="K953" t="s">
        <v>3660</v>
      </c>
      <c r="L953">
        <v>2</v>
      </c>
      <c r="M953">
        <v>0.97</v>
      </c>
      <c r="N953" t="s">
        <v>2314</v>
      </c>
      <c r="O953" s="1">
        <v>46843</v>
      </c>
      <c r="R953" t="s">
        <v>1613</v>
      </c>
      <c r="S953" t="s">
        <v>915</v>
      </c>
      <c r="T953" s="6" t="s">
        <v>941</v>
      </c>
      <c r="U953" s="6" t="s">
        <v>939</v>
      </c>
      <c r="V953" s="2" t="s">
        <v>1650</v>
      </c>
      <c r="W953" t="str">
        <f t="shared" si="14"/>
        <v>2000063764_20253</v>
      </c>
      <c r="X953" t="s">
        <v>1616</v>
      </c>
    </row>
    <row r="954" spans="1:24" hidden="1" x14ac:dyDescent="0.35">
      <c r="A954">
        <v>54</v>
      </c>
      <c r="B954">
        <v>2000057677</v>
      </c>
      <c r="C954" s="1">
        <v>44431</v>
      </c>
      <c r="D954" t="s">
        <v>3889</v>
      </c>
      <c r="E954" t="s">
        <v>18</v>
      </c>
      <c r="F954" t="s">
        <v>39</v>
      </c>
      <c r="G954" t="s">
        <v>20</v>
      </c>
      <c r="H954" t="s">
        <v>254</v>
      </c>
      <c r="I954" t="s">
        <v>41</v>
      </c>
      <c r="J954">
        <v>0.81299999999999994</v>
      </c>
      <c r="K954">
        <v>2.7</v>
      </c>
      <c r="L954">
        <v>4</v>
      </c>
      <c r="M954">
        <v>0.97</v>
      </c>
      <c r="N954" t="s">
        <v>28</v>
      </c>
      <c r="O954" s="1">
        <v>45161</v>
      </c>
      <c r="S954" t="s">
        <v>915</v>
      </c>
      <c r="T954" s="6" t="s">
        <v>940</v>
      </c>
      <c r="U954" s="6" t="s">
        <v>934</v>
      </c>
      <c r="V954" s="2" t="s">
        <v>952</v>
      </c>
      <c r="W954" t="str">
        <f t="shared" si="14"/>
        <v>2000057677_20218</v>
      </c>
      <c r="X954" s="2" t="s">
        <v>1615</v>
      </c>
    </row>
    <row r="955" spans="1:24" hidden="1" x14ac:dyDescent="0.35">
      <c r="A955">
        <v>71</v>
      </c>
      <c r="B955">
        <v>2000057677</v>
      </c>
      <c r="C955" s="1">
        <v>45195</v>
      </c>
      <c r="D955" t="s">
        <v>3889</v>
      </c>
      <c r="E955" t="s">
        <v>18</v>
      </c>
      <c r="F955" t="s">
        <v>39</v>
      </c>
      <c r="G955" t="s">
        <v>20</v>
      </c>
      <c r="H955" t="s">
        <v>254</v>
      </c>
      <c r="I955" t="s">
        <v>41</v>
      </c>
      <c r="J955">
        <v>0.85299999999999998</v>
      </c>
      <c r="K955">
        <v>2.6</v>
      </c>
      <c r="L955">
        <v>5</v>
      </c>
      <c r="M955">
        <v>0.97</v>
      </c>
      <c r="N955" t="s">
        <v>28</v>
      </c>
      <c r="O955" s="1">
        <v>45926</v>
      </c>
      <c r="S955" t="s">
        <v>915</v>
      </c>
      <c r="T955" s="6" t="s">
        <v>942</v>
      </c>
      <c r="U955" s="6" t="s">
        <v>924</v>
      </c>
      <c r="V955" s="2" t="s">
        <v>955</v>
      </c>
      <c r="W955" t="str">
        <f t="shared" si="14"/>
        <v>2000057677_20239</v>
      </c>
      <c r="X955" s="2" t="s">
        <v>1615</v>
      </c>
    </row>
    <row r="956" spans="1:24" hidden="1" x14ac:dyDescent="0.35">
      <c r="B956">
        <v>2000057685</v>
      </c>
      <c r="C956" s="1">
        <v>44497</v>
      </c>
      <c r="D956" t="s">
        <v>2907</v>
      </c>
      <c r="F956" t="s">
        <v>39</v>
      </c>
      <c r="G956" t="s">
        <v>1606</v>
      </c>
      <c r="H956" t="s">
        <v>2908</v>
      </c>
      <c r="I956" t="s">
        <v>41</v>
      </c>
      <c r="J956">
        <v>0.95499999999999996</v>
      </c>
      <c r="K956">
        <v>3</v>
      </c>
      <c r="L956">
        <v>1</v>
      </c>
      <c r="M956">
        <v>0.83</v>
      </c>
      <c r="N956" t="s">
        <v>2314</v>
      </c>
      <c r="O956" s="1">
        <v>45593</v>
      </c>
      <c r="S956" t="s">
        <v>915</v>
      </c>
      <c r="T956" s="6" t="s">
        <v>948</v>
      </c>
      <c r="U956" s="6" t="s">
        <v>926</v>
      </c>
      <c r="V956" s="2" t="s">
        <v>952</v>
      </c>
      <c r="W956" t="str">
        <f t="shared" si="14"/>
        <v>2000057685_202110</v>
      </c>
      <c r="X956" s="2" t="s">
        <v>1616</v>
      </c>
    </row>
    <row r="957" spans="1:24" hidden="1" x14ac:dyDescent="0.35">
      <c r="A957">
        <v>131</v>
      </c>
      <c r="B957">
        <v>2000057685</v>
      </c>
      <c r="C957" s="1">
        <v>45574</v>
      </c>
      <c r="D957" t="s">
        <v>3233</v>
      </c>
      <c r="E957" t="s">
        <v>18</v>
      </c>
      <c r="F957" t="s">
        <v>39</v>
      </c>
      <c r="G957" t="s">
        <v>1606</v>
      </c>
      <c r="H957" t="s">
        <v>3234</v>
      </c>
      <c r="I957" t="s">
        <v>41</v>
      </c>
      <c r="J957">
        <v>1</v>
      </c>
      <c r="K957">
        <v>3</v>
      </c>
      <c r="L957">
        <v>0</v>
      </c>
      <c r="M957">
        <v>0.8</v>
      </c>
      <c r="N957" t="s">
        <v>368</v>
      </c>
      <c r="O957" s="1">
        <v>46669</v>
      </c>
      <c r="S957" t="s">
        <v>915</v>
      </c>
      <c r="T957" s="5" t="s">
        <v>948</v>
      </c>
      <c r="U957" s="5" t="s">
        <v>942</v>
      </c>
      <c r="V957" t="s">
        <v>956</v>
      </c>
      <c r="W957" t="str">
        <f t="shared" si="14"/>
        <v>2000057685_202410</v>
      </c>
      <c r="X957" t="s">
        <v>1616</v>
      </c>
    </row>
    <row r="958" spans="1:24" hidden="1" x14ac:dyDescent="0.35">
      <c r="A958">
        <v>91</v>
      </c>
      <c r="B958">
        <v>2000057689</v>
      </c>
      <c r="C958" s="1">
        <v>44495</v>
      </c>
      <c r="D958" t="s">
        <v>328</v>
      </c>
      <c r="E958" t="s">
        <v>18</v>
      </c>
      <c r="F958" t="s">
        <v>32</v>
      </c>
      <c r="G958" t="s">
        <v>20</v>
      </c>
      <c r="H958" t="s">
        <v>329</v>
      </c>
      <c r="I958" t="s">
        <v>41</v>
      </c>
      <c r="J958">
        <v>0.78600000000000003</v>
      </c>
      <c r="K958">
        <v>2</v>
      </c>
      <c r="L958">
        <v>6</v>
      </c>
      <c r="M958">
        <v>0.98</v>
      </c>
      <c r="N958" t="s">
        <v>23</v>
      </c>
      <c r="O958" s="1">
        <v>44860</v>
      </c>
      <c r="S958" t="s">
        <v>915</v>
      </c>
      <c r="T958" s="6" t="s">
        <v>948</v>
      </c>
      <c r="U958" s="6" t="s">
        <v>924</v>
      </c>
      <c r="V958" s="2" t="s">
        <v>952</v>
      </c>
      <c r="W958" t="str">
        <f t="shared" si="14"/>
        <v>2000057689_202110</v>
      </c>
      <c r="X958" s="2" t="s">
        <v>1615</v>
      </c>
    </row>
    <row r="959" spans="1:24" hidden="1" x14ac:dyDescent="0.35">
      <c r="A959">
        <v>106</v>
      </c>
      <c r="B959">
        <v>2000057689</v>
      </c>
      <c r="C959" s="1">
        <v>44853</v>
      </c>
      <c r="D959" t="s">
        <v>328</v>
      </c>
      <c r="E959" t="s">
        <v>18</v>
      </c>
      <c r="F959" t="s">
        <v>39</v>
      </c>
      <c r="G959" t="s">
        <v>20</v>
      </c>
      <c r="H959" t="s">
        <v>524</v>
      </c>
      <c r="I959" t="s">
        <v>41</v>
      </c>
      <c r="J959">
        <v>0.87</v>
      </c>
      <c r="K959">
        <v>2.6</v>
      </c>
      <c r="L959">
        <v>3</v>
      </c>
      <c r="M959">
        <v>0.97</v>
      </c>
      <c r="N959" t="s">
        <v>28</v>
      </c>
      <c r="O959" s="1">
        <v>45584</v>
      </c>
      <c r="S959" t="s">
        <v>915</v>
      </c>
      <c r="T959" s="6" t="s">
        <v>948</v>
      </c>
      <c r="U959" s="6" t="s">
        <v>931</v>
      </c>
      <c r="V959" s="2" t="s">
        <v>954</v>
      </c>
      <c r="W959" t="str">
        <f t="shared" si="14"/>
        <v>2000057689_202210</v>
      </c>
      <c r="X959" s="2" t="s">
        <v>1615</v>
      </c>
    </row>
    <row r="960" spans="1:24" hidden="1" x14ac:dyDescent="0.35">
      <c r="A960">
        <v>78</v>
      </c>
      <c r="B960">
        <v>2000057689</v>
      </c>
      <c r="C960" s="1">
        <v>45588</v>
      </c>
      <c r="D960" t="s">
        <v>328</v>
      </c>
      <c r="E960" t="s">
        <v>18</v>
      </c>
      <c r="F960" t="s">
        <v>32</v>
      </c>
      <c r="G960" t="s">
        <v>20</v>
      </c>
      <c r="H960" t="s">
        <v>2302</v>
      </c>
      <c r="I960" t="s">
        <v>41</v>
      </c>
      <c r="J960">
        <v>0.85699999999999998</v>
      </c>
      <c r="K960">
        <v>2.7</v>
      </c>
      <c r="L960">
        <v>2</v>
      </c>
      <c r="M960">
        <v>0.87</v>
      </c>
      <c r="N960" t="s">
        <v>28</v>
      </c>
      <c r="O960" s="1">
        <v>46318</v>
      </c>
      <c r="S960" t="s">
        <v>915</v>
      </c>
      <c r="T960" s="6" t="s">
        <v>948</v>
      </c>
      <c r="U960" s="6" t="s">
        <v>934</v>
      </c>
      <c r="V960" s="2" t="s">
        <v>956</v>
      </c>
      <c r="W960" t="str">
        <f t="shared" si="14"/>
        <v>2000057689_202410</v>
      </c>
      <c r="X960" s="2" t="s">
        <v>1615</v>
      </c>
    </row>
    <row r="961" spans="1:24" hidden="1" x14ac:dyDescent="0.35">
      <c r="A961">
        <v>37</v>
      </c>
      <c r="B961">
        <v>2000057690</v>
      </c>
      <c r="C961" s="1">
        <v>45446</v>
      </c>
      <c r="D961" t="s">
        <v>81</v>
      </c>
      <c r="E961" t="s">
        <v>18</v>
      </c>
      <c r="F961" t="s">
        <v>19</v>
      </c>
      <c r="G961" t="s">
        <v>82</v>
      </c>
      <c r="H961" t="s">
        <v>709</v>
      </c>
      <c r="I961" t="s">
        <v>22</v>
      </c>
      <c r="J961">
        <v>1</v>
      </c>
      <c r="K961">
        <v>3</v>
      </c>
      <c r="L961">
        <v>1</v>
      </c>
      <c r="M961">
        <v>0.98</v>
      </c>
      <c r="N961" t="s">
        <v>368</v>
      </c>
      <c r="O961" s="1">
        <v>46541</v>
      </c>
      <c r="P961" t="s">
        <v>710</v>
      </c>
      <c r="Q961" t="s">
        <v>711</v>
      </c>
      <c r="S961" t="s">
        <v>915</v>
      </c>
      <c r="T961" s="6" t="s">
        <v>927</v>
      </c>
      <c r="U961" s="6" t="s">
        <v>941</v>
      </c>
      <c r="V961" s="2" t="s">
        <v>956</v>
      </c>
      <c r="W961" t="str">
        <f t="shared" si="14"/>
        <v>2000057690_20246</v>
      </c>
      <c r="X961" s="2" t="s">
        <v>1615</v>
      </c>
    </row>
    <row r="962" spans="1:24" hidden="1" x14ac:dyDescent="0.35">
      <c r="A962">
        <v>24</v>
      </c>
      <c r="B962">
        <v>2000057690</v>
      </c>
      <c r="C962" s="1">
        <v>44042</v>
      </c>
      <c r="D962" t="s">
        <v>81</v>
      </c>
      <c r="E962" t="s">
        <v>18</v>
      </c>
      <c r="F962" t="s">
        <v>19</v>
      </c>
      <c r="G962" t="s">
        <v>82</v>
      </c>
      <c r="H962" t="s">
        <v>83</v>
      </c>
      <c r="I962" t="s">
        <v>22</v>
      </c>
      <c r="J962">
        <v>0.96799999999999997</v>
      </c>
      <c r="K962">
        <v>3</v>
      </c>
      <c r="L962">
        <v>2</v>
      </c>
      <c r="M962">
        <v>0.83120000000000005</v>
      </c>
      <c r="N962" t="s">
        <v>28</v>
      </c>
      <c r="O962" s="1">
        <v>44772</v>
      </c>
      <c r="S962" t="s">
        <v>915</v>
      </c>
      <c r="T962" s="6" t="s">
        <v>936</v>
      </c>
      <c r="U962" s="6" t="s">
        <v>938</v>
      </c>
      <c r="V962" s="2" t="s">
        <v>923</v>
      </c>
      <c r="W962" t="str">
        <f t="shared" ref="W962:W1025" si="15">CONCATENATE(B962,"_",V962,T962)</f>
        <v>2000057690_20207</v>
      </c>
      <c r="X962" s="2" t="s">
        <v>1615</v>
      </c>
    </row>
    <row r="963" spans="1:24" hidden="1" x14ac:dyDescent="0.35">
      <c r="A963">
        <v>56</v>
      </c>
      <c r="B963">
        <v>2000057690</v>
      </c>
      <c r="C963" s="1">
        <v>44718</v>
      </c>
      <c r="D963" t="s">
        <v>81</v>
      </c>
      <c r="E963" t="s">
        <v>18</v>
      </c>
      <c r="F963" t="s">
        <v>19</v>
      </c>
      <c r="G963" t="s">
        <v>82</v>
      </c>
      <c r="H963" t="s">
        <v>454</v>
      </c>
      <c r="I963" t="s">
        <v>22</v>
      </c>
      <c r="J963">
        <v>0.80600000000000005</v>
      </c>
      <c r="K963">
        <v>3</v>
      </c>
      <c r="L963">
        <v>3</v>
      </c>
      <c r="M963">
        <v>0.96</v>
      </c>
      <c r="N963" t="s">
        <v>28</v>
      </c>
      <c r="O963" s="1">
        <v>45449</v>
      </c>
      <c r="Q963" t="s">
        <v>455</v>
      </c>
      <c r="S963" t="s">
        <v>915</v>
      </c>
      <c r="T963" s="6" t="s">
        <v>927</v>
      </c>
      <c r="U963" s="6" t="s">
        <v>927</v>
      </c>
      <c r="V963" s="2" t="s">
        <v>954</v>
      </c>
      <c r="W963" t="str">
        <f t="shared" si="15"/>
        <v>2000057690_20226</v>
      </c>
      <c r="X963" s="2" t="s">
        <v>1615</v>
      </c>
    </row>
    <row r="964" spans="1:24" hidden="1" x14ac:dyDescent="0.35">
      <c r="B964">
        <v>2000057718</v>
      </c>
      <c r="C964" s="1">
        <v>44518</v>
      </c>
      <c r="D964" t="s">
        <v>2913</v>
      </c>
      <c r="F964" t="s">
        <v>39</v>
      </c>
      <c r="G964" t="s">
        <v>1606</v>
      </c>
      <c r="H964" t="s">
        <v>2914</v>
      </c>
      <c r="I964" t="s">
        <v>22</v>
      </c>
      <c r="J964">
        <v>0.70899999999999996</v>
      </c>
      <c r="K964">
        <v>2</v>
      </c>
      <c r="L964">
        <v>11</v>
      </c>
      <c r="M964">
        <v>0.81</v>
      </c>
      <c r="N964" t="s">
        <v>2361</v>
      </c>
      <c r="O964" s="1">
        <v>44883</v>
      </c>
      <c r="S964" t="s">
        <v>915</v>
      </c>
      <c r="T964" s="6" t="s">
        <v>945</v>
      </c>
      <c r="U964" s="6" t="s">
        <v>930</v>
      </c>
      <c r="V964" s="2" t="s">
        <v>952</v>
      </c>
      <c r="W964" t="str">
        <f t="shared" si="15"/>
        <v>2000057718_202111</v>
      </c>
      <c r="X964" s="2" t="s">
        <v>1616</v>
      </c>
    </row>
    <row r="965" spans="1:24" hidden="1" x14ac:dyDescent="0.35">
      <c r="B965">
        <v>2000057718</v>
      </c>
      <c r="C965" s="1">
        <v>45176</v>
      </c>
      <c r="D965" t="s">
        <v>2913</v>
      </c>
      <c r="F965" t="s">
        <v>39</v>
      </c>
      <c r="G965" t="s">
        <v>1606</v>
      </c>
      <c r="H965" t="s">
        <v>2915</v>
      </c>
      <c r="I965" t="s">
        <v>41</v>
      </c>
      <c r="J965">
        <v>0.80400000000000005</v>
      </c>
      <c r="K965">
        <v>2.7</v>
      </c>
      <c r="M965">
        <v>0.83</v>
      </c>
      <c r="N965" t="s">
        <v>2310</v>
      </c>
      <c r="O965" s="1">
        <v>45907</v>
      </c>
      <c r="S965" t="s">
        <v>915</v>
      </c>
      <c r="T965" s="6" t="s">
        <v>942</v>
      </c>
      <c r="U965" s="6" t="s">
        <v>936</v>
      </c>
      <c r="V965" s="2" t="s">
        <v>955</v>
      </c>
      <c r="W965" t="str">
        <f t="shared" si="15"/>
        <v>2000057718_20239</v>
      </c>
      <c r="X965" s="2" t="s">
        <v>1616</v>
      </c>
    </row>
    <row r="966" spans="1:24" hidden="1" x14ac:dyDescent="0.35">
      <c r="A966">
        <v>41</v>
      </c>
      <c r="B966">
        <v>2000058649</v>
      </c>
      <c r="C966" s="1">
        <v>45748</v>
      </c>
      <c r="D966" t="s">
        <v>3139</v>
      </c>
      <c r="E966" t="s">
        <v>18</v>
      </c>
      <c r="F966" t="s">
        <v>43</v>
      </c>
      <c r="G966" t="s">
        <v>1687</v>
      </c>
      <c r="H966" t="s">
        <v>3140</v>
      </c>
      <c r="I966" t="s">
        <v>22</v>
      </c>
      <c r="J966" t="s">
        <v>3665</v>
      </c>
      <c r="K966" t="s">
        <v>3660</v>
      </c>
      <c r="L966">
        <v>0</v>
      </c>
      <c r="M966">
        <v>0.98</v>
      </c>
      <c r="N966" t="s">
        <v>2314</v>
      </c>
      <c r="O966" s="1">
        <v>46844</v>
      </c>
      <c r="R966" t="s">
        <v>1613</v>
      </c>
      <c r="S966" t="s">
        <v>915</v>
      </c>
      <c r="T966" s="6" t="s">
        <v>946</v>
      </c>
      <c r="U966" s="6" t="s">
        <v>953</v>
      </c>
      <c r="V966" s="2" t="s">
        <v>1650</v>
      </c>
      <c r="W966" t="str">
        <f t="shared" si="15"/>
        <v>2000058649_20254</v>
      </c>
      <c r="X966" t="s">
        <v>1616</v>
      </c>
    </row>
    <row r="967" spans="1:24" hidden="1" x14ac:dyDescent="0.35">
      <c r="B967">
        <v>2000057722</v>
      </c>
      <c r="C967" s="1">
        <v>44518</v>
      </c>
      <c r="D967" t="s">
        <v>2916</v>
      </c>
      <c r="F967" t="s">
        <v>39</v>
      </c>
      <c r="G967" t="s">
        <v>1606</v>
      </c>
      <c r="H967" t="s">
        <v>2917</v>
      </c>
      <c r="I967" t="s">
        <v>41</v>
      </c>
      <c r="J967">
        <v>0.875</v>
      </c>
      <c r="K967">
        <v>3</v>
      </c>
      <c r="L967">
        <v>3</v>
      </c>
      <c r="M967">
        <v>0.86</v>
      </c>
      <c r="N967" t="s">
        <v>2310</v>
      </c>
      <c r="O967" s="1">
        <v>45248</v>
      </c>
      <c r="S967" t="s">
        <v>915</v>
      </c>
      <c r="T967" s="6" t="s">
        <v>945</v>
      </c>
      <c r="U967" s="6" t="s">
        <v>930</v>
      </c>
      <c r="V967" s="2" t="s">
        <v>952</v>
      </c>
      <c r="W967" t="str">
        <f t="shared" si="15"/>
        <v>2000057722_202111</v>
      </c>
      <c r="X967" s="2" t="s">
        <v>1616</v>
      </c>
    </row>
    <row r="968" spans="1:24" hidden="1" x14ac:dyDescent="0.35">
      <c r="B968">
        <v>2000057722</v>
      </c>
      <c r="C968" s="1">
        <v>45113</v>
      </c>
      <c r="D968" t="s">
        <v>2916</v>
      </c>
      <c r="F968" t="s">
        <v>39</v>
      </c>
      <c r="G968" t="s">
        <v>1606</v>
      </c>
      <c r="H968" t="s">
        <v>2918</v>
      </c>
      <c r="I968" t="s">
        <v>41</v>
      </c>
      <c r="J968">
        <v>0.9</v>
      </c>
      <c r="K968">
        <v>3</v>
      </c>
      <c r="L968">
        <v>2</v>
      </c>
      <c r="M968">
        <v>0.9</v>
      </c>
      <c r="N968" t="s">
        <v>2314</v>
      </c>
      <c r="O968" s="1">
        <v>46209</v>
      </c>
      <c r="S968" t="s">
        <v>915</v>
      </c>
      <c r="T968" s="6" t="s">
        <v>936</v>
      </c>
      <c r="U968" s="6" t="s">
        <v>927</v>
      </c>
      <c r="V968" s="2" t="s">
        <v>955</v>
      </c>
      <c r="W968" t="str">
        <f t="shared" si="15"/>
        <v>2000057722_20237</v>
      </c>
      <c r="X968" s="2" t="s">
        <v>1616</v>
      </c>
    </row>
    <row r="969" spans="1:24" hidden="1" x14ac:dyDescent="0.35">
      <c r="B969">
        <v>2000057730</v>
      </c>
      <c r="C969" s="1">
        <v>44860</v>
      </c>
      <c r="D969" t="s">
        <v>2919</v>
      </c>
      <c r="F969" t="s">
        <v>1859</v>
      </c>
      <c r="G969" t="s">
        <v>1606</v>
      </c>
      <c r="H969" t="s">
        <v>2920</v>
      </c>
      <c r="I969" t="s">
        <v>41</v>
      </c>
      <c r="J969">
        <v>1</v>
      </c>
      <c r="K969">
        <v>3</v>
      </c>
      <c r="L969">
        <v>0</v>
      </c>
      <c r="M969">
        <v>0.91</v>
      </c>
      <c r="N969" t="s">
        <v>2314</v>
      </c>
      <c r="O969" s="1">
        <v>45956</v>
      </c>
      <c r="S969" t="s">
        <v>915</v>
      </c>
      <c r="T969" s="6" t="s">
        <v>948</v>
      </c>
      <c r="U969" s="6" t="s">
        <v>924</v>
      </c>
      <c r="V969" s="2" t="s">
        <v>954</v>
      </c>
      <c r="W969" t="str">
        <f t="shared" si="15"/>
        <v>2000057730_202210</v>
      </c>
      <c r="X969" s="2" t="s">
        <v>1616</v>
      </c>
    </row>
    <row r="970" spans="1:24" hidden="1" x14ac:dyDescent="0.35">
      <c r="B970">
        <v>2000057742</v>
      </c>
      <c r="C970" s="1">
        <v>43893</v>
      </c>
      <c r="D970" t="s">
        <v>2924</v>
      </c>
      <c r="F970" t="s">
        <v>32</v>
      </c>
      <c r="G970" t="s">
        <v>1603</v>
      </c>
      <c r="H970" t="s">
        <v>2925</v>
      </c>
      <c r="I970" t="s">
        <v>41</v>
      </c>
      <c r="J970">
        <v>0.61760000000000004</v>
      </c>
      <c r="K970">
        <v>2.7</v>
      </c>
      <c r="L970">
        <v>7</v>
      </c>
      <c r="M970">
        <v>0.88600000000000001</v>
      </c>
      <c r="N970" t="s">
        <v>23</v>
      </c>
      <c r="O970" s="1">
        <v>44258</v>
      </c>
      <c r="S970" t="s">
        <v>915</v>
      </c>
      <c r="T970" s="6" t="s">
        <v>941</v>
      </c>
      <c r="U970" s="6" t="s">
        <v>941</v>
      </c>
      <c r="V970" s="2" t="s">
        <v>923</v>
      </c>
      <c r="W970" t="str">
        <f t="shared" si="15"/>
        <v>2000057742_20203</v>
      </c>
      <c r="X970" s="2" t="s">
        <v>1616</v>
      </c>
    </row>
    <row r="971" spans="1:24" hidden="1" x14ac:dyDescent="0.35">
      <c r="B971">
        <v>2000057742</v>
      </c>
      <c r="C971" s="1">
        <v>45034</v>
      </c>
      <c r="D971" t="s">
        <v>2924</v>
      </c>
      <c r="F971" t="s">
        <v>32</v>
      </c>
      <c r="G971" t="s">
        <v>1603</v>
      </c>
      <c r="H971" t="s">
        <v>2926</v>
      </c>
      <c r="I971" t="s">
        <v>41</v>
      </c>
      <c r="J971">
        <v>0.92900000000000005</v>
      </c>
      <c r="K971">
        <v>3</v>
      </c>
      <c r="L971">
        <v>0</v>
      </c>
      <c r="M971">
        <v>0.85</v>
      </c>
      <c r="N971" t="s">
        <v>2314</v>
      </c>
      <c r="O971" s="1">
        <v>46130</v>
      </c>
      <c r="S971" t="s">
        <v>915</v>
      </c>
      <c r="T971" s="6" t="s">
        <v>946</v>
      </c>
      <c r="U971" s="6" t="s">
        <v>930</v>
      </c>
      <c r="V971" s="2" t="s">
        <v>955</v>
      </c>
      <c r="W971" t="str">
        <f t="shared" si="15"/>
        <v>2000057742_20234</v>
      </c>
      <c r="X971" s="2" t="s">
        <v>1616</v>
      </c>
    </row>
    <row r="972" spans="1:24" hidden="1" x14ac:dyDescent="0.35">
      <c r="B972">
        <v>2000057753</v>
      </c>
      <c r="C972" s="1">
        <v>43628</v>
      </c>
      <c r="D972" t="s">
        <v>2929</v>
      </c>
      <c r="F972" t="s">
        <v>52</v>
      </c>
      <c r="G972" t="s">
        <v>2341</v>
      </c>
      <c r="H972" t="s">
        <v>2930</v>
      </c>
      <c r="I972" t="s">
        <v>41</v>
      </c>
      <c r="J972">
        <v>0.69199999999999995</v>
      </c>
      <c r="K972">
        <v>2</v>
      </c>
      <c r="L972">
        <v>10</v>
      </c>
      <c r="N972" t="s">
        <v>23</v>
      </c>
      <c r="O972" s="1">
        <v>43994</v>
      </c>
      <c r="S972" t="s">
        <v>915</v>
      </c>
      <c r="T972" s="6" t="s">
        <v>927</v>
      </c>
      <c r="U972" s="6" t="s">
        <v>949</v>
      </c>
      <c r="V972" s="2" t="s">
        <v>1618</v>
      </c>
      <c r="W972" t="str">
        <f t="shared" si="15"/>
        <v>2000057753_20196</v>
      </c>
      <c r="X972" s="2" t="s">
        <v>1616</v>
      </c>
    </row>
    <row r="973" spans="1:24" hidden="1" x14ac:dyDescent="0.35">
      <c r="B973">
        <v>2000057753</v>
      </c>
      <c r="C973" s="1">
        <v>43985</v>
      </c>
      <c r="D973" t="s">
        <v>2929</v>
      </c>
      <c r="F973" t="s">
        <v>52</v>
      </c>
      <c r="G973" t="s">
        <v>1606</v>
      </c>
      <c r="H973" t="s">
        <v>2931</v>
      </c>
      <c r="I973" t="s">
        <v>41</v>
      </c>
      <c r="J973">
        <v>0.83299999999999996</v>
      </c>
      <c r="K973">
        <v>3</v>
      </c>
      <c r="L973">
        <v>1</v>
      </c>
      <c r="M973">
        <v>0.86</v>
      </c>
      <c r="N973" t="s">
        <v>2310</v>
      </c>
      <c r="O973" s="1">
        <v>44715</v>
      </c>
      <c r="S973" t="s">
        <v>915</v>
      </c>
      <c r="T973" s="6" t="s">
        <v>927</v>
      </c>
      <c r="U973" s="6" t="s">
        <v>941</v>
      </c>
      <c r="V973" s="2" t="s">
        <v>923</v>
      </c>
      <c r="W973" t="str">
        <f t="shared" si="15"/>
        <v>2000057753_20206</v>
      </c>
      <c r="X973" s="2" t="s">
        <v>1616</v>
      </c>
    </row>
    <row r="974" spans="1:24" hidden="1" x14ac:dyDescent="0.35">
      <c r="B974">
        <v>2000057753</v>
      </c>
      <c r="C974" s="1">
        <v>44637</v>
      </c>
      <c r="D974" t="s">
        <v>2929</v>
      </c>
      <c r="F974" t="s">
        <v>39</v>
      </c>
      <c r="G974" t="s">
        <v>1606</v>
      </c>
      <c r="H974" t="s">
        <v>2932</v>
      </c>
      <c r="I974" t="s">
        <v>41</v>
      </c>
      <c r="J974">
        <v>0.93799999999999994</v>
      </c>
      <c r="K974">
        <v>3</v>
      </c>
      <c r="L974">
        <v>1</v>
      </c>
      <c r="M974">
        <v>0.84</v>
      </c>
      <c r="N974" t="s">
        <v>2314</v>
      </c>
      <c r="O974" s="1">
        <v>45733</v>
      </c>
      <c r="S974" t="s">
        <v>915</v>
      </c>
      <c r="T974" s="6" t="s">
        <v>941</v>
      </c>
      <c r="U974" s="6" t="s">
        <v>929</v>
      </c>
      <c r="V974" s="2" t="s">
        <v>954</v>
      </c>
      <c r="W974" t="str">
        <f t="shared" si="15"/>
        <v>2000057753_20223</v>
      </c>
      <c r="X974" s="2" t="s">
        <v>1616</v>
      </c>
    </row>
    <row r="975" spans="1:24" hidden="1" x14ac:dyDescent="0.35">
      <c r="A975">
        <v>42</v>
      </c>
      <c r="B975">
        <v>2000056438</v>
      </c>
      <c r="C975" s="1">
        <v>45749</v>
      </c>
      <c r="D975" t="s">
        <v>2641</v>
      </c>
      <c r="E975" t="s">
        <v>18</v>
      </c>
      <c r="F975" t="s">
        <v>19</v>
      </c>
      <c r="G975" t="s">
        <v>1820</v>
      </c>
      <c r="H975" t="s">
        <v>2643</v>
      </c>
      <c r="I975" t="s">
        <v>22</v>
      </c>
      <c r="J975" t="s">
        <v>3666</v>
      </c>
      <c r="K975" t="s">
        <v>3660</v>
      </c>
      <c r="L975">
        <v>2</v>
      </c>
      <c r="M975">
        <v>0.93</v>
      </c>
      <c r="N975" t="s">
        <v>2314</v>
      </c>
      <c r="O975" s="1">
        <v>46845</v>
      </c>
      <c r="P975" t="s">
        <v>3694</v>
      </c>
      <c r="Q975" t="s">
        <v>50</v>
      </c>
      <c r="R975" t="s">
        <v>1613</v>
      </c>
      <c r="S975" t="s">
        <v>915</v>
      </c>
      <c r="T975" s="6" t="s">
        <v>946</v>
      </c>
      <c r="U975" s="6" t="s">
        <v>921</v>
      </c>
      <c r="V975" s="2" t="s">
        <v>1650</v>
      </c>
      <c r="W975" t="str">
        <f t="shared" si="15"/>
        <v>2000056438_20254</v>
      </c>
      <c r="X975" t="s">
        <v>1616</v>
      </c>
    </row>
    <row r="976" spans="1:24" hidden="1" x14ac:dyDescent="0.35">
      <c r="A976">
        <v>43</v>
      </c>
      <c r="B976">
        <v>2000058316</v>
      </c>
      <c r="C976" s="1">
        <v>45749</v>
      </c>
      <c r="D976" t="s">
        <v>3069</v>
      </c>
      <c r="E976" t="s">
        <v>18</v>
      </c>
      <c r="F976" t="s">
        <v>43</v>
      </c>
      <c r="G976" t="s">
        <v>1817</v>
      </c>
      <c r="H976" t="s">
        <v>3667</v>
      </c>
      <c r="I976" t="s">
        <v>41</v>
      </c>
      <c r="J976" t="s">
        <v>3668</v>
      </c>
      <c r="K976" t="s">
        <v>3660</v>
      </c>
      <c r="L976">
        <v>3</v>
      </c>
      <c r="M976">
        <v>0.93</v>
      </c>
      <c r="N976" t="s">
        <v>2314</v>
      </c>
      <c r="O976" s="1">
        <v>46845</v>
      </c>
      <c r="R976" t="s">
        <v>1613</v>
      </c>
      <c r="S976" t="s">
        <v>915</v>
      </c>
      <c r="T976" s="6" t="s">
        <v>946</v>
      </c>
      <c r="U976" s="6" t="s">
        <v>921</v>
      </c>
      <c r="V976" s="2" t="s">
        <v>1650</v>
      </c>
      <c r="W976" t="str">
        <f t="shared" si="15"/>
        <v>2000058316_20254</v>
      </c>
      <c r="X976" t="s">
        <v>1616</v>
      </c>
    </row>
    <row r="977" spans="1:24" hidden="1" x14ac:dyDescent="0.35">
      <c r="A977">
        <v>82</v>
      </c>
      <c r="B977">
        <v>2000057770</v>
      </c>
      <c r="C977" s="1">
        <v>45490</v>
      </c>
      <c r="D977" t="s">
        <v>1841</v>
      </c>
      <c r="E977" t="s">
        <v>18</v>
      </c>
      <c r="F977" t="s">
        <v>19</v>
      </c>
      <c r="G977" t="s">
        <v>1606</v>
      </c>
      <c r="H977" t="s">
        <v>1842</v>
      </c>
      <c r="I977" t="s">
        <v>22</v>
      </c>
      <c r="J977">
        <v>0.92300000000000004</v>
      </c>
      <c r="K977">
        <v>3</v>
      </c>
      <c r="L977">
        <v>2</v>
      </c>
      <c r="M977">
        <v>0.91</v>
      </c>
      <c r="N977" t="s">
        <v>368</v>
      </c>
      <c r="O977" s="1">
        <v>46585</v>
      </c>
      <c r="Q977" t="s">
        <v>1843</v>
      </c>
      <c r="R977" t="s">
        <v>1613</v>
      </c>
      <c r="S977" t="s">
        <v>915</v>
      </c>
      <c r="T977" s="5" t="s">
        <v>936</v>
      </c>
      <c r="U977" s="5" t="s">
        <v>929</v>
      </c>
      <c r="V977" t="s">
        <v>956</v>
      </c>
      <c r="W977" t="str">
        <f t="shared" si="15"/>
        <v>2000057770_20247</v>
      </c>
      <c r="X977" s="2" t="s">
        <v>1616</v>
      </c>
    </row>
    <row r="978" spans="1:24" hidden="1" x14ac:dyDescent="0.35">
      <c r="B978">
        <v>2000057770</v>
      </c>
      <c r="C978" s="1">
        <v>44120</v>
      </c>
      <c r="D978" t="s">
        <v>1841</v>
      </c>
      <c r="F978" t="s">
        <v>19</v>
      </c>
      <c r="G978" t="s">
        <v>1606</v>
      </c>
      <c r="H978" t="s">
        <v>2933</v>
      </c>
      <c r="I978" t="s">
        <v>22</v>
      </c>
      <c r="J978">
        <v>0.84899999999999998</v>
      </c>
      <c r="K978">
        <v>2.6</v>
      </c>
      <c r="L978">
        <v>5</v>
      </c>
      <c r="M978">
        <v>0.78</v>
      </c>
      <c r="N978" t="s">
        <v>2310</v>
      </c>
      <c r="O978" s="1">
        <v>44850</v>
      </c>
      <c r="S978" t="s">
        <v>915</v>
      </c>
      <c r="T978" s="6" t="s">
        <v>948</v>
      </c>
      <c r="U978" s="6" t="s">
        <v>928</v>
      </c>
      <c r="V978" s="2" t="s">
        <v>923</v>
      </c>
      <c r="W978" t="str">
        <f t="shared" si="15"/>
        <v>2000057770_202010</v>
      </c>
      <c r="X978" s="2" t="s">
        <v>1616</v>
      </c>
    </row>
    <row r="979" spans="1:24" hidden="1" x14ac:dyDescent="0.35">
      <c r="B979">
        <v>2000057770</v>
      </c>
      <c r="C979" s="1">
        <v>44768</v>
      </c>
      <c r="D979" t="s">
        <v>1841</v>
      </c>
      <c r="F979" t="s">
        <v>19</v>
      </c>
      <c r="G979" t="s">
        <v>1606</v>
      </c>
      <c r="H979" t="s">
        <v>1842</v>
      </c>
      <c r="I979" t="s">
        <v>22</v>
      </c>
      <c r="J979">
        <v>0.85899999999999999</v>
      </c>
      <c r="K979">
        <v>3</v>
      </c>
      <c r="L979">
        <v>4</v>
      </c>
      <c r="M979">
        <v>0.9</v>
      </c>
      <c r="N979" t="s">
        <v>2310</v>
      </c>
      <c r="O979" s="1">
        <v>45499</v>
      </c>
      <c r="S979" t="s">
        <v>915</v>
      </c>
      <c r="T979" s="6" t="s">
        <v>936</v>
      </c>
      <c r="U979" s="6" t="s">
        <v>924</v>
      </c>
      <c r="V979" s="2" t="s">
        <v>954</v>
      </c>
      <c r="W979" t="str">
        <f t="shared" si="15"/>
        <v>2000057770_20227</v>
      </c>
      <c r="X979" s="2" t="s">
        <v>1616</v>
      </c>
    </row>
    <row r="980" spans="1:24" hidden="1" x14ac:dyDescent="0.35">
      <c r="B980">
        <v>2000057783</v>
      </c>
      <c r="C980" s="1">
        <v>44719</v>
      </c>
      <c r="D980" t="s">
        <v>2934</v>
      </c>
      <c r="F980" t="s">
        <v>148</v>
      </c>
      <c r="G980" t="s">
        <v>1603</v>
      </c>
      <c r="H980" t="s">
        <v>2935</v>
      </c>
      <c r="I980" t="s">
        <v>148</v>
      </c>
      <c r="J980">
        <v>0.9</v>
      </c>
      <c r="K980">
        <v>3</v>
      </c>
      <c r="L980">
        <v>1</v>
      </c>
      <c r="M980">
        <v>0.72</v>
      </c>
      <c r="N980" t="s">
        <v>2314</v>
      </c>
      <c r="O980" s="1">
        <v>45815</v>
      </c>
      <c r="S980" t="s">
        <v>915</v>
      </c>
      <c r="T980" s="6" t="s">
        <v>927</v>
      </c>
      <c r="U980" s="6" t="s">
        <v>936</v>
      </c>
      <c r="V980" s="2" t="s">
        <v>954</v>
      </c>
      <c r="W980" t="str">
        <f t="shared" si="15"/>
        <v>2000057783_20226</v>
      </c>
      <c r="X980" s="2" t="s">
        <v>1616</v>
      </c>
    </row>
    <row r="981" spans="1:24" hidden="1" x14ac:dyDescent="0.35">
      <c r="A981">
        <v>44</v>
      </c>
      <c r="B981">
        <v>2000067633</v>
      </c>
      <c r="C981" s="1">
        <v>45750</v>
      </c>
      <c r="D981" t="s">
        <v>3669</v>
      </c>
      <c r="E981" t="s">
        <v>18</v>
      </c>
      <c r="F981" t="s">
        <v>43</v>
      </c>
      <c r="G981" t="s">
        <v>1720</v>
      </c>
      <c r="H981" t="s">
        <v>3670</v>
      </c>
      <c r="I981" t="s">
        <v>22</v>
      </c>
      <c r="J981" t="s">
        <v>3671</v>
      </c>
      <c r="K981" t="s">
        <v>3660</v>
      </c>
      <c r="L981">
        <v>2</v>
      </c>
      <c r="M981">
        <v>0.94</v>
      </c>
      <c r="N981" t="s">
        <v>2314</v>
      </c>
      <c r="O981" s="1">
        <v>46846</v>
      </c>
      <c r="P981" t="s">
        <v>3695</v>
      </c>
      <c r="S981" t="s">
        <v>915</v>
      </c>
      <c r="T981" s="6" t="s">
        <v>946</v>
      </c>
      <c r="U981" s="6" t="s">
        <v>941</v>
      </c>
      <c r="V981" s="2" t="s">
        <v>1650</v>
      </c>
      <c r="W981" t="str">
        <f t="shared" si="15"/>
        <v>2000067633_20254</v>
      </c>
      <c r="X981" t="s">
        <v>1616</v>
      </c>
    </row>
    <row r="982" spans="1:24" hidden="1" x14ac:dyDescent="0.35">
      <c r="B982">
        <v>2000057789</v>
      </c>
      <c r="C982" s="1">
        <v>43892</v>
      </c>
      <c r="D982" t="s">
        <v>2936</v>
      </c>
      <c r="F982" t="s">
        <v>32</v>
      </c>
      <c r="G982" t="s">
        <v>1603</v>
      </c>
      <c r="H982" t="s">
        <v>2937</v>
      </c>
      <c r="I982" t="s">
        <v>41</v>
      </c>
      <c r="J982">
        <v>0.79730000000000001</v>
      </c>
      <c r="K982">
        <v>2.4</v>
      </c>
      <c r="L982">
        <v>10</v>
      </c>
      <c r="M982">
        <v>0.74</v>
      </c>
      <c r="N982" t="s">
        <v>23</v>
      </c>
      <c r="O982" s="1">
        <v>44257</v>
      </c>
      <c r="S982" t="s">
        <v>915</v>
      </c>
      <c r="T982" s="6" t="s">
        <v>941</v>
      </c>
      <c r="U982" s="6" t="s">
        <v>921</v>
      </c>
      <c r="V982" s="2" t="s">
        <v>923</v>
      </c>
      <c r="W982" t="str">
        <f t="shared" si="15"/>
        <v>2000057789_20203</v>
      </c>
      <c r="X982" s="2" t="s">
        <v>1616</v>
      </c>
    </row>
    <row r="983" spans="1:24" hidden="1" x14ac:dyDescent="0.35">
      <c r="B983">
        <v>2000057789</v>
      </c>
      <c r="C983" s="1">
        <v>44277</v>
      </c>
      <c r="D983" t="s">
        <v>2936</v>
      </c>
      <c r="F983" t="s">
        <v>32</v>
      </c>
      <c r="G983" t="s">
        <v>1603</v>
      </c>
      <c r="H983" t="s">
        <v>2938</v>
      </c>
      <c r="I983" t="s">
        <v>41</v>
      </c>
      <c r="J983">
        <v>0.89700000000000002</v>
      </c>
      <c r="K983">
        <v>2.7</v>
      </c>
      <c r="L983">
        <v>1</v>
      </c>
      <c r="M983">
        <v>0.82</v>
      </c>
      <c r="N983" t="s">
        <v>2310</v>
      </c>
      <c r="O983" s="1">
        <v>45007</v>
      </c>
      <c r="S983" t="s">
        <v>915</v>
      </c>
      <c r="T983" s="6" t="s">
        <v>941</v>
      </c>
      <c r="U983" s="6" t="s">
        <v>933</v>
      </c>
      <c r="V983" s="2" t="s">
        <v>952</v>
      </c>
      <c r="W983" t="str">
        <f t="shared" si="15"/>
        <v>2000057789_20213</v>
      </c>
      <c r="X983" s="2" t="s">
        <v>1616</v>
      </c>
    </row>
    <row r="984" spans="1:24" hidden="1" x14ac:dyDescent="0.35">
      <c r="B984">
        <v>2000057789</v>
      </c>
      <c r="C984" s="1">
        <v>45096</v>
      </c>
      <c r="D984" t="s">
        <v>2936</v>
      </c>
      <c r="F984" t="s">
        <v>32</v>
      </c>
      <c r="G984" t="s">
        <v>1603</v>
      </c>
      <c r="H984" t="s">
        <v>2938</v>
      </c>
      <c r="I984" t="s">
        <v>41</v>
      </c>
      <c r="J984">
        <v>0.96</v>
      </c>
      <c r="K984">
        <v>2.7</v>
      </c>
      <c r="L984">
        <v>1</v>
      </c>
      <c r="M984">
        <v>0.81</v>
      </c>
      <c r="N984" t="s">
        <v>2310</v>
      </c>
      <c r="O984" s="1">
        <v>45827</v>
      </c>
      <c r="S984" t="s">
        <v>915</v>
      </c>
      <c r="T984" s="6" t="s">
        <v>927</v>
      </c>
      <c r="U984" s="6" t="s">
        <v>931</v>
      </c>
      <c r="V984" s="2" t="s">
        <v>955</v>
      </c>
      <c r="W984" t="str">
        <f t="shared" si="15"/>
        <v>2000057789_20236</v>
      </c>
      <c r="X984" s="2" t="s">
        <v>1616</v>
      </c>
    </row>
    <row r="985" spans="1:24" hidden="1" x14ac:dyDescent="0.35">
      <c r="A985">
        <v>45</v>
      </c>
      <c r="B985">
        <v>2000061680</v>
      </c>
      <c r="C985" s="1">
        <v>45751</v>
      </c>
      <c r="D985" t="s">
        <v>3672</v>
      </c>
      <c r="E985" t="s">
        <v>18</v>
      </c>
      <c r="F985" t="s">
        <v>376</v>
      </c>
      <c r="G985" t="s">
        <v>1606</v>
      </c>
      <c r="H985" t="s">
        <v>3673</v>
      </c>
      <c r="I985" t="s">
        <v>41</v>
      </c>
      <c r="J985" t="s">
        <v>3674</v>
      </c>
      <c r="K985" t="s">
        <v>3660</v>
      </c>
      <c r="L985">
        <v>1</v>
      </c>
      <c r="M985">
        <v>0.81</v>
      </c>
      <c r="N985" t="s">
        <v>2314</v>
      </c>
      <c r="O985" s="1">
        <v>46847</v>
      </c>
      <c r="R985" t="s">
        <v>3693</v>
      </c>
      <c r="S985" t="s">
        <v>915</v>
      </c>
      <c r="T985" s="6" t="s">
        <v>946</v>
      </c>
      <c r="U985" s="6" t="s">
        <v>946</v>
      </c>
      <c r="V985" s="2" t="s">
        <v>1650</v>
      </c>
      <c r="W985" t="str">
        <f t="shared" si="15"/>
        <v>2000061680_20254</v>
      </c>
      <c r="X985" t="s">
        <v>1616</v>
      </c>
    </row>
    <row r="986" spans="1:24" hidden="1" x14ac:dyDescent="0.35">
      <c r="A986">
        <v>8</v>
      </c>
      <c r="B986">
        <v>2000057795</v>
      </c>
      <c r="C986" s="1">
        <v>44284</v>
      </c>
      <c r="D986" t="s">
        <v>162</v>
      </c>
      <c r="E986" t="s">
        <v>18</v>
      </c>
      <c r="F986" t="s">
        <v>19</v>
      </c>
      <c r="G986" t="s">
        <v>163</v>
      </c>
      <c r="H986" t="s">
        <v>164</v>
      </c>
      <c r="I986" t="s">
        <v>22</v>
      </c>
      <c r="J986">
        <v>0.84699999999999998</v>
      </c>
      <c r="K986">
        <v>3</v>
      </c>
      <c r="L986">
        <v>4</v>
      </c>
      <c r="M986">
        <v>0.94</v>
      </c>
      <c r="N986" t="s">
        <v>28</v>
      </c>
      <c r="O986" s="1">
        <v>45014</v>
      </c>
      <c r="P986" t="s">
        <v>165</v>
      </c>
      <c r="Q986" t="s">
        <v>166</v>
      </c>
      <c r="R986" t="s">
        <v>24</v>
      </c>
      <c r="S986" t="s">
        <v>915</v>
      </c>
      <c r="T986" s="6" t="s">
        <v>941</v>
      </c>
      <c r="U986" s="6" t="s">
        <v>937</v>
      </c>
      <c r="V986" s="2" t="s">
        <v>952</v>
      </c>
      <c r="W986" t="str">
        <f t="shared" si="15"/>
        <v>2000057795_20213</v>
      </c>
      <c r="X986" s="2" t="s">
        <v>1615</v>
      </c>
    </row>
    <row r="987" spans="1:24" hidden="1" x14ac:dyDescent="0.35">
      <c r="A987">
        <v>14</v>
      </c>
      <c r="B987">
        <v>2000057795</v>
      </c>
      <c r="C987" s="1">
        <v>45006</v>
      </c>
      <c r="D987" t="s">
        <v>162</v>
      </c>
      <c r="E987" t="s">
        <v>18</v>
      </c>
      <c r="F987" t="s">
        <v>19</v>
      </c>
      <c r="G987" t="s">
        <v>163</v>
      </c>
      <c r="H987" t="s">
        <v>164</v>
      </c>
      <c r="I987" t="s">
        <v>22</v>
      </c>
      <c r="J987">
        <v>0.90900000000000003</v>
      </c>
      <c r="K987">
        <v>3</v>
      </c>
      <c r="L987">
        <v>2</v>
      </c>
      <c r="M987">
        <v>0.95</v>
      </c>
      <c r="N987" t="s">
        <v>368</v>
      </c>
      <c r="O987" s="1">
        <v>46102</v>
      </c>
      <c r="P987" t="s">
        <v>470</v>
      </c>
      <c r="Q987" t="s">
        <v>555</v>
      </c>
      <c r="S987" t="s">
        <v>915</v>
      </c>
      <c r="T987" s="6" t="s">
        <v>941</v>
      </c>
      <c r="U987" s="6" t="s">
        <v>944</v>
      </c>
      <c r="V987" s="2" t="s">
        <v>955</v>
      </c>
      <c r="W987" t="str">
        <f t="shared" si="15"/>
        <v>2000057795_20233</v>
      </c>
      <c r="X987" s="2" t="s">
        <v>1615</v>
      </c>
    </row>
    <row r="988" spans="1:24" hidden="1" x14ac:dyDescent="0.35">
      <c r="A988">
        <v>34</v>
      </c>
      <c r="B988">
        <v>2000057795</v>
      </c>
      <c r="C988" s="1">
        <v>43638</v>
      </c>
      <c r="D988" t="s">
        <v>162</v>
      </c>
      <c r="E988" t="s">
        <v>18</v>
      </c>
      <c r="F988" t="s">
        <v>19</v>
      </c>
      <c r="G988" t="s">
        <v>163</v>
      </c>
      <c r="H988" t="s">
        <v>1635</v>
      </c>
      <c r="I988" t="s">
        <v>22</v>
      </c>
      <c r="J988">
        <v>0.82299999999999995</v>
      </c>
      <c r="K988">
        <v>3</v>
      </c>
      <c r="L988">
        <v>7</v>
      </c>
      <c r="N988" t="s">
        <v>28</v>
      </c>
      <c r="O988" s="1">
        <v>44369</v>
      </c>
      <c r="S988" t="s">
        <v>915</v>
      </c>
      <c r="T988" s="5" t="s">
        <v>927</v>
      </c>
      <c r="U988" s="5">
        <v>22</v>
      </c>
      <c r="V988" t="s">
        <v>1618</v>
      </c>
      <c r="W988" t="str">
        <f t="shared" si="15"/>
        <v>2000057795_20196</v>
      </c>
      <c r="X988" s="2" t="s">
        <v>1615</v>
      </c>
    </row>
    <row r="989" spans="1:24" hidden="1" x14ac:dyDescent="0.35">
      <c r="A989">
        <v>85</v>
      </c>
      <c r="B989">
        <v>2000057799</v>
      </c>
      <c r="C989" s="1">
        <v>45492</v>
      </c>
      <c r="D989" t="s">
        <v>1847</v>
      </c>
      <c r="E989" t="s">
        <v>18</v>
      </c>
      <c r="F989" t="s">
        <v>39</v>
      </c>
      <c r="G989" t="s">
        <v>1606</v>
      </c>
      <c r="H989" t="s">
        <v>1848</v>
      </c>
      <c r="I989" t="s">
        <v>41</v>
      </c>
      <c r="J989">
        <v>0.93799999999999994</v>
      </c>
      <c r="K989">
        <v>3</v>
      </c>
      <c r="L989">
        <v>2</v>
      </c>
      <c r="M989">
        <v>0.97</v>
      </c>
      <c r="N989" t="s">
        <v>368</v>
      </c>
      <c r="O989" s="1">
        <v>46587</v>
      </c>
      <c r="S989" t="s">
        <v>915</v>
      </c>
      <c r="T989" s="5" t="s">
        <v>936</v>
      </c>
      <c r="U989" s="5" t="s">
        <v>931</v>
      </c>
      <c r="V989" t="s">
        <v>956</v>
      </c>
      <c r="W989" t="str">
        <f t="shared" si="15"/>
        <v>2000057799_20247</v>
      </c>
      <c r="X989" s="2" t="s">
        <v>1616</v>
      </c>
    </row>
    <row r="990" spans="1:24" hidden="1" x14ac:dyDescent="0.35">
      <c r="A990">
        <v>46</v>
      </c>
      <c r="B990">
        <v>2000059216</v>
      </c>
      <c r="C990" s="1">
        <v>45756</v>
      </c>
      <c r="D990" t="s">
        <v>3675</v>
      </c>
      <c r="E990" t="s">
        <v>18</v>
      </c>
      <c r="F990" t="s">
        <v>43</v>
      </c>
      <c r="G990" t="s">
        <v>1817</v>
      </c>
      <c r="H990" t="s">
        <v>3676</v>
      </c>
      <c r="I990" t="s">
        <v>41</v>
      </c>
      <c r="J990" t="s">
        <v>3677</v>
      </c>
      <c r="K990" t="s">
        <v>3660</v>
      </c>
      <c r="L990">
        <v>1</v>
      </c>
      <c r="M990">
        <v>0.85</v>
      </c>
      <c r="N990" t="s">
        <v>2310</v>
      </c>
      <c r="O990" s="1">
        <v>46486</v>
      </c>
      <c r="R990" t="s">
        <v>1613</v>
      </c>
      <c r="S990" t="s">
        <v>915</v>
      </c>
      <c r="T990" s="6" t="s">
        <v>946</v>
      </c>
      <c r="U990" s="6" t="s">
        <v>942</v>
      </c>
      <c r="V990" s="2" t="s">
        <v>1650</v>
      </c>
      <c r="W990" t="str">
        <f t="shared" si="15"/>
        <v>2000059216_20254</v>
      </c>
      <c r="X990" t="s">
        <v>1616</v>
      </c>
    </row>
    <row r="991" spans="1:24" hidden="1" x14ac:dyDescent="0.35">
      <c r="B991">
        <v>2000057811</v>
      </c>
      <c r="C991" s="1">
        <v>44104</v>
      </c>
      <c r="D991" t="s">
        <v>1936</v>
      </c>
      <c r="F991" t="s">
        <v>43</v>
      </c>
      <c r="G991" t="s">
        <v>1720</v>
      </c>
      <c r="H991" t="s">
        <v>2944</v>
      </c>
      <c r="I991" t="s">
        <v>41</v>
      </c>
      <c r="J991">
        <v>0.83899999999999997</v>
      </c>
      <c r="K991">
        <v>2.6</v>
      </c>
      <c r="L991">
        <v>3</v>
      </c>
      <c r="M991">
        <v>0.9</v>
      </c>
      <c r="N991" t="s">
        <v>2310</v>
      </c>
      <c r="O991" s="1">
        <v>44834</v>
      </c>
      <c r="S991" t="s">
        <v>915</v>
      </c>
      <c r="T991" s="6" t="s">
        <v>942</v>
      </c>
      <c r="U991" s="6" t="s">
        <v>938</v>
      </c>
      <c r="V991" s="2" t="s">
        <v>923</v>
      </c>
      <c r="W991" t="str">
        <f t="shared" si="15"/>
        <v>2000057811_20209</v>
      </c>
      <c r="X991" s="2" t="s">
        <v>1616</v>
      </c>
    </row>
    <row r="992" spans="1:24" hidden="1" x14ac:dyDescent="0.35">
      <c r="B992">
        <v>2000057811</v>
      </c>
      <c r="C992" s="1">
        <v>44760</v>
      </c>
      <c r="D992" t="s">
        <v>1936</v>
      </c>
      <c r="F992" t="s">
        <v>43</v>
      </c>
      <c r="G992" t="s">
        <v>1720</v>
      </c>
      <c r="H992" t="s">
        <v>2945</v>
      </c>
      <c r="I992" t="s">
        <v>41</v>
      </c>
      <c r="J992">
        <v>0.86699999999999999</v>
      </c>
      <c r="K992">
        <v>2.6</v>
      </c>
      <c r="L992">
        <v>3</v>
      </c>
      <c r="M992">
        <v>0.93</v>
      </c>
      <c r="N992" t="s">
        <v>2310</v>
      </c>
      <c r="O992" s="1">
        <v>45491</v>
      </c>
      <c r="S992" t="s">
        <v>915</v>
      </c>
      <c r="T992" s="6" t="s">
        <v>936</v>
      </c>
      <c r="U992" s="6" t="s">
        <v>930</v>
      </c>
      <c r="V992" s="2" t="s">
        <v>954</v>
      </c>
      <c r="W992" t="str">
        <f t="shared" si="15"/>
        <v>2000057811_20227</v>
      </c>
      <c r="X992" s="2" t="s">
        <v>1616</v>
      </c>
    </row>
    <row r="993" spans="1:24" hidden="1" x14ac:dyDescent="0.35">
      <c r="A993">
        <v>122</v>
      </c>
      <c r="B993">
        <v>2000057811</v>
      </c>
      <c r="C993" s="1">
        <v>45560</v>
      </c>
      <c r="D993" t="s">
        <v>1936</v>
      </c>
      <c r="E993" t="s">
        <v>18</v>
      </c>
      <c r="F993" t="s">
        <v>43</v>
      </c>
      <c r="G993" t="s">
        <v>1720</v>
      </c>
      <c r="H993" t="s">
        <v>1937</v>
      </c>
      <c r="I993" t="s">
        <v>41</v>
      </c>
      <c r="J993">
        <v>0.93300000000000005</v>
      </c>
      <c r="K993">
        <v>3</v>
      </c>
      <c r="L993">
        <v>3</v>
      </c>
      <c r="M993">
        <v>0.93</v>
      </c>
      <c r="N993" t="s">
        <v>368</v>
      </c>
      <c r="O993" s="1">
        <v>46655</v>
      </c>
      <c r="S993" t="s">
        <v>915</v>
      </c>
      <c r="T993" s="5" t="s">
        <v>942</v>
      </c>
      <c r="U993" s="5" t="s">
        <v>922</v>
      </c>
      <c r="V993" t="s">
        <v>956</v>
      </c>
      <c r="W993" t="str">
        <f t="shared" si="15"/>
        <v>2000057811_20249</v>
      </c>
      <c r="X993" s="2" t="s">
        <v>1616</v>
      </c>
    </row>
    <row r="994" spans="1:24" hidden="1" x14ac:dyDescent="0.35">
      <c r="A994">
        <v>5</v>
      </c>
      <c r="B994">
        <v>2000057832</v>
      </c>
      <c r="C994" s="1">
        <v>43998</v>
      </c>
      <c r="D994" t="s">
        <v>38</v>
      </c>
      <c r="E994" t="s">
        <v>18</v>
      </c>
      <c r="F994" t="s">
        <v>39</v>
      </c>
      <c r="G994" t="s">
        <v>20</v>
      </c>
      <c r="H994" t="s">
        <v>40</v>
      </c>
      <c r="I994" t="s">
        <v>41</v>
      </c>
      <c r="J994">
        <v>0.52800000000000002</v>
      </c>
      <c r="K994">
        <v>2.6</v>
      </c>
      <c r="L994">
        <v>9</v>
      </c>
      <c r="M994">
        <v>0.82</v>
      </c>
      <c r="N994" t="s">
        <v>23</v>
      </c>
      <c r="O994" s="1">
        <v>44363</v>
      </c>
      <c r="S994" t="s">
        <v>915</v>
      </c>
      <c r="T994" s="6" t="s">
        <v>927</v>
      </c>
      <c r="U994" s="6" t="s">
        <v>928</v>
      </c>
      <c r="V994" s="2" t="s">
        <v>923</v>
      </c>
      <c r="W994" t="str">
        <f t="shared" si="15"/>
        <v>2000057832_20206</v>
      </c>
      <c r="X994" s="2" t="s">
        <v>1615</v>
      </c>
    </row>
    <row r="995" spans="1:24" hidden="1" x14ac:dyDescent="0.35">
      <c r="A995">
        <v>74</v>
      </c>
      <c r="B995">
        <v>2000057832</v>
      </c>
      <c r="C995" s="1">
        <v>45212</v>
      </c>
      <c r="D995" t="s">
        <v>38</v>
      </c>
      <c r="E995" t="s">
        <v>18</v>
      </c>
      <c r="F995" t="s">
        <v>43</v>
      </c>
      <c r="G995" t="s">
        <v>20</v>
      </c>
      <c r="H995" t="s">
        <v>488</v>
      </c>
      <c r="I995" t="s">
        <v>41</v>
      </c>
      <c r="J995">
        <v>0.73</v>
      </c>
      <c r="K995">
        <v>2.6</v>
      </c>
      <c r="L995">
        <v>3</v>
      </c>
      <c r="M995">
        <v>0.6</v>
      </c>
      <c r="N995" t="s">
        <v>23</v>
      </c>
      <c r="O995" s="1">
        <v>45578</v>
      </c>
      <c r="S995" t="s">
        <v>915</v>
      </c>
      <c r="T995" s="6" t="s">
        <v>948</v>
      </c>
      <c r="U995" s="6" t="s">
        <v>950</v>
      </c>
      <c r="V995" s="2" t="s">
        <v>955</v>
      </c>
      <c r="W995" t="str">
        <f t="shared" si="15"/>
        <v>2000057832_202310</v>
      </c>
      <c r="X995" s="2" t="s">
        <v>1615</v>
      </c>
    </row>
    <row r="996" spans="1:24" hidden="1" x14ac:dyDescent="0.35">
      <c r="A996">
        <v>75</v>
      </c>
      <c r="B996">
        <v>2000057832</v>
      </c>
      <c r="C996" s="1">
        <v>44473</v>
      </c>
      <c r="D996" t="s">
        <v>38</v>
      </c>
      <c r="E996" t="s">
        <v>18</v>
      </c>
      <c r="F996" t="s">
        <v>39</v>
      </c>
      <c r="G996" t="s">
        <v>20</v>
      </c>
      <c r="H996" t="s">
        <v>295</v>
      </c>
      <c r="I996" t="s">
        <v>41</v>
      </c>
      <c r="J996">
        <v>0.82499999999999996</v>
      </c>
      <c r="K996">
        <v>2.2999999999999998</v>
      </c>
      <c r="L996">
        <v>5</v>
      </c>
      <c r="M996">
        <v>0.92</v>
      </c>
      <c r="N996" t="s">
        <v>28</v>
      </c>
      <c r="O996" s="1">
        <v>45203</v>
      </c>
      <c r="R996" t="s">
        <v>296</v>
      </c>
      <c r="S996" t="s">
        <v>915</v>
      </c>
      <c r="T996" s="6" t="s">
        <v>948</v>
      </c>
      <c r="U996" s="6" t="s">
        <v>946</v>
      </c>
      <c r="V996" s="2" t="s">
        <v>952</v>
      </c>
      <c r="W996" t="str">
        <f t="shared" si="15"/>
        <v>2000057832_202110</v>
      </c>
      <c r="X996" s="2" t="s">
        <v>1615</v>
      </c>
    </row>
    <row r="997" spans="1:24" hidden="1" x14ac:dyDescent="0.35">
      <c r="A997">
        <v>76</v>
      </c>
      <c r="B997">
        <v>2000057832</v>
      </c>
      <c r="C997" s="1">
        <v>44785</v>
      </c>
      <c r="D997" t="s">
        <v>38</v>
      </c>
      <c r="E997" t="s">
        <v>18</v>
      </c>
      <c r="F997" t="s">
        <v>43</v>
      </c>
      <c r="G997" t="s">
        <v>20</v>
      </c>
      <c r="H997" t="s">
        <v>488</v>
      </c>
      <c r="I997" t="s">
        <v>41</v>
      </c>
      <c r="J997">
        <v>0.71099999999999997</v>
      </c>
      <c r="K997">
        <v>2.2999999999999998</v>
      </c>
      <c r="L997">
        <v>2</v>
      </c>
      <c r="M997">
        <v>0.63</v>
      </c>
      <c r="N997" t="s">
        <v>23</v>
      </c>
      <c r="O997" s="1">
        <v>45150</v>
      </c>
      <c r="S997" t="s">
        <v>915</v>
      </c>
      <c r="T997" s="6" t="s">
        <v>940</v>
      </c>
      <c r="U997" s="6" t="s">
        <v>949</v>
      </c>
      <c r="V997" s="2" t="s">
        <v>954</v>
      </c>
      <c r="W997" t="str">
        <f t="shared" si="15"/>
        <v>2000057832_20228</v>
      </c>
      <c r="X997" s="2" t="s">
        <v>1615</v>
      </c>
    </row>
    <row r="998" spans="1:24" hidden="1" x14ac:dyDescent="0.35">
      <c r="A998">
        <v>84</v>
      </c>
      <c r="B998">
        <v>2000057832</v>
      </c>
      <c r="C998" s="1">
        <v>45621</v>
      </c>
      <c r="D998" t="s">
        <v>38</v>
      </c>
      <c r="E998" t="s">
        <v>18</v>
      </c>
      <c r="F998" t="s">
        <v>19</v>
      </c>
      <c r="G998" t="s">
        <v>20</v>
      </c>
      <c r="H998" t="s">
        <v>2308</v>
      </c>
      <c r="I998" t="s">
        <v>41</v>
      </c>
      <c r="J998">
        <v>0.8</v>
      </c>
      <c r="K998">
        <v>2.7</v>
      </c>
      <c r="L998">
        <v>0</v>
      </c>
      <c r="M998">
        <v>0.73</v>
      </c>
      <c r="N998" t="s">
        <v>28</v>
      </c>
      <c r="O998" s="1">
        <v>46351</v>
      </c>
      <c r="S998" t="s">
        <v>915</v>
      </c>
      <c r="T998" s="6" t="s">
        <v>945</v>
      </c>
      <c r="U998" s="6" t="s">
        <v>922</v>
      </c>
      <c r="V998" s="2" t="s">
        <v>956</v>
      </c>
      <c r="W998" t="str">
        <f t="shared" si="15"/>
        <v>2000057832_202411</v>
      </c>
      <c r="X998" s="2" t="s">
        <v>1615</v>
      </c>
    </row>
    <row r="999" spans="1:24" hidden="1" x14ac:dyDescent="0.35">
      <c r="A999">
        <v>7</v>
      </c>
      <c r="B999">
        <v>2000057833</v>
      </c>
      <c r="C999" s="1">
        <v>43999</v>
      </c>
      <c r="D999" t="s">
        <v>45</v>
      </c>
      <c r="E999" t="s">
        <v>18</v>
      </c>
      <c r="F999" t="s">
        <v>39</v>
      </c>
      <c r="G999" t="s">
        <v>20</v>
      </c>
      <c r="H999" t="s">
        <v>46</v>
      </c>
      <c r="I999" t="s">
        <v>41</v>
      </c>
      <c r="J999">
        <v>0.63800000000000001</v>
      </c>
      <c r="K999">
        <v>2.6</v>
      </c>
      <c r="L999">
        <v>9</v>
      </c>
      <c r="M999">
        <v>0.88500000000000001</v>
      </c>
      <c r="N999" t="s">
        <v>23</v>
      </c>
      <c r="O999" s="1">
        <v>44364</v>
      </c>
      <c r="S999" t="s">
        <v>915</v>
      </c>
      <c r="T999" s="6" t="s">
        <v>927</v>
      </c>
      <c r="U999" s="6" t="s">
        <v>929</v>
      </c>
      <c r="V999" s="2" t="s">
        <v>923</v>
      </c>
      <c r="W999" t="str">
        <f t="shared" si="15"/>
        <v>2000057833_20206</v>
      </c>
      <c r="X999" s="2" t="s">
        <v>1615</v>
      </c>
    </row>
    <row r="1000" spans="1:24" hidden="1" x14ac:dyDescent="0.35">
      <c r="A1000">
        <v>33</v>
      </c>
      <c r="B1000">
        <v>2000057833</v>
      </c>
      <c r="C1000" s="1">
        <v>44393</v>
      </c>
      <c r="D1000" t="s">
        <v>45</v>
      </c>
      <c r="E1000" t="s">
        <v>18</v>
      </c>
      <c r="F1000" t="s">
        <v>32</v>
      </c>
      <c r="G1000" t="s">
        <v>20</v>
      </c>
      <c r="H1000" t="s">
        <v>215</v>
      </c>
      <c r="I1000" t="s">
        <v>41</v>
      </c>
      <c r="J1000">
        <v>0.92</v>
      </c>
      <c r="K1000">
        <v>3</v>
      </c>
      <c r="L1000">
        <v>1</v>
      </c>
      <c r="M1000">
        <v>0.77</v>
      </c>
      <c r="N1000" t="s">
        <v>368</v>
      </c>
      <c r="O1000" s="1">
        <v>45489</v>
      </c>
      <c r="R1000" t="s">
        <v>186</v>
      </c>
      <c r="S1000" t="s">
        <v>915</v>
      </c>
      <c r="T1000" s="6" t="s">
        <v>936</v>
      </c>
      <c r="U1000" s="6" t="s">
        <v>928</v>
      </c>
      <c r="V1000" s="2" t="s">
        <v>952</v>
      </c>
      <c r="W1000" t="str">
        <f t="shared" si="15"/>
        <v>2000057833_20217</v>
      </c>
      <c r="X1000" s="2" t="s">
        <v>1615</v>
      </c>
    </row>
    <row r="1001" spans="1:24" hidden="1" x14ac:dyDescent="0.35">
      <c r="A1001">
        <v>55</v>
      </c>
      <c r="B1001">
        <v>2000057833</v>
      </c>
      <c r="C1001" s="1">
        <v>45490</v>
      </c>
      <c r="D1001" t="s">
        <v>45</v>
      </c>
      <c r="E1001" t="s">
        <v>18</v>
      </c>
      <c r="F1001" t="s">
        <v>39</v>
      </c>
      <c r="G1001" t="s">
        <v>261</v>
      </c>
      <c r="H1001" t="s">
        <v>722</v>
      </c>
      <c r="I1001" t="s">
        <v>41</v>
      </c>
      <c r="J1001">
        <v>0.88200000000000001</v>
      </c>
      <c r="K1001">
        <v>2.7</v>
      </c>
      <c r="L1001">
        <v>4</v>
      </c>
      <c r="M1001">
        <v>0.77</v>
      </c>
      <c r="N1001" t="s">
        <v>28</v>
      </c>
      <c r="O1001" s="1">
        <v>46220</v>
      </c>
      <c r="S1001" t="s">
        <v>915</v>
      </c>
      <c r="T1001" s="6" t="s">
        <v>936</v>
      </c>
      <c r="U1001" s="6" t="s">
        <v>929</v>
      </c>
      <c r="V1001" s="2" t="s">
        <v>956</v>
      </c>
      <c r="W1001" t="str">
        <f t="shared" si="15"/>
        <v>2000057833_20247</v>
      </c>
      <c r="X1001" s="2" t="s">
        <v>1615</v>
      </c>
    </row>
    <row r="1002" spans="1:24" hidden="1" x14ac:dyDescent="0.35">
      <c r="B1002">
        <v>2000057837</v>
      </c>
      <c r="C1002" s="1">
        <v>44154</v>
      </c>
      <c r="D1002" t="s">
        <v>2949</v>
      </c>
      <c r="F1002" t="s">
        <v>43</v>
      </c>
      <c r="G1002" t="s">
        <v>1609</v>
      </c>
      <c r="H1002" t="s">
        <v>2950</v>
      </c>
      <c r="I1002" t="s">
        <v>41</v>
      </c>
      <c r="J1002">
        <v>0.81</v>
      </c>
      <c r="K1002">
        <v>2.7</v>
      </c>
      <c r="L1002">
        <v>2</v>
      </c>
      <c r="M1002">
        <v>0.72</v>
      </c>
      <c r="N1002" t="s">
        <v>2310</v>
      </c>
      <c r="O1002" s="1">
        <v>44884</v>
      </c>
      <c r="S1002" t="s">
        <v>915</v>
      </c>
      <c r="T1002" s="6" t="s">
        <v>945</v>
      </c>
      <c r="U1002" s="6" t="s">
        <v>931</v>
      </c>
      <c r="V1002" s="2" t="s">
        <v>923</v>
      </c>
      <c r="W1002" t="str">
        <f t="shared" si="15"/>
        <v>2000057837_202011</v>
      </c>
      <c r="X1002" s="2" t="s">
        <v>1616</v>
      </c>
    </row>
    <row r="1003" spans="1:24" hidden="1" x14ac:dyDescent="0.35">
      <c r="B1003">
        <v>2000057837</v>
      </c>
      <c r="C1003" s="1">
        <v>44818</v>
      </c>
      <c r="D1003" t="s">
        <v>2949</v>
      </c>
      <c r="F1003" t="s">
        <v>52</v>
      </c>
      <c r="G1003" t="s">
        <v>1609</v>
      </c>
      <c r="H1003" t="s">
        <v>2951</v>
      </c>
      <c r="I1003" t="s">
        <v>41</v>
      </c>
      <c r="J1003">
        <v>0.9</v>
      </c>
      <c r="K1003">
        <v>3</v>
      </c>
      <c r="L1003">
        <v>2</v>
      </c>
      <c r="M1003">
        <v>0.77</v>
      </c>
      <c r="N1003" t="s">
        <v>2314</v>
      </c>
      <c r="O1003" s="1">
        <v>45914</v>
      </c>
      <c r="S1003" t="s">
        <v>915</v>
      </c>
      <c r="T1003" s="6" t="s">
        <v>942</v>
      </c>
      <c r="U1003" s="6" t="s">
        <v>951</v>
      </c>
      <c r="V1003" s="2" t="s">
        <v>954</v>
      </c>
      <c r="W1003" t="str">
        <f t="shared" si="15"/>
        <v>2000057837_20229</v>
      </c>
      <c r="X1003" s="2" t="s">
        <v>1616</v>
      </c>
    </row>
    <row r="1004" spans="1:24" hidden="1" x14ac:dyDescent="0.35">
      <c r="A1004">
        <v>13</v>
      </c>
      <c r="B1004">
        <v>2000057850</v>
      </c>
      <c r="C1004" s="1">
        <v>44005</v>
      </c>
      <c r="D1004" t="s">
        <v>58</v>
      </c>
      <c r="E1004" t="s">
        <v>18</v>
      </c>
      <c r="F1004" t="s">
        <v>32</v>
      </c>
      <c r="G1004" t="s">
        <v>20</v>
      </c>
      <c r="H1004" t="s">
        <v>59</v>
      </c>
      <c r="I1004" t="s">
        <v>41</v>
      </c>
      <c r="J1004">
        <v>0.5</v>
      </c>
      <c r="K1004">
        <v>2.2999999999999998</v>
      </c>
      <c r="L1004">
        <v>6</v>
      </c>
      <c r="M1004">
        <v>0.97</v>
      </c>
      <c r="N1004" t="s">
        <v>23</v>
      </c>
      <c r="O1004" s="1">
        <v>44370</v>
      </c>
      <c r="S1004" t="s">
        <v>915</v>
      </c>
      <c r="T1004" s="6" t="s">
        <v>927</v>
      </c>
      <c r="U1004" s="6" t="s">
        <v>934</v>
      </c>
      <c r="V1004" s="2" t="s">
        <v>923</v>
      </c>
      <c r="W1004" t="str">
        <f t="shared" si="15"/>
        <v>2000057850_20206</v>
      </c>
      <c r="X1004" s="2" t="s">
        <v>1615</v>
      </c>
    </row>
    <row r="1005" spans="1:24" hidden="1" x14ac:dyDescent="0.35">
      <c r="A1005">
        <v>98</v>
      </c>
      <c r="B1005">
        <v>2000057850</v>
      </c>
      <c r="C1005" s="1">
        <v>44844</v>
      </c>
      <c r="D1005" t="s">
        <v>58</v>
      </c>
      <c r="E1005" t="s">
        <v>18</v>
      </c>
      <c r="F1005" t="s">
        <v>32</v>
      </c>
      <c r="G1005" t="s">
        <v>20</v>
      </c>
      <c r="H1005" t="s">
        <v>59</v>
      </c>
      <c r="I1005" t="s">
        <v>41</v>
      </c>
      <c r="J1005">
        <v>0.85</v>
      </c>
      <c r="K1005">
        <v>2.6</v>
      </c>
      <c r="L1005">
        <v>3</v>
      </c>
      <c r="M1005">
        <v>0.83</v>
      </c>
      <c r="N1005" t="s">
        <v>28</v>
      </c>
      <c r="O1005" s="1">
        <v>45575</v>
      </c>
      <c r="S1005" t="s">
        <v>915</v>
      </c>
      <c r="T1005" s="6" t="s">
        <v>948</v>
      </c>
      <c r="U1005" s="6" t="s">
        <v>948</v>
      </c>
      <c r="V1005" s="2" t="s">
        <v>954</v>
      </c>
      <c r="W1005" t="str">
        <f t="shared" si="15"/>
        <v>2000057850_202210</v>
      </c>
      <c r="X1005" s="2" t="s">
        <v>1615</v>
      </c>
    </row>
    <row r="1006" spans="1:24" hidden="1" x14ac:dyDescent="0.35">
      <c r="A1006">
        <v>74</v>
      </c>
      <c r="B1006">
        <v>2000057850</v>
      </c>
      <c r="C1006" s="1">
        <v>45580</v>
      </c>
      <c r="D1006" t="s">
        <v>58</v>
      </c>
      <c r="E1006" t="s">
        <v>18</v>
      </c>
      <c r="F1006" t="s">
        <v>32</v>
      </c>
      <c r="G1006" t="s">
        <v>20</v>
      </c>
      <c r="H1006" t="s">
        <v>2298</v>
      </c>
      <c r="I1006" t="s">
        <v>41</v>
      </c>
      <c r="J1006">
        <v>0.90900000000000003</v>
      </c>
      <c r="K1006">
        <v>2.7</v>
      </c>
      <c r="L1006">
        <v>2</v>
      </c>
      <c r="M1006">
        <v>0.87</v>
      </c>
      <c r="N1006" t="s">
        <v>28</v>
      </c>
      <c r="O1006" s="1">
        <v>46310</v>
      </c>
      <c r="S1006" t="s">
        <v>915</v>
      </c>
      <c r="T1006" s="6" t="s">
        <v>948</v>
      </c>
      <c r="U1006" s="6" t="s">
        <v>943</v>
      </c>
      <c r="V1006" s="2" t="s">
        <v>956</v>
      </c>
      <c r="W1006" t="str">
        <f t="shared" si="15"/>
        <v>2000057850_202410</v>
      </c>
      <c r="X1006" s="2" t="s">
        <v>1615</v>
      </c>
    </row>
    <row r="1007" spans="1:24" hidden="1" x14ac:dyDescent="0.35">
      <c r="A1007">
        <v>31</v>
      </c>
      <c r="B1007">
        <v>2000057855</v>
      </c>
      <c r="C1007" s="1">
        <v>44095</v>
      </c>
      <c r="D1007" t="s">
        <v>99</v>
      </c>
      <c r="E1007" t="s">
        <v>18</v>
      </c>
      <c r="F1007" t="s">
        <v>39</v>
      </c>
      <c r="G1007" t="s">
        <v>20</v>
      </c>
      <c r="H1007" t="s">
        <v>100</v>
      </c>
      <c r="I1007" t="s">
        <v>41</v>
      </c>
      <c r="J1007">
        <v>0.78300000000000003</v>
      </c>
      <c r="K1007">
        <v>2.2999999999999998</v>
      </c>
      <c r="L1007">
        <v>4</v>
      </c>
      <c r="M1007">
        <v>0.73</v>
      </c>
      <c r="N1007" t="s">
        <v>28</v>
      </c>
      <c r="O1007" s="1">
        <v>44825</v>
      </c>
      <c r="S1007" t="s">
        <v>915</v>
      </c>
      <c r="T1007" s="6" t="s">
        <v>942</v>
      </c>
      <c r="U1007" s="6" t="s">
        <v>944</v>
      </c>
      <c r="V1007" s="2" t="s">
        <v>923</v>
      </c>
      <c r="W1007" t="str">
        <f t="shared" si="15"/>
        <v>2000057855_20209</v>
      </c>
      <c r="X1007" s="2" t="s">
        <v>1615</v>
      </c>
    </row>
    <row r="1008" spans="1:24" hidden="1" x14ac:dyDescent="0.35">
      <c r="A1008">
        <v>72</v>
      </c>
      <c r="B1008">
        <v>2000057855</v>
      </c>
      <c r="C1008" s="1">
        <v>45197</v>
      </c>
      <c r="D1008" t="s">
        <v>99</v>
      </c>
      <c r="E1008" t="s">
        <v>18</v>
      </c>
      <c r="F1008" t="s">
        <v>39</v>
      </c>
      <c r="G1008" t="s">
        <v>20</v>
      </c>
      <c r="H1008" t="s">
        <v>620</v>
      </c>
      <c r="I1008" t="s">
        <v>41</v>
      </c>
      <c r="J1008">
        <v>0.76500000000000001</v>
      </c>
      <c r="K1008">
        <v>2.2999999999999998</v>
      </c>
      <c r="L1008">
        <v>4</v>
      </c>
      <c r="M1008">
        <v>0.71</v>
      </c>
      <c r="N1008" t="s">
        <v>23</v>
      </c>
      <c r="O1008" s="1">
        <v>45563</v>
      </c>
      <c r="S1008" t="s">
        <v>915</v>
      </c>
      <c r="T1008" s="6" t="s">
        <v>942</v>
      </c>
      <c r="U1008" s="6" t="s">
        <v>926</v>
      </c>
      <c r="V1008" s="2" t="s">
        <v>955</v>
      </c>
      <c r="W1008" t="str">
        <f t="shared" si="15"/>
        <v>2000057855_20239</v>
      </c>
      <c r="X1008" s="2" t="s">
        <v>1615</v>
      </c>
    </row>
    <row r="1009" spans="1:24" hidden="1" x14ac:dyDescent="0.35">
      <c r="A1009">
        <v>93</v>
      </c>
      <c r="B1009">
        <v>2000057855</v>
      </c>
      <c r="C1009" s="1">
        <v>44830</v>
      </c>
      <c r="D1009" t="s">
        <v>99</v>
      </c>
      <c r="E1009" t="s">
        <v>18</v>
      </c>
      <c r="F1009" t="s">
        <v>39</v>
      </c>
      <c r="G1009" t="s">
        <v>20</v>
      </c>
      <c r="H1009" t="s">
        <v>510</v>
      </c>
      <c r="I1009" t="s">
        <v>41</v>
      </c>
      <c r="J1009">
        <v>0.75</v>
      </c>
      <c r="K1009">
        <v>2.2999999999999998</v>
      </c>
      <c r="L1009">
        <v>6</v>
      </c>
      <c r="M1009">
        <v>0.7</v>
      </c>
      <c r="N1009" t="s">
        <v>23</v>
      </c>
      <c r="O1009" s="1">
        <v>45195</v>
      </c>
      <c r="S1009" t="s">
        <v>915</v>
      </c>
      <c r="T1009" s="6" t="s">
        <v>942</v>
      </c>
      <c r="U1009" s="6" t="s">
        <v>924</v>
      </c>
      <c r="V1009" s="2" t="s">
        <v>954</v>
      </c>
      <c r="W1009" t="str">
        <f t="shared" si="15"/>
        <v>2000057855_20229</v>
      </c>
      <c r="X1009" s="2" t="s">
        <v>1615</v>
      </c>
    </row>
    <row r="1010" spans="1:24" hidden="1" x14ac:dyDescent="0.35">
      <c r="A1010">
        <v>70</v>
      </c>
      <c r="B1010">
        <v>2000057855</v>
      </c>
      <c r="C1010" s="1">
        <v>45558</v>
      </c>
      <c r="D1010" t="s">
        <v>99</v>
      </c>
      <c r="E1010" t="s">
        <v>18</v>
      </c>
      <c r="F1010" t="s">
        <v>39</v>
      </c>
      <c r="G1010" t="s">
        <v>20</v>
      </c>
      <c r="H1010" t="s">
        <v>1646</v>
      </c>
      <c r="I1010" t="s">
        <v>52</v>
      </c>
      <c r="J1010">
        <v>0.88200000000000001</v>
      </c>
      <c r="K1010">
        <v>3</v>
      </c>
      <c r="L1010">
        <v>0</v>
      </c>
      <c r="M1010">
        <v>0.64</v>
      </c>
      <c r="N1010" t="s">
        <v>28</v>
      </c>
      <c r="O1010" s="1">
        <v>46288</v>
      </c>
      <c r="S1010" t="s">
        <v>915</v>
      </c>
      <c r="T1010" s="6" t="s">
        <v>942</v>
      </c>
      <c r="U1010" s="6" t="s">
        <v>934</v>
      </c>
      <c r="V1010" s="2" t="s">
        <v>956</v>
      </c>
      <c r="W1010" t="str">
        <f t="shared" si="15"/>
        <v>2000057855_20249</v>
      </c>
      <c r="X1010" s="2" t="s">
        <v>1615</v>
      </c>
    </row>
    <row r="1011" spans="1:24" hidden="1" x14ac:dyDescent="0.35">
      <c r="B1011">
        <v>2000057867</v>
      </c>
      <c r="C1011" s="1">
        <v>44117</v>
      </c>
      <c r="D1011" t="s">
        <v>3235</v>
      </c>
      <c r="F1011" t="s">
        <v>19</v>
      </c>
      <c r="G1011" t="s">
        <v>1606</v>
      </c>
      <c r="H1011" t="s">
        <v>2954</v>
      </c>
      <c r="I1011" t="s">
        <v>22</v>
      </c>
      <c r="J1011">
        <v>0.97799999999999998</v>
      </c>
      <c r="K1011">
        <v>3</v>
      </c>
      <c r="L1011">
        <v>0</v>
      </c>
      <c r="M1011">
        <v>0.93</v>
      </c>
      <c r="N1011" t="s">
        <v>2310</v>
      </c>
      <c r="O1011" s="1">
        <v>44847</v>
      </c>
      <c r="S1011" t="s">
        <v>915</v>
      </c>
      <c r="T1011" s="6" t="s">
        <v>948</v>
      </c>
      <c r="U1011" s="6" t="s">
        <v>950</v>
      </c>
      <c r="V1011" s="2" t="s">
        <v>923</v>
      </c>
      <c r="W1011" t="str">
        <f t="shared" si="15"/>
        <v>2000057867_202010</v>
      </c>
      <c r="X1011" s="2" t="s">
        <v>1616</v>
      </c>
    </row>
    <row r="1012" spans="1:24" hidden="1" x14ac:dyDescent="0.35">
      <c r="B1012">
        <v>2000057867</v>
      </c>
      <c r="C1012" s="1">
        <v>44816</v>
      </c>
      <c r="D1012" t="s">
        <v>3235</v>
      </c>
      <c r="F1012" t="s">
        <v>19</v>
      </c>
      <c r="G1012" t="s">
        <v>1606</v>
      </c>
      <c r="H1012" t="s">
        <v>2955</v>
      </c>
      <c r="I1012" t="s">
        <v>22</v>
      </c>
      <c r="J1012">
        <v>0.98899999999999999</v>
      </c>
      <c r="K1012">
        <v>3</v>
      </c>
      <c r="L1012">
        <v>0</v>
      </c>
      <c r="M1012">
        <v>1</v>
      </c>
      <c r="N1012" t="s">
        <v>2314</v>
      </c>
      <c r="O1012" s="1">
        <v>45912</v>
      </c>
      <c r="S1012" t="s">
        <v>915</v>
      </c>
      <c r="T1012" s="6" t="s">
        <v>942</v>
      </c>
      <c r="U1012" s="6" t="s">
        <v>949</v>
      </c>
      <c r="V1012" s="2" t="s">
        <v>954</v>
      </c>
      <c r="W1012" t="str">
        <f t="shared" si="15"/>
        <v>2000057867_20229</v>
      </c>
      <c r="X1012" s="2" t="s">
        <v>1616</v>
      </c>
    </row>
    <row r="1013" spans="1:24" hidden="1" x14ac:dyDescent="0.35">
      <c r="A1013">
        <v>132</v>
      </c>
      <c r="B1013">
        <v>2000057867</v>
      </c>
      <c r="C1013" s="1">
        <v>45575</v>
      </c>
      <c r="D1013" t="s">
        <v>3235</v>
      </c>
      <c r="E1013" t="s">
        <v>18</v>
      </c>
      <c r="F1013" t="s">
        <v>19</v>
      </c>
      <c r="G1013" t="s">
        <v>1606</v>
      </c>
      <c r="H1013" t="s">
        <v>3236</v>
      </c>
      <c r="I1013" t="s">
        <v>22</v>
      </c>
      <c r="J1013">
        <v>1</v>
      </c>
      <c r="M1013">
        <v>1</v>
      </c>
      <c r="N1013" t="s">
        <v>23</v>
      </c>
      <c r="O1013" s="1">
        <v>46670</v>
      </c>
      <c r="Q1013" t="s">
        <v>3237</v>
      </c>
      <c r="R1013" t="s">
        <v>3238</v>
      </c>
      <c r="S1013" t="s">
        <v>915</v>
      </c>
      <c r="T1013" s="5" t="s">
        <v>948</v>
      </c>
      <c r="U1013" s="5" t="s">
        <v>948</v>
      </c>
      <c r="V1013" t="s">
        <v>956</v>
      </c>
      <c r="W1013" t="str">
        <f t="shared" si="15"/>
        <v>2000057867_202410</v>
      </c>
      <c r="X1013" t="s">
        <v>1616</v>
      </c>
    </row>
    <row r="1014" spans="1:24" hidden="1" x14ac:dyDescent="0.35">
      <c r="A1014">
        <v>47</v>
      </c>
      <c r="B1014">
        <v>2000057789</v>
      </c>
      <c r="C1014" s="1">
        <v>45757</v>
      </c>
      <c r="D1014" t="s">
        <v>3678</v>
      </c>
      <c r="E1014" t="s">
        <v>18</v>
      </c>
      <c r="F1014" t="s">
        <v>32</v>
      </c>
      <c r="G1014" t="s">
        <v>1687</v>
      </c>
      <c r="H1014" t="s">
        <v>2938</v>
      </c>
      <c r="I1014" t="s">
        <v>41</v>
      </c>
      <c r="J1014" t="s">
        <v>3679</v>
      </c>
      <c r="K1014" t="s">
        <v>3660</v>
      </c>
      <c r="L1014">
        <v>1</v>
      </c>
      <c r="M1014">
        <v>0.84</v>
      </c>
      <c r="N1014" t="s">
        <v>2314</v>
      </c>
      <c r="O1014" s="1">
        <v>46853</v>
      </c>
      <c r="R1014" t="s">
        <v>3693</v>
      </c>
      <c r="S1014" t="s">
        <v>915</v>
      </c>
      <c r="T1014" s="6" t="s">
        <v>946</v>
      </c>
      <c r="U1014" s="6" t="s">
        <v>948</v>
      </c>
      <c r="V1014" s="2" t="s">
        <v>1650</v>
      </c>
      <c r="W1014" t="str">
        <f t="shared" si="15"/>
        <v>2000057789_20254</v>
      </c>
      <c r="X1014" t="s">
        <v>1616</v>
      </c>
    </row>
    <row r="1015" spans="1:24" hidden="1" x14ac:dyDescent="0.35">
      <c r="A1015">
        <v>48</v>
      </c>
      <c r="B1015">
        <v>2000057888</v>
      </c>
      <c r="C1015" s="1">
        <v>44146</v>
      </c>
      <c r="D1015" t="s">
        <v>131</v>
      </c>
      <c r="E1015" t="s">
        <v>18</v>
      </c>
      <c r="F1015" t="s">
        <v>39</v>
      </c>
      <c r="G1015" t="s">
        <v>20</v>
      </c>
      <c r="H1015" t="s">
        <v>132</v>
      </c>
      <c r="I1015" t="s">
        <v>41</v>
      </c>
      <c r="J1015">
        <v>0.75900000000000001</v>
      </c>
      <c r="K1015">
        <v>2.2999999999999998</v>
      </c>
      <c r="L1015">
        <v>6</v>
      </c>
      <c r="M1015">
        <v>0.88</v>
      </c>
      <c r="N1015" t="s">
        <v>28</v>
      </c>
      <c r="O1015" s="1">
        <v>44876</v>
      </c>
      <c r="S1015" t="s">
        <v>915</v>
      </c>
      <c r="T1015" s="6" t="s">
        <v>945</v>
      </c>
      <c r="U1015" s="6" t="s">
        <v>945</v>
      </c>
      <c r="V1015" s="2" t="s">
        <v>923</v>
      </c>
      <c r="W1015" t="str">
        <f t="shared" si="15"/>
        <v>2000057888_202011</v>
      </c>
      <c r="X1015" s="2" t="s">
        <v>1615</v>
      </c>
    </row>
    <row r="1016" spans="1:24" hidden="1" x14ac:dyDescent="0.35">
      <c r="A1016">
        <v>103</v>
      </c>
      <c r="B1016">
        <v>2000057888</v>
      </c>
      <c r="C1016" s="1">
        <v>44848</v>
      </c>
      <c r="D1016" t="s">
        <v>131</v>
      </c>
      <c r="E1016" t="s">
        <v>18</v>
      </c>
      <c r="F1016" t="s">
        <v>39</v>
      </c>
      <c r="G1016" t="s">
        <v>20</v>
      </c>
      <c r="H1016" t="s">
        <v>521</v>
      </c>
      <c r="I1016" t="s">
        <v>41</v>
      </c>
      <c r="J1016">
        <v>0.89500000000000002</v>
      </c>
      <c r="K1016">
        <v>2.6</v>
      </c>
      <c r="L1016">
        <v>3</v>
      </c>
      <c r="M1016">
        <v>0.93</v>
      </c>
      <c r="N1016" t="s">
        <v>28</v>
      </c>
      <c r="O1016" s="1">
        <v>45579</v>
      </c>
      <c r="S1016" t="s">
        <v>915</v>
      </c>
      <c r="T1016" s="6" t="s">
        <v>948</v>
      </c>
      <c r="U1016" s="6" t="s">
        <v>951</v>
      </c>
      <c r="V1016" s="2" t="s">
        <v>954</v>
      </c>
      <c r="W1016" t="str">
        <f t="shared" si="15"/>
        <v>2000057888_202210</v>
      </c>
      <c r="X1016" s="2" t="s">
        <v>1615</v>
      </c>
    </row>
    <row r="1017" spans="1:24" hidden="1" x14ac:dyDescent="0.35">
      <c r="A1017">
        <v>77</v>
      </c>
      <c r="B1017">
        <v>2000057888</v>
      </c>
      <c r="C1017" s="1">
        <v>45587</v>
      </c>
      <c r="D1017" t="s">
        <v>131</v>
      </c>
      <c r="E1017" t="s">
        <v>18</v>
      </c>
      <c r="F1017" t="s">
        <v>39</v>
      </c>
      <c r="G1017" t="s">
        <v>20</v>
      </c>
      <c r="H1017" t="s">
        <v>2301</v>
      </c>
      <c r="I1017" t="s">
        <v>41</v>
      </c>
      <c r="J1017">
        <v>0.94399999999999995</v>
      </c>
      <c r="K1017">
        <v>3</v>
      </c>
      <c r="L1017">
        <v>0</v>
      </c>
      <c r="M1017">
        <v>0.83</v>
      </c>
      <c r="N1017" t="s">
        <v>368</v>
      </c>
      <c r="O1017" s="1">
        <v>46682</v>
      </c>
      <c r="S1017" t="s">
        <v>915</v>
      </c>
      <c r="T1017" s="6" t="s">
        <v>948</v>
      </c>
      <c r="U1017" s="6" t="s">
        <v>933</v>
      </c>
      <c r="V1017" s="2" t="s">
        <v>956</v>
      </c>
      <c r="W1017" t="str">
        <f t="shared" si="15"/>
        <v>2000057888_202410</v>
      </c>
      <c r="X1017" s="2" t="s">
        <v>1615</v>
      </c>
    </row>
    <row r="1018" spans="1:24" hidden="1" x14ac:dyDescent="0.35">
      <c r="B1018">
        <v>2000057889</v>
      </c>
      <c r="C1018" s="1">
        <v>43998</v>
      </c>
      <c r="D1018" t="s">
        <v>2958</v>
      </c>
      <c r="F1018" t="s">
        <v>43</v>
      </c>
      <c r="G1018" t="s">
        <v>1599</v>
      </c>
      <c r="H1018" t="s">
        <v>2959</v>
      </c>
      <c r="I1018" t="s">
        <v>22</v>
      </c>
      <c r="J1018">
        <v>0.96599999999999997</v>
      </c>
      <c r="K1018">
        <v>3</v>
      </c>
      <c r="L1018">
        <v>0</v>
      </c>
      <c r="M1018">
        <v>0.88</v>
      </c>
      <c r="N1018" t="s">
        <v>2310</v>
      </c>
      <c r="O1018" s="1">
        <v>44728</v>
      </c>
      <c r="S1018" t="s">
        <v>915</v>
      </c>
      <c r="T1018" s="6" t="s">
        <v>927</v>
      </c>
      <c r="U1018" s="6" t="s">
        <v>928</v>
      </c>
      <c r="V1018" s="2" t="s">
        <v>923</v>
      </c>
      <c r="W1018" t="str">
        <f t="shared" si="15"/>
        <v>2000057889_20206</v>
      </c>
      <c r="X1018" s="2" t="s">
        <v>1616</v>
      </c>
    </row>
    <row r="1019" spans="1:24" hidden="1" x14ac:dyDescent="0.35">
      <c r="B1019">
        <v>2000057889</v>
      </c>
      <c r="C1019" s="1">
        <v>44729</v>
      </c>
      <c r="D1019" t="s">
        <v>2958</v>
      </c>
      <c r="F1019" t="s">
        <v>43</v>
      </c>
      <c r="G1019" t="s">
        <v>1599</v>
      </c>
      <c r="H1019" t="s">
        <v>2960</v>
      </c>
      <c r="I1019" t="s">
        <v>22</v>
      </c>
      <c r="J1019">
        <v>0.99199999999999999</v>
      </c>
      <c r="K1019">
        <v>3</v>
      </c>
      <c r="L1019">
        <v>0</v>
      </c>
      <c r="M1019">
        <v>0.98</v>
      </c>
      <c r="N1019" t="s">
        <v>2314</v>
      </c>
      <c r="O1019" s="1">
        <v>45825</v>
      </c>
      <c r="S1019" t="s">
        <v>915</v>
      </c>
      <c r="T1019" s="6" t="s">
        <v>927</v>
      </c>
      <c r="U1019" s="6" t="s">
        <v>929</v>
      </c>
      <c r="V1019" s="2" t="s">
        <v>954</v>
      </c>
      <c r="W1019" t="str">
        <f t="shared" si="15"/>
        <v>2000057889_20226</v>
      </c>
      <c r="X1019" s="2" t="s">
        <v>1616</v>
      </c>
    </row>
    <row r="1020" spans="1:24" hidden="1" x14ac:dyDescent="0.35">
      <c r="A1020">
        <v>48</v>
      </c>
      <c r="B1020">
        <v>2000057718</v>
      </c>
      <c r="C1020" s="1">
        <v>45758</v>
      </c>
      <c r="D1020" t="s">
        <v>2913</v>
      </c>
      <c r="E1020" t="s">
        <v>18</v>
      </c>
      <c r="F1020" t="s">
        <v>376</v>
      </c>
      <c r="G1020" t="s">
        <v>1606</v>
      </c>
      <c r="H1020" t="s">
        <v>3680</v>
      </c>
      <c r="I1020" t="s">
        <v>41</v>
      </c>
      <c r="J1020" t="s">
        <v>3681</v>
      </c>
      <c r="K1020" t="s">
        <v>3660</v>
      </c>
      <c r="L1020">
        <v>6</v>
      </c>
      <c r="M1020">
        <v>0.79</v>
      </c>
      <c r="N1020" t="s">
        <v>2310</v>
      </c>
      <c r="O1020" s="1">
        <v>46488</v>
      </c>
      <c r="R1020" t="s">
        <v>3693</v>
      </c>
      <c r="S1020" t="s">
        <v>915</v>
      </c>
      <c r="T1020" s="6" t="s">
        <v>946</v>
      </c>
      <c r="U1020" s="6" t="s">
        <v>945</v>
      </c>
      <c r="V1020" s="2" t="s">
        <v>1650</v>
      </c>
      <c r="W1020" t="str">
        <f t="shared" si="15"/>
        <v>2000057718_20254</v>
      </c>
      <c r="X1020" t="s">
        <v>1616</v>
      </c>
    </row>
    <row r="1021" spans="1:24" hidden="1" x14ac:dyDescent="0.35">
      <c r="B1021">
        <v>2000057897</v>
      </c>
      <c r="C1021" s="1">
        <v>44515</v>
      </c>
      <c r="D1021" t="s">
        <v>2963</v>
      </c>
      <c r="F1021" t="s">
        <v>148</v>
      </c>
      <c r="G1021" t="s">
        <v>1740</v>
      </c>
      <c r="H1021" t="s">
        <v>2964</v>
      </c>
      <c r="I1021" t="s">
        <v>148</v>
      </c>
      <c r="J1021">
        <v>0.82099999999999995</v>
      </c>
      <c r="K1021">
        <v>2.4</v>
      </c>
      <c r="L1021">
        <v>3</v>
      </c>
      <c r="M1021">
        <v>0.56999999999999995</v>
      </c>
      <c r="N1021" t="s">
        <v>2310</v>
      </c>
      <c r="O1021" s="1">
        <v>45245</v>
      </c>
      <c r="S1021" t="s">
        <v>915</v>
      </c>
      <c r="T1021" s="6" t="s">
        <v>945</v>
      </c>
      <c r="U1021" s="6" t="s">
        <v>943</v>
      </c>
      <c r="V1021" s="2" t="s">
        <v>952</v>
      </c>
      <c r="W1021" t="str">
        <f t="shared" si="15"/>
        <v>2000057897_202111</v>
      </c>
      <c r="X1021" s="2" t="s">
        <v>1616</v>
      </c>
    </row>
    <row r="1022" spans="1:24" hidden="1" x14ac:dyDescent="0.35">
      <c r="B1022">
        <v>2000057897</v>
      </c>
      <c r="C1022" s="1">
        <v>45021</v>
      </c>
      <c r="D1022" t="s">
        <v>2963</v>
      </c>
      <c r="F1022" t="s">
        <v>148</v>
      </c>
      <c r="G1022" t="s">
        <v>1740</v>
      </c>
      <c r="H1022" t="s">
        <v>2965</v>
      </c>
      <c r="I1022" t="s">
        <v>41</v>
      </c>
      <c r="J1022">
        <v>1</v>
      </c>
      <c r="K1022">
        <v>3</v>
      </c>
      <c r="L1022">
        <v>0</v>
      </c>
      <c r="M1022">
        <v>0.85</v>
      </c>
      <c r="N1022" t="s">
        <v>2314</v>
      </c>
      <c r="O1022" s="1">
        <v>46117</v>
      </c>
      <c r="S1022" t="s">
        <v>915</v>
      </c>
      <c r="T1022" s="6" t="s">
        <v>946</v>
      </c>
      <c r="U1022" s="6" t="s">
        <v>947</v>
      </c>
      <c r="V1022" s="2" t="s">
        <v>955</v>
      </c>
      <c r="W1022" t="str">
        <f t="shared" si="15"/>
        <v>2000057897_20234</v>
      </c>
      <c r="X1022" s="2" t="s">
        <v>1616</v>
      </c>
    </row>
    <row r="1023" spans="1:24" hidden="1" x14ac:dyDescent="0.35">
      <c r="A1023">
        <v>49</v>
      </c>
      <c r="B1023">
        <v>2000043294</v>
      </c>
      <c r="C1023" s="1">
        <v>45761</v>
      </c>
      <c r="D1023" t="s">
        <v>2538</v>
      </c>
      <c r="E1023" t="s">
        <v>18</v>
      </c>
      <c r="F1023" t="s">
        <v>43</v>
      </c>
      <c r="G1023" t="s">
        <v>1817</v>
      </c>
      <c r="H1023" t="s">
        <v>3682</v>
      </c>
      <c r="I1023" t="s">
        <v>22</v>
      </c>
      <c r="J1023">
        <v>1</v>
      </c>
      <c r="K1023">
        <v>3</v>
      </c>
      <c r="L1023">
        <v>0</v>
      </c>
      <c r="M1023">
        <v>0.96</v>
      </c>
      <c r="N1023" t="s">
        <v>2314</v>
      </c>
      <c r="O1023" s="1">
        <v>46857</v>
      </c>
      <c r="P1023" t="s">
        <v>3696</v>
      </c>
      <c r="R1023" t="s">
        <v>1613</v>
      </c>
      <c r="S1023" t="s">
        <v>915</v>
      </c>
      <c r="T1023" s="6" t="s">
        <v>946</v>
      </c>
      <c r="U1023" s="6" t="s">
        <v>951</v>
      </c>
      <c r="V1023" s="2" t="s">
        <v>1650</v>
      </c>
      <c r="W1023" t="str">
        <f t="shared" si="15"/>
        <v>2000043294_20254</v>
      </c>
      <c r="X1023" t="s">
        <v>1616</v>
      </c>
    </row>
    <row r="1024" spans="1:24" hidden="1" x14ac:dyDescent="0.35">
      <c r="B1024">
        <v>2000057914</v>
      </c>
      <c r="C1024" s="1">
        <v>45215</v>
      </c>
      <c r="D1024" t="s">
        <v>3971</v>
      </c>
      <c r="F1024" t="s">
        <v>376</v>
      </c>
      <c r="G1024" t="s">
        <v>1606</v>
      </c>
      <c r="H1024" t="s">
        <v>2966</v>
      </c>
      <c r="I1024" t="s">
        <v>22</v>
      </c>
      <c r="J1024">
        <v>0.875</v>
      </c>
      <c r="K1024">
        <v>2.6</v>
      </c>
      <c r="M1024">
        <v>0.8</v>
      </c>
      <c r="N1024" t="s">
        <v>2310</v>
      </c>
      <c r="O1024" s="1">
        <v>45946</v>
      </c>
      <c r="S1024" t="s">
        <v>915</v>
      </c>
      <c r="T1024" s="6" t="s">
        <v>948</v>
      </c>
      <c r="U1024" s="6" t="s">
        <v>928</v>
      </c>
      <c r="V1024" s="2" t="s">
        <v>955</v>
      </c>
      <c r="W1024" t="str">
        <f t="shared" si="15"/>
        <v>2000057914_202310</v>
      </c>
      <c r="X1024" s="2" t="s">
        <v>1616</v>
      </c>
    </row>
    <row r="1025" spans="1:24" hidden="1" x14ac:dyDescent="0.35">
      <c r="A1025">
        <v>50</v>
      </c>
      <c r="B1025">
        <v>2000058424</v>
      </c>
      <c r="C1025" s="1">
        <v>45761</v>
      </c>
      <c r="D1025" t="s">
        <v>3098</v>
      </c>
      <c r="E1025" t="s">
        <v>18</v>
      </c>
      <c r="F1025" t="s">
        <v>39</v>
      </c>
      <c r="G1025" t="s">
        <v>1817</v>
      </c>
      <c r="H1025" t="s">
        <v>3683</v>
      </c>
      <c r="I1025" t="s">
        <v>41</v>
      </c>
      <c r="J1025">
        <v>0.90600000000000003</v>
      </c>
      <c r="K1025">
        <v>3</v>
      </c>
      <c r="L1025">
        <v>1</v>
      </c>
      <c r="M1025">
        <v>0.86</v>
      </c>
      <c r="N1025" t="s">
        <v>2314</v>
      </c>
      <c r="O1025" s="1">
        <v>46857</v>
      </c>
      <c r="R1025" t="s">
        <v>1613</v>
      </c>
      <c r="S1025" t="s">
        <v>915</v>
      </c>
      <c r="T1025" s="6" t="s">
        <v>946</v>
      </c>
      <c r="U1025" s="6" t="s">
        <v>951</v>
      </c>
      <c r="V1025" s="2" t="s">
        <v>1650</v>
      </c>
      <c r="W1025" t="str">
        <f t="shared" si="15"/>
        <v>2000058424_20254</v>
      </c>
      <c r="X1025" t="s">
        <v>1616</v>
      </c>
    </row>
    <row r="1026" spans="1:24" hidden="1" x14ac:dyDescent="0.35">
      <c r="A1026">
        <v>156</v>
      </c>
      <c r="B1026">
        <v>2000057924</v>
      </c>
      <c r="C1026" s="1">
        <v>45617</v>
      </c>
      <c r="D1026" t="s">
        <v>3275</v>
      </c>
      <c r="E1026" t="s">
        <v>18</v>
      </c>
      <c r="F1026" t="s">
        <v>19</v>
      </c>
      <c r="G1026" t="s">
        <v>1606</v>
      </c>
      <c r="H1026" t="s">
        <v>3276</v>
      </c>
      <c r="I1026" t="s">
        <v>41</v>
      </c>
      <c r="J1026">
        <v>0.93799999999999994</v>
      </c>
      <c r="K1026">
        <v>3</v>
      </c>
      <c r="L1026">
        <v>1</v>
      </c>
      <c r="M1026">
        <v>0.96</v>
      </c>
      <c r="N1026" t="s">
        <v>368</v>
      </c>
      <c r="O1026" s="1">
        <v>46712</v>
      </c>
      <c r="R1026" t="s">
        <v>186</v>
      </c>
      <c r="S1026" t="s">
        <v>915</v>
      </c>
      <c r="T1026" s="5" t="s">
        <v>945</v>
      </c>
      <c r="U1026" s="5" t="s">
        <v>944</v>
      </c>
      <c r="V1026" t="s">
        <v>956</v>
      </c>
      <c r="W1026" t="str">
        <f t="shared" ref="W1026:W1089" si="16">CONCATENATE(B1026,"_",V1026,T1026)</f>
        <v>2000057924_202411</v>
      </c>
      <c r="X1026" t="s">
        <v>1616</v>
      </c>
    </row>
    <row r="1027" spans="1:24" hidden="1" x14ac:dyDescent="0.35">
      <c r="A1027">
        <v>25</v>
      </c>
      <c r="B1027">
        <v>2000057939</v>
      </c>
      <c r="C1027" s="1">
        <v>44648</v>
      </c>
      <c r="D1027" t="s">
        <v>395</v>
      </c>
      <c r="E1027" t="s">
        <v>18</v>
      </c>
      <c r="F1027" t="s">
        <v>373</v>
      </c>
      <c r="G1027" t="s">
        <v>396</v>
      </c>
      <c r="H1027" t="s">
        <v>397</v>
      </c>
      <c r="I1027" t="s">
        <v>22</v>
      </c>
      <c r="J1027">
        <v>0.83699999999999997</v>
      </c>
      <c r="K1027">
        <v>2.4</v>
      </c>
      <c r="L1027">
        <v>6</v>
      </c>
      <c r="M1027">
        <v>0.88</v>
      </c>
      <c r="N1027" t="s">
        <v>28</v>
      </c>
      <c r="O1027" s="1">
        <v>45379</v>
      </c>
      <c r="Q1027" t="s">
        <v>398</v>
      </c>
      <c r="S1027" t="s">
        <v>915</v>
      </c>
      <c r="T1027" s="6" t="s">
        <v>941</v>
      </c>
      <c r="U1027" s="6" t="s">
        <v>926</v>
      </c>
      <c r="V1027" s="2" t="s">
        <v>954</v>
      </c>
      <c r="W1027" t="str">
        <f t="shared" si="16"/>
        <v>2000057939_20223</v>
      </c>
      <c r="X1027" s="2" t="s">
        <v>1615</v>
      </c>
    </row>
    <row r="1028" spans="1:24" hidden="1" x14ac:dyDescent="0.35">
      <c r="A1028">
        <v>7</v>
      </c>
      <c r="B1028">
        <v>2000057939</v>
      </c>
      <c r="C1028" s="1">
        <v>45376</v>
      </c>
      <c r="D1028" t="s">
        <v>395</v>
      </c>
      <c r="E1028" t="s">
        <v>18</v>
      </c>
      <c r="F1028" t="s">
        <v>52</v>
      </c>
      <c r="G1028" t="s">
        <v>396</v>
      </c>
      <c r="H1028" t="s">
        <v>672</v>
      </c>
      <c r="I1028" t="s">
        <v>22</v>
      </c>
      <c r="J1028">
        <v>0.93100000000000005</v>
      </c>
      <c r="K1028">
        <v>2.7</v>
      </c>
      <c r="L1028">
        <v>1</v>
      </c>
      <c r="M1028">
        <v>0.92</v>
      </c>
      <c r="N1028" t="s">
        <v>28</v>
      </c>
      <c r="O1028" s="1">
        <v>46106</v>
      </c>
      <c r="Q1028" t="s">
        <v>673</v>
      </c>
      <c r="S1028" t="s">
        <v>915</v>
      </c>
      <c r="T1028" s="6" t="s">
        <v>941</v>
      </c>
      <c r="U1028" s="6" t="s">
        <v>922</v>
      </c>
      <c r="V1028" s="2" t="s">
        <v>956</v>
      </c>
      <c r="W1028" t="str">
        <f t="shared" si="16"/>
        <v>2000057939_20243</v>
      </c>
      <c r="X1028" s="2" t="s">
        <v>1615</v>
      </c>
    </row>
    <row r="1029" spans="1:24" hidden="1" x14ac:dyDescent="0.35">
      <c r="B1029">
        <v>2000057945</v>
      </c>
      <c r="C1029" s="1">
        <v>44475</v>
      </c>
      <c r="D1029" t="s">
        <v>2972</v>
      </c>
      <c r="F1029" t="s">
        <v>32</v>
      </c>
      <c r="G1029" t="s">
        <v>1764</v>
      </c>
      <c r="H1029" t="s">
        <v>2973</v>
      </c>
      <c r="I1029" t="s">
        <v>41</v>
      </c>
      <c r="J1029">
        <v>0.88</v>
      </c>
      <c r="K1029">
        <v>2.6</v>
      </c>
      <c r="L1029">
        <v>5</v>
      </c>
      <c r="M1029">
        <v>0.22</v>
      </c>
      <c r="N1029" t="s">
        <v>2310</v>
      </c>
      <c r="O1029" s="1">
        <v>45205</v>
      </c>
      <c r="S1029" t="s">
        <v>915</v>
      </c>
      <c r="T1029" s="6" t="s">
        <v>948</v>
      </c>
      <c r="U1029" s="6" t="s">
        <v>927</v>
      </c>
      <c r="V1029" s="2" t="s">
        <v>952</v>
      </c>
      <c r="W1029" t="str">
        <f t="shared" si="16"/>
        <v>2000057945_202110</v>
      </c>
      <c r="X1029" s="2" t="s">
        <v>1616</v>
      </c>
    </row>
    <row r="1030" spans="1:24" hidden="1" x14ac:dyDescent="0.35">
      <c r="B1030">
        <v>2000057945</v>
      </c>
      <c r="C1030" s="1">
        <v>45041</v>
      </c>
      <c r="D1030" t="s">
        <v>2972</v>
      </c>
      <c r="F1030" t="s">
        <v>32</v>
      </c>
      <c r="G1030" t="s">
        <v>1764</v>
      </c>
      <c r="H1030" t="s">
        <v>2973</v>
      </c>
      <c r="I1030" t="s">
        <v>41</v>
      </c>
      <c r="J1030">
        <v>0.88900000000000001</v>
      </c>
      <c r="K1030">
        <v>3</v>
      </c>
      <c r="L1030">
        <v>3</v>
      </c>
      <c r="M1030">
        <v>0.79</v>
      </c>
      <c r="N1030" t="s">
        <v>2310</v>
      </c>
      <c r="O1030" s="1">
        <v>45772</v>
      </c>
      <c r="S1030" t="s">
        <v>915</v>
      </c>
      <c r="T1030" s="6" t="s">
        <v>946</v>
      </c>
      <c r="U1030" s="6" t="s">
        <v>922</v>
      </c>
      <c r="V1030" s="2" t="s">
        <v>955</v>
      </c>
      <c r="W1030" t="str">
        <f t="shared" si="16"/>
        <v>2000057945_20234</v>
      </c>
      <c r="X1030" s="2" t="s">
        <v>1616</v>
      </c>
    </row>
    <row r="1031" spans="1:24" hidden="1" x14ac:dyDescent="0.35">
      <c r="B1031">
        <v>2000057947</v>
      </c>
      <c r="C1031" s="1">
        <v>45218</v>
      </c>
      <c r="D1031" t="s">
        <v>2976</v>
      </c>
      <c r="F1031" t="s">
        <v>19</v>
      </c>
      <c r="G1031" t="s">
        <v>1606</v>
      </c>
      <c r="H1031" t="s">
        <v>2977</v>
      </c>
      <c r="I1031" t="s">
        <v>41</v>
      </c>
      <c r="J1031">
        <v>0.92100000000000004</v>
      </c>
      <c r="K1031">
        <v>3</v>
      </c>
      <c r="M1031">
        <v>0.73</v>
      </c>
      <c r="N1031" t="s">
        <v>2314</v>
      </c>
      <c r="O1031" s="1">
        <v>46314</v>
      </c>
      <c r="S1031" t="s">
        <v>915</v>
      </c>
      <c r="T1031" s="6" t="s">
        <v>948</v>
      </c>
      <c r="U1031" s="6" t="s">
        <v>931</v>
      </c>
      <c r="V1031" s="2" t="s">
        <v>955</v>
      </c>
      <c r="W1031" t="str">
        <f t="shared" si="16"/>
        <v>2000057947_202310</v>
      </c>
      <c r="X1031" s="2" t="s">
        <v>1616</v>
      </c>
    </row>
    <row r="1032" spans="1:24" hidden="1" x14ac:dyDescent="0.35">
      <c r="A1032">
        <v>19</v>
      </c>
      <c r="B1032">
        <v>2000057952</v>
      </c>
      <c r="C1032" s="1">
        <v>44302</v>
      </c>
      <c r="D1032" t="s">
        <v>189</v>
      </c>
      <c r="E1032" t="s">
        <v>18</v>
      </c>
      <c r="F1032" t="s">
        <v>19</v>
      </c>
      <c r="G1032" t="s">
        <v>20</v>
      </c>
      <c r="H1032" t="s">
        <v>190</v>
      </c>
      <c r="I1032" t="s">
        <v>22</v>
      </c>
      <c r="J1032">
        <v>0.8</v>
      </c>
      <c r="K1032">
        <v>3</v>
      </c>
      <c r="L1032">
        <v>2</v>
      </c>
      <c r="M1032">
        <v>0.79</v>
      </c>
      <c r="N1032" t="s">
        <v>28</v>
      </c>
      <c r="O1032" s="1">
        <v>45032</v>
      </c>
      <c r="R1032" t="s">
        <v>24</v>
      </c>
      <c r="S1032" t="s">
        <v>915</v>
      </c>
      <c r="T1032" s="6" t="s">
        <v>946</v>
      </c>
      <c r="U1032" s="6" t="s">
        <v>928</v>
      </c>
      <c r="V1032" s="2" t="s">
        <v>952</v>
      </c>
      <c r="W1032" t="str">
        <f t="shared" si="16"/>
        <v>2000057952_20214</v>
      </c>
      <c r="X1032" s="2" t="s">
        <v>1615</v>
      </c>
    </row>
    <row r="1033" spans="1:24" hidden="1" x14ac:dyDescent="0.35">
      <c r="A1033">
        <v>29</v>
      </c>
      <c r="B1033">
        <v>2000057952</v>
      </c>
      <c r="C1033" s="1">
        <v>45028</v>
      </c>
      <c r="D1033" t="s">
        <v>189</v>
      </c>
      <c r="E1033" t="s">
        <v>18</v>
      </c>
      <c r="F1033" t="s">
        <v>19</v>
      </c>
      <c r="G1033" t="s">
        <v>20</v>
      </c>
      <c r="H1033" t="s">
        <v>569</v>
      </c>
      <c r="I1033" t="s">
        <v>22</v>
      </c>
      <c r="J1033">
        <v>0.85199999999999998</v>
      </c>
      <c r="K1033">
        <v>2.8</v>
      </c>
      <c r="L1033">
        <v>1</v>
      </c>
      <c r="M1033">
        <v>0.9</v>
      </c>
      <c r="N1033" t="s">
        <v>28</v>
      </c>
      <c r="O1033" s="1">
        <v>45759</v>
      </c>
      <c r="S1033" t="s">
        <v>915</v>
      </c>
      <c r="T1033" s="6" t="s">
        <v>946</v>
      </c>
      <c r="U1033" s="6" t="s">
        <v>949</v>
      </c>
      <c r="V1033" s="2" t="s">
        <v>955</v>
      </c>
      <c r="W1033" t="str">
        <f t="shared" si="16"/>
        <v>2000057952_20234</v>
      </c>
      <c r="X1033" s="2" t="s">
        <v>1615</v>
      </c>
    </row>
    <row r="1034" spans="1:24" hidden="1" x14ac:dyDescent="0.35">
      <c r="A1034">
        <v>9</v>
      </c>
      <c r="B1034">
        <v>2000057952</v>
      </c>
      <c r="C1034" s="1">
        <v>43554</v>
      </c>
      <c r="D1034" t="s">
        <v>189</v>
      </c>
      <c r="E1034" t="s">
        <v>18</v>
      </c>
      <c r="F1034" t="s">
        <v>19</v>
      </c>
      <c r="G1034" t="s">
        <v>20</v>
      </c>
      <c r="H1034" t="s">
        <v>1620</v>
      </c>
      <c r="I1034" t="s">
        <v>22</v>
      </c>
      <c r="J1034">
        <v>0.98</v>
      </c>
      <c r="K1034">
        <v>2.8</v>
      </c>
      <c r="L1034">
        <v>1</v>
      </c>
      <c r="N1034" t="s">
        <v>28</v>
      </c>
      <c r="O1034" s="1">
        <v>44285</v>
      </c>
      <c r="S1034" t="s">
        <v>915</v>
      </c>
      <c r="T1034" s="5" t="s">
        <v>941</v>
      </c>
      <c r="U1034" s="5">
        <v>30</v>
      </c>
      <c r="V1034" t="s">
        <v>1618</v>
      </c>
      <c r="W1034" t="str">
        <f t="shared" si="16"/>
        <v>2000057952_20193</v>
      </c>
      <c r="X1034" s="2" t="s">
        <v>1615</v>
      </c>
    </row>
    <row r="1035" spans="1:24" hidden="1" x14ac:dyDescent="0.35">
      <c r="A1035">
        <v>18</v>
      </c>
      <c r="B1035">
        <v>2000069273</v>
      </c>
      <c r="C1035" s="1">
        <v>45749</v>
      </c>
      <c r="D1035" t="s">
        <v>3586</v>
      </c>
      <c r="E1035" t="s">
        <v>18</v>
      </c>
      <c r="F1035" t="s">
        <v>43</v>
      </c>
      <c r="G1035" t="s">
        <v>20</v>
      </c>
      <c r="H1035" t="s">
        <v>3587</v>
      </c>
      <c r="I1035" t="s">
        <v>41</v>
      </c>
      <c r="J1035">
        <v>1</v>
      </c>
      <c r="K1035">
        <v>3</v>
      </c>
      <c r="L1035">
        <v>0</v>
      </c>
      <c r="M1035">
        <v>0.97</v>
      </c>
      <c r="N1035" t="s">
        <v>368</v>
      </c>
      <c r="O1035" s="1">
        <v>46845</v>
      </c>
      <c r="P1035" t="s">
        <v>2297</v>
      </c>
      <c r="S1035" t="s">
        <v>915</v>
      </c>
      <c r="T1035" s="5" t="s">
        <v>946</v>
      </c>
      <c r="U1035" s="5" t="s">
        <v>921</v>
      </c>
      <c r="V1035" t="s">
        <v>1650</v>
      </c>
      <c r="W1035" t="str">
        <f t="shared" si="16"/>
        <v>2000069273_20254</v>
      </c>
      <c r="X1035" t="s">
        <v>1615</v>
      </c>
    </row>
    <row r="1036" spans="1:24" hidden="1" x14ac:dyDescent="0.35">
      <c r="A1036">
        <v>52</v>
      </c>
      <c r="B1036">
        <v>2000057954</v>
      </c>
      <c r="C1036" s="1">
        <v>45482</v>
      </c>
      <c r="D1036" t="s">
        <v>479</v>
      </c>
      <c r="E1036" t="s">
        <v>18</v>
      </c>
      <c r="F1036" t="s">
        <v>473</v>
      </c>
      <c r="G1036" t="s">
        <v>82</v>
      </c>
      <c r="H1036" t="s">
        <v>480</v>
      </c>
      <c r="I1036" t="s">
        <v>41</v>
      </c>
      <c r="J1036">
        <v>1</v>
      </c>
      <c r="K1036">
        <v>3</v>
      </c>
      <c r="L1036">
        <v>0</v>
      </c>
      <c r="M1036">
        <v>0.9</v>
      </c>
      <c r="N1036" t="s">
        <v>368</v>
      </c>
      <c r="O1036" s="1">
        <v>46577</v>
      </c>
      <c r="S1036" t="s">
        <v>915</v>
      </c>
      <c r="T1036" s="6" t="s">
        <v>936</v>
      </c>
      <c r="U1036" s="6" t="s">
        <v>942</v>
      </c>
      <c r="V1036" s="2" t="s">
        <v>956</v>
      </c>
      <c r="W1036" t="str">
        <f t="shared" si="16"/>
        <v>2000057954_20247</v>
      </c>
      <c r="X1036" s="2" t="s">
        <v>1615</v>
      </c>
    </row>
    <row r="1037" spans="1:24" hidden="1" x14ac:dyDescent="0.35">
      <c r="A1037">
        <v>71</v>
      </c>
      <c r="B1037">
        <v>2000057954</v>
      </c>
      <c r="C1037" s="1">
        <v>44754</v>
      </c>
      <c r="D1037" t="s">
        <v>479</v>
      </c>
      <c r="E1037" t="s">
        <v>18</v>
      </c>
      <c r="F1037" t="s">
        <v>473</v>
      </c>
      <c r="G1037" t="s">
        <v>82</v>
      </c>
      <c r="H1037" t="s">
        <v>480</v>
      </c>
      <c r="I1037" t="s">
        <v>41</v>
      </c>
      <c r="J1037">
        <v>0.86799999999999999</v>
      </c>
      <c r="K1037">
        <v>2.6</v>
      </c>
      <c r="L1037">
        <v>2</v>
      </c>
      <c r="M1037">
        <v>0.87</v>
      </c>
      <c r="N1037" t="s">
        <v>28</v>
      </c>
      <c r="O1037" s="1">
        <v>45485</v>
      </c>
      <c r="S1037" t="s">
        <v>915</v>
      </c>
      <c r="T1037" s="6" t="s">
        <v>936</v>
      </c>
      <c r="U1037" s="6" t="s">
        <v>949</v>
      </c>
      <c r="V1037" s="2" t="s">
        <v>954</v>
      </c>
      <c r="W1037" t="str">
        <f t="shared" si="16"/>
        <v>2000057954_20227</v>
      </c>
      <c r="X1037" s="2" t="s">
        <v>1615</v>
      </c>
    </row>
    <row r="1038" spans="1:24" hidden="1" x14ac:dyDescent="0.35">
      <c r="B1038">
        <v>2000057992</v>
      </c>
      <c r="C1038" s="1">
        <v>45160</v>
      </c>
      <c r="D1038" t="s">
        <v>2980</v>
      </c>
      <c r="F1038" t="s">
        <v>39</v>
      </c>
      <c r="G1038" t="s">
        <v>1606</v>
      </c>
      <c r="H1038" t="s">
        <v>2981</v>
      </c>
      <c r="I1038" t="s">
        <v>41</v>
      </c>
      <c r="J1038">
        <v>0.8</v>
      </c>
      <c r="K1038">
        <v>3</v>
      </c>
      <c r="M1038">
        <v>0.84</v>
      </c>
      <c r="N1038" t="s">
        <v>2310</v>
      </c>
      <c r="O1038" s="1">
        <v>45891</v>
      </c>
      <c r="S1038" t="s">
        <v>915</v>
      </c>
      <c r="T1038" s="6" t="s">
        <v>940</v>
      </c>
      <c r="U1038" s="6" t="s">
        <v>933</v>
      </c>
      <c r="V1038" s="2" t="s">
        <v>955</v>
      </c>
      <c r="W1038" t="str">
        <f t="shared" si="16"/>
        <v>2000057992_20238</v>
      </c>
      <c r="X1038" s="2" t="s">
        <v>1616</v>
      </c>
    </row>
    <row r="1039" spans="1:24" hidden="1" x14ac:dyDescent="0.35">
      <c r="A1039">
        <v>33</v>
      </c>
      <c r="B1039">
        <v>2000057994</v>
      </c>
      <c r="C1039" s="1">
        <v>44673</v>
      </c>
      <c r="D1039" t="s">
        <v>3752</v>
      </c>
      <c r="E1039" t="s">
        <v>18</v>
      </c>
      <c r="F1039" t="s">
        <v>148</v>
      </c>
      <c r="G1039" t="s">
        <v>20</v>
      </c>
      <c r="H1039" t="s">
        <v>411</v>
      </c>
      <c r="I1039" t="s">
        <v>148</v>
      </c>
      <c r="J1039">
        <v>0.88</v>
      </c>
      <c r="K1039">
        <v>2.6</v>
      </c>
      <c r="L1039">
        <v>7</v>
      </c>
      <c r="M1039">
        <v>0.59</v>
      </c>
      <c r="N1039" t="s">
        <v>28</v>
      </c>
      <c r="O1039" s="1">
        <v>45404</v>
      </c>
      <c r="S1039" t="s">
        <v>915</v>
      </c>
      <c r="T1039" s="6" t="s">
        <v>946</v>
      </c>
      <c r="U1039" s="6" t="s">
        <v>933</v>
      </c>
      <c r="V1039" s="2" t="s">
        <v>954</v>
      </c>
      <c r="W1039" t="str">
        <f t="shared" si="16"/>
        <v>2000057994_20224</v>
      </c>
      <c r="X1039" s="2" t="s">
        <v>1615</v>
      </c>
    </row>
    <row r="1040" spans="1:24" hidden="1" x14ac:dyDescent="0.35">
      <c r="A1040">
        <v>22</v>
      </c>
      <c r="B1040">
        <v>2000057994</v>
      </c>
      <c r="C1040" s="1">
        <v>45404</v>
      </c>
      <c r="D1040" t="s">
        <v>3752</v>
      </c>
      <c r="E1040" t="s">
        <v>18</v>
      </c>
      <c r="F1040" t="s">
        <v>148</v>
      </c>
      <c r="G1040" t="s">
        <v>20</v>
      </c>
      <c r="H1040" t="s">
        <v>411</v>
      </c>
      <c r="I1040" t="s">
        <v>148</v>
      </c>
      <c r="J1040">
        <v>0.59399999999999997</v>
      </c>
      <c r="K1040">
        <v>2.8</v>
      </c>
      <c r="L1040">
        <v>3</v>
      </c>
      <c r="M1040">
        <v>0.6</v>
      </c>
      <c r="N1040" t="s">
        <v>23</v>
      </c>
      <c r="O1040" s="1">
        <v>45769</v>
      </c>
      <c r="S1040" t="s">
        <v>915</v>
      </c>
      <c r="T1040" s="6" t="s">
        <v>946</v>
      </c>
      <c r="U1040" s="6" t="s">
        <v>933</v>
      </c>
      <c r="V1040" s="2" t="s">
        <v>956</v>
      </c>
      <c r="W1040" t="str">
        <f t="shared" si="16"/>
        <v>2000057994_20244</v>
      </c>
      <c r="X1040" s="2" t="s">
        <v>1615</v>
      </c>
    </row>
    <row r="1041" spans="1:24" hidden="1" x14ac:dyDescent="0.35">
      <c r="A1041">
        <v>19</v>
      </c>
      <c r="B1041">
        <v>2000041788</v>
      </c>
      <c r="C1041" s="1">
        <v>45750</v>
      </c>
      <c r="D1041" t="s">
        <v>3588</v>
      </c>
      <c r="E1041" t="s">
        <v>18</v>
      </c>
      <c r="F1041" t="s">
        <v>43</v>
      </c>
      <c r="G1041" t="s">
        <v>20</v>
      </c>
      <c r="H1041" t="s">
        <v>910</v>
      </c>
      <c r="I1041" t="s">
        <v>22</v>
      </c>
      <c r="J1041">
        <v>0.77</v>
      </c>
      <c r="K1041">
        <v>2.7</v>
      </c>
      <c r="L1041">
        <v>1</v>
      </c>
      <c r="M1041">
        <v>0.84</v>
      </c>
      <c r="N1041" t="s">
        <v>23</v>
      </c>
      <c r="O1041" s="1">
        <v>46115</v>
      </c>
      <c r="Q1041" t="s">
        <v>3589</v>
      </c>
      <c r="S1041" t="s">
        <v>915</v>
      </c>
      <c r="T1041" s="5" t="s">
        <v>946</v>
      </c>
      <c r="U1041" s="5" t="s">
        <v>941</v>
      </c>
      <c r="V1041" t="s">
        <v>1650</v>
      </c>
      <c r="W1041" t="str">
        <f t="shared" si="16"/>
        <v>2000041788_20254</v>
      </c>
      <c r="X1041" t="s">
        <v>1615</v>
      </c>
    </row>
    <row r="1042" spans="1:24" hidden="1" x14ac:dyDescent="0.35">
      <c r="A1042">
        <v>78</v>
      </c>
      <c r="B1042">
        <v>2000058002</v>
      </c>
      <c r="C1042" s="1">
        <v>45488</v>
      </c>
      <c r="D1042" t="s">
        <v>1833</v>
      </c>
      <c r="E1042" t="s">
        <v>18</v>
      </c>
      <c r="F1042" t="s">
        <v>43</v>
      </c>
      <c r="G1042" t="s">
        <v>1606</v>
      </c>
      <c r="H1042" t="s">
        <v>1834</v>
      </c>
      <c r="I1042" t="s">
        <v>22</v>
      </c>
      <c r="J1042">
        <v>1</v>
      </c>
      <c r="K1042">
        <v>3</v>
      </c>
      <c r="L1042">
        <v>0</v>
      </c>
      <c r="M1042">
        <v>0.91</v>
      </c>
      <c r="N1042" t="s">
        <v>368</v>
      </c>
      <c r="O1042" s="1">
        <v>46583</v>
      </c>
      <c r="Q1042" t="s">
        <v>165</v>
      </c>
      <c r="S1042" t="s">
        <v>915</v>
      </c>
      <c r="T1042" s="5" t="s">
        <v>936</v>
      </c>
      <c r="U1042" s="5" t="s">
        <v>943</v>
      </c>
      <c r="V1042" t="s">
        <v>956</v>
      </c>
      <c r="W1042" t="str">
        <f t="shared" si="16"/>
        <v>2000058002_20247</v>
      </c>
      <c r="X1042" s="2" t="s">
        <v>1616</v>
      </c>
    </row>
    <row r="1043" spans="1:24" hidden="1" x14ac:dyDescent="0.35">
      <c r="B1043">
        <v>2000058002</v>
      </c>
      <c r="C1043" s="1">
        <v>44461</v>
      </c>
      <c r="D1043" t="s">
        <v>1833</v>
      </c>
      <c r="F1043" t="s">
        <v>43</v>
      </c>
      <c r="G1043" t="s">
        <v>1606</v>
      </c>
      <c r="H1043" t="s">
        <v>2982</v>
      </c>
      <c r="I1043" t="s">
        <v>22</v>
      </c>
      <c r="J1043">
        <v>0.86399999999999999</v>
      </c>
      <c r="K1043">
        <v>2.8</v>
      </c>
      <c r="L1043">
        <v>5</v>
      </c>
      <c r="M1043">
        <v>0.93</v>
      </c>
      <c r="N1043" t="s">
        <v>2310</v>
      </c>
      <c r="O1043" s="1">
        <v>45191</v>
      </c>
      <c r="S1043" t="s">
        <v>915</v>
      </c>
      <c r="T1043" s="6" t="s">
        <v>942</v>
      </c>
      <c r="U1043" s="6" t="s">
        <v>933</v>
      </c>
      <c r="V1043" s="2" t="s">
        <v>952</v>
      </c>
      <c r="W1043" t="str">
        <f t="shared" si="16"/>
        <v>2000058002_20219</v>
      </c>
      <c r="X1043" s="2" t="s">
        <v>1616</v>
      </c>
    </row>
    <row r="1044" spans="1:24" hidden="1" x14ac:dyDescent="0.35">
      <c r="B1044">
        <v>2000058008</v>
      </c>
      <c r="C1044" s="1">
        <v>44210</v>
      </c>
      <c r="D1044" t="s">
        <v>2983</v>
      </c>
      <c r="F1044" t="s">
        <v>39</v>
      </c>
      <c r="G1044" t="s">
        <v>1603</v>
      </c>
      <c r="H1044" t="s">
        <v>2984</v>
      </c>
      <c r="I1044" t="s">
        <v>41</v>
      </c>
      <c r="J1044">
        <v>0.92600000000000005</v>
      </c>
      <c r="K1044">
        <v>3</v>
      </c>
      <c r="L1044">
        <v>4</v>
      </c>
      <c r="M1044">
        <v>0.83</v>
      </c>
      <c r="N1044" t="s">
        <v>2314</v>
      </c>
      <c r="O1044" s="1">
        <v>45305</v>
      </c>
      <c r="S1044" t="s">
        <v>915</v>
      </c>
      <c r="T1044" s="6" t="s">
        <v>953</v>
      </c>
      <c r="U1044" s="6" t="s">
        <v>951</v>
      </c>
      <c r="V1044" s="2" t="s">
        <v>952</v>
      </c>
      <c r="W1044" t="str">
        <f t="shared" si="16"/>
        <v>2000058008_20211</v>
      </c>
      <c r="X1044" s="2" t="s">
        <v>1616</v>
      </c>
    </row>
    <row r="1045" spans="1:24" hidden="1" x14ac:dyDescent="0.35">
      <c r="A1045">
        <v>46</v>
      </c>
      <c r="B1045">
        <v>2000058020</v>
      </c>
      <c r="C1045" s="1">
        <v>45433</v>
      </c>
      <c r="D1045" t="s">
        <v>1758</v>
      </c>
      <c r="E1045" t="s">
        <v>18</v>
      </c>
      <c r="F1045" t="s">
        <v>19</v>
      </c>
      <c r="G1045" t="s">
        <v>1759</v>
      </c>
      <c r="H1045" t="s">
        <v>1760</v>
      </c>
      <c r="I1045" t="s">
        <v>22</v>
      </c>
      <c r="J1045">
        <v>0.96699999999999997</v>
      </c>
      <c r="M1045">
        <v>0.98</v>
      </c>
      <c r="N1045" t="s">
        <v>368</v>
      </c>
      <c r="O1045" s="1">
        <v>45798</v>
      </c>
      <c r="Q1045" t="s">
        <v>1761</v>
      </c>
      <c r="R1045" t="s">
        <v>1762</v>
      </c>
      <c r="S1045" t="s">
        <v>915</v>
      </c>
      <c r="T1045" s="5" t="s">
        <v>947</v>
      </c>
      <c r="U1045" s="5" t="s">
        <v>944</v>
      </c>
      <c r="V1045" t="s">
        <v>956</v>
      </c>
      <c r="W1045" t="str">
        <f t="shared" si="16"/>
        <v>2000058020_20245</v>
      </c>
      <c r="X1045" s="2" t="s">
        <v>1616</v>
      </c>
    </row>
    <row r="1046" spans="1:24" hidden="1" x14ac:dyDescent="0.35">
      <c r="B1046">
        <v>2000058020</v>
      </c>
      <c r="C1046" s="1">
        <v>44028</v>
      </c>
      <c r="D1046" t="s">
        <v>1758</v>
      </c>
      <c r="F1046" t="s">
        <v>19</v>
      </c>
      <c r="G1046" t="s">
        <v>1759</v>
      </c>
      <c r="H1046" t="s">
        <v>2985</v>
      </c>
      <c r="I1046" t="s">
        <v>22</v>
      </c>
      <c r="J1046">
        <v>0.79600000000000004</v>
      </c>
      <c r="K1046">
        <v>2.8</v>
      </c>
      <c r="L1046">
        <v>4</v>
      </c>
      <c r="M1046">
        <v>0.91</v>
      </c>
      <c r="N1046" t="s">
        <v>2310</v>
      </c>
      <c r="O1046" s="1">
        <v>44758</v>
      </c>
      <c r="S1046" t="s">
        <v>915</v>
      </c>
      <c r="T1046" s="6" t="s">
        <v>936</v>
      </c>
      <c r="U1046" s="6" t="s">
        <v>928</v>
      </c>
      <c r="V1046" s="2" t="s">
        <v>923</v>
      </c>
      <c r="W1046" t="str">
        <f t="shared" si="16"/>
        <v>2000058020_20207</v>
      </c>
      <c r="X1046" s="2" t="s">
        <v>1616</v>
      </c>
    </row>
    <row r="1047" spans="1:24" hidden="1" x14ac:dyDescent="0.35">
      <c r="B1047">
        <v>2000058020</v>
      </c>
      <c r="C1047" s="1">
        <v>44734</v>
      </c>
      <c r="D1047" t="s">
        <v>1758</v>
      </c>
      <c r="F1047" t="s">
        <v>19</v>
      </c>
      <c r="G1047" t="s">
        <v>1759</v>
      </c>
      <c r="H1047" t="s">
        <v>2986</v>
      </c>
      <c r="I1047" t="s">
        <v>22</v>
      </c>
      <c r="J1047">
        <v>1</v>
      </c>
      <c r="K1047">
        <v>3</v>
      </c>
      <c r="L1047">
        <v>0</v>
      </c>
      <c r="M1047">
        <v>0.98</v>
      </c>
      <c r="N1047" t="s">
        <v>2314</v>
      </c>
      <c r="O1047" s="1">
        <v>45830</v>
      </c>
      <c r="S1047" t="s">
        <v>915</v>
      </c>
      <c r="T1047" s="6" t="s">
        <v>927</v>
      </c>
      <c r="U1047" s="6" t="s">
        <v>933</v>
      </c>
      <c r="V1047" s="2" t="s">
        <v>954</v>
      </c>
      <c r="W1047" t="str">
        <f t="shared" si="16"/>
        <v>2000058020_20226</v>
      </c>
      <c r="X1047" s="2" t="s">
        <v>1616</v>
      </c>
    </row>
    <row r="1048" spans="1:24" hidden="1" x14ac:dyDescent="0.35">
      <c r="B1048">
        <v>2000058026</v>
      </c>
      <c r="C1048" s="1">
        <v>43724</v>
      </c>
      <c r="D1048" t="s">
        <v>3946</v>
      </c>
      <c r="F1048" t="s">
        <v>52</v>
      </c>
      <c r="G1048" t="s">
        <v>1820</v>
      </c>
      <c r="H1048" t="s">
        <v>2987</v>
      </c>
      <c r="I1048" t="s">
        <v>41</v>
      </c>
      <c r="J1048">
        <v>0.56000000000000005</v>
      </c>
      <c r="K1048">
        <v>2.6</v>
      </c>
      <c r="L1048">
        <v>6</v>
      </c>
      <c r="N1048" t="s">
        <v>23</v>
      </c>
      <c r="O1048" s="1">
        <v>44090</v>
      </c>
      <c r="S1048" t="s">
        <v>915</v>
      </c>
      <c r="T1048" s="6" t="s">
        <v>942</v>
      </c>
      <c r="U1048" s="6" t="s">
        <v>928</v>
      </c>
      <c r="V1048" s="2" t="s">
        <v>1618</v>
      </c>
      <c r="W1048" t="str">
        <f t="shared" si="16"/>
        <v>2000058026_20199</v>
      </c>
      <c r="X1048" s="2" t="s">
        <v>1616</v>
      </c>
    </row>
    <row r="1049" spans="1:24" hidden="1" x14ac:dyDescent="0.35">
      <c r="B1049">
        <v>2000058026</v>
      </c>
      <c r="C1049" s="1">
        <v>44509</v>
      </c>
      <c r="D1049" t="s">
        <v>3946</v>
      </c>
      <c r="F1049" t="s">
        <v>52</v>
      </c>
      <c r="G1049" t="s">
        <v>1720</v>
      </c>
      <c r="H1049" t="s">
        <v>2988</v>
      </c>
      <c r="I1049" t="s">
        <v>41</v>
      </c>
      <c r="J1049">
        <v>0.92300000000000004</v>
      </c>
      <c r="K1049">
        <v>2.4</v>
      </c>
      <c r="L1049">
        <v>1</v>
      </c>
      <c r="M1049">
        <v>0.82</v>
      </c>
      <c r="N1049" t="s">
        <v>2310</v>
      </c>
      <c r="O1049" s="1">
        <v>45239</v>
      </c>
      <c r="S1049" t="s">
        <v>915</v>
      </c>
      <c r="T1049" s="6" t="s">
        <v>945</v>
      </c>
      <c r="U1049" s="6" t="s">
        <v>942</v>
      </c>
      <c r="V1049" s="2" t="s">
        <v>952</v>
      </c>
      <c r="W1049" t="str">
        <f t="shared" si="16"/>
        <v>2000058026_202111</v>
      </c>
      <c r="X1049" s="2" t="s">
        <v>1616</v>
      </c>
    </row>
    <row r="1050" spans="1:24" hidden="1" x14ac:dyDescent="0.35">
      <c r="A1050">
        <v>2</v>
      </c>
      <c r="B1050">
        <v>2000058043</v>
      </c>
      <c r="C1050" s="1">
        <v>43887</v>
      </c>
      <c r="D1050" t="s">
        <v>25</v>
      </c>
      <c r="E1050" t="s">
        <v>18</v>
      </c>
      <c r="F1050" t="s">
        <v>19</v>
      </c>
      <c r="G1050" t="s">
        <v>26</v>
      </c>
      <c r="H1050" t="s">
        <v>27</v>
      </c>
      <c r="I1050" t="s">
        <v>22</v>
      </c>
      <c r="J1050">
        <v>0.86439999999999995</v>
      </c>
      <c r="K1050">
        <v>3</v>
      </c>
      <c r="L1050">
        <v>0</v>
      </c>
      <c r="M1050">
        <v>0.88</v>
      </c>
      <c r="N1050" t="s">
        <v>28</v>
      </c>
      <c r="O1050" s="1">
        <v>44618</v>
      </c>
      <c r="P1050" t="s">
        <v>29</v>
      </c>
      <c r="Q1050" t="s">
        <v>30</v>
      </c>
      <c r="S1050" t="s">
        <v>915</v>
      </c>
      <c r="T1050" s="6" t="s">
        <v>921</v>
      </c>
      <c r="U1050" s="6" t="s">
        <v>924</v>
      </c>
      <c r="V1050" s="2" t="s">
        <v>923</v>
      </c>
      <c r="W1050" t="str">
        <f t="shared" si="16"/>
        <v>2000058043_20202</v>
      </c>
      <c r="X1050" s="2" t="s">
        <v>1615</v>
      </c>
    </row>
    <row r="1051" spans="1:24" hidden="1" x14ac:dyDescent="0.35">
      <c r="A1051">
        <v>44</v>
      </c>
      <c r="B1051">
        <v>2000058043</v>
      </c>
      <c r="C1051" s="1">
        <v>45072</v>
      </c>
      <c r="D1051" t="s">
        <v>25</v>
      </c>
      <c r="E1051" t="s">
        <v>18</v>
      </c>
      <c r="F1051" t="s">
        <v>19</v>
      </c>
      <c r="G1051" t="s">
        <v>26</v>
      </c>
      <c r="H1051" t="s">
        <v>445</v>
      </c>
      <c r="I1051" t="s">
        <v>22</v>
      </c>
      <c r="J1051">
        <v>0.97099999999999997</v>
      </c>
      <c r="K1051">
        <v>3</v>
      </c>
      <c r="L1051">
        <v>0</v>
      </c>
      <c r="M1051">
        <v>0.92</v>
      </c>
      <c r="N1051" t="s">
        <v>368</v>
      </c>
      <c r="O1051" s="1">
        <v>46168</v>
      </c>
      <c r="Q1051" t="s">
        <v>587</v>
      </c>
      <c r="S1051" t="s">
        <v>915</v>
      </c>
      <c r="T1051" s="6" t="s">
        <v>947</v>
      </c>
      <c r="U1051" s="6" t="s">
        <v>924</v>
      </c>
      <c r="V1051" s="2" t="s">
        <v>955</v>
      </c>
      <c r="W1051" t="str">
        <f t="shared" si="16"/>
        <v>2000058043_20235</v>
      </c>
      <c r="X1051" s="2" t="s">
        <v>1615</v>
      </c>
    </row>
    <row r="1052" spans="1:24" hidden="1" x14ac:dyDescent="0.35">
      <c r="A1052">
        <v>51</v>
      </c>
      <c r="B1052">
        <v>2000058043</v>
      </c>
      <c r="C1052" s="1">
        <v>44701</v>
      </c>
      <c r="D1052" t="s">
        <v>25</v>
      </c>
      <c r="E1052" t="s">
        <v>18</v>
      </c>
      <c r="F1052" t="s">
        <v>19</v>
      </c>
      <c r="G1052" t="s">
        <v>26</v>
      </c>
      <c r="H1052" t="s">
        <v>445</v>
      </c>
      <c r="I1052" t="s">
        <v>22</v>
      </c>
      <c r="J1052">
        <v>0.73499999999999999</v>
      </c>
      <c r="K1052">
        <v>1.6</v>
      </c>
      <c r="L1052">
        <v>13</v>
      </c>
      <c r="M1052">
        <v>0.91</v>
      </c>
      <c r="N1052" t="s">
        <v>23</v>
      </c>
      <c r="O1052" s="1">
        <v>45066</v>
      </c>
      <c r="S1052" t="s">
        <v>915</v>
      </c>
      <c r="T1052" s="6" t="s">
        <v>947</v>
      </c>
      <c r="U1052" s="6" t="s">
        <v>932</v>
      </c>
      <c r="V1052" s="2" t="s">
        <v>954</v>
      </c>
      <c r="W1052" t="str">
        <f t="shared" si="16"/>
        <v>2000058043_20225</v>
      </c>
      <c r="X1052" s="2" t="s">
        <v>1615</v>
      </c>
    </row>
    <row r="1053" spans="1:24" hidden="1" x14ac:dyDescent="0.35">
      <c r="A1053">
        <v>42</v>
      </c>
      <c r="B1053">
        <v>2000058046</v>
      </c>
      <c r="C1053" s="1">
        <v>44411</v>
      </c>
      <c r="D1053" t="s">
        <v>229</v>
      </c>
      <c r="E1053" t="s">
        <v>18</v>
      </c>
      <c r="F1053" t="s">
        <v>148</v>
      </c>
      <c r="G1053" t="s">
        <v>149</v>
      </c>
      <c r="H1053" t="s">
        <v>230</v>
      </c>
      <c r="I1053" t="s">
        <v>148</v>
      </c>
      <c r="J1053">
        <v>0.875</v>
      </c>
      <c r="K1053">
        <v>2.75</v>
      </c>
      <c r="L1053">
        <v>2</v>
      </c>
      <c r="M1053">
        <v>0.55000000000000004</v>
      </c>
      <c r="N1053" t="s">
        <v>28</v>
      </c>
      <c r="O1053" s="1">
        <v>45141</v>
      </c>
      <c r="S1053" t="s">
        <v>915</v>
      </c>
      <c r="T1053" s="6" t="s">
        <v>940</v>
      </c>
      <c r="U1053" s="6" t="s">
        <v>941</v>
      </c>
      <c r="V1053" s="2" t="s">
        <v>952</v>
      </c>
      <c r="W1053" t="str">
        <f t="shared" si="16"/>
        <v>2000058046_20218</v>
      </c>
      <c r="X1053" s="2" t="s">
        <v>1615</v>
      </c>
    </row>
    <row r="1054" spans="1:24" hidden="1" x14ac:dyDescent="0.35">
      <c r="A1054">
        <v>55</v>
      </c>
      <c r="B1054">
        <v>2000058046</v>
      </c>
      <c r="C1054" s="1">
        <v>45147</v>
      </c>
      <c r="D1054" t="s">
        <v>229</v>
      </c>
      <c r="E1054" t="s">
        <v>18</v>
      </c>
      <c r="F1054" t="s">
        <v>148</v>
      </c>
      <c r="G1054" t="s">
        <v>149</v>
      </c>
      <c r="H1054" t="s">
        <v>230</v>
      </c>
      <c r="I1054" t="s">
        <v>148</v>
      </c>
      <c r="J1054">
        <v>1</v>
      </c>
      <c r="K1054">
        <v>2.7</v>
      </c>
      <c r="L1054">
        <v>0</v>
      </c>
      <c r="M1054">
        <v>0.66</v>
      </c>
      <c r="N1054" t="s">
        <v>368</v>
      </c>
      <c r="O1054" s="1">
        <v>46243</v>
      </c>
      <c r="S1054" t="s">
        <v>915</v>
      </c>
      <c r="T1054" s="6" t="s">
        <v>940</v>
      </c>
      <c r="U1054" s="6" t="s">
        <v>942</v>
      </c>
      <c r="V1054" s="2" t="s">
        <v>955</v>
      </c>
      <c r="W1054" t="str">
        <f t="shared" si="16"/>
        <v>2000058046_20238</v>
      </c>
      <c r="X1054" s="2" t="s">
        <v>1615</v>
      </c>
    </row>
    <row r="1055" spans="1:24" hidden="1" x14ac:dyDescent="0.35">
      <c r="B1055">
        <v>2000058056</v>
      </c>
      <c r="C1055" s="1">
        <v>44418</v>
      </c>
      <c r="D1055" t="s">
        <v>2991</v>
      </c>
      <c r="F1055" t="s">
        <v>39</v>
      </c>
      <c r="G1055" t="s">
        <v>1606</v>
      </c>
      <c r="H1055" t="s">
        <v>2992</v>
      </c>
      <c r="I1055" t="s">
        <v>41</v>
      </c>
      <c r="J1055">
        <v>0.93799999999999994</v>
      </c>
      <c r="K1055">
        <v>2.7</v>
      </c>
      <c r="L1055">
        <v>4</v>
      </c>
      <c r="M1055">
        <v>0.89</v>
      </c>
      <c r="N1055" t="s">
        <v>2310</v>
      </c>
      <c r="O1055" s="1">
        <v>45148</v>
      </c>
      <c r="S1055" t="s">
        <v>915</v>
      </c>
      <c r="T1055" s="6" t="s">
        <v>940</v>
      </c>
      <c r="U1055" s="6" t="s">
        <v>948</v>
      </c>
      <c r="V1055" s="2" t="s">
        <v>952</v>
      </c>
      <c r="W1055" t="str">
        <f t="shared" si="16"/>
        <v>2000058056_20218</v>
      </c>
      <c r="X1055" s="2" t="s">
        <v>1616</v>
      </c>
    </row>
    <row r="1056" spans="1:24" hidden="1" x14ac:dyDescent="0.35">
      <c r="B1056">
        <v>2000058056</v>
      </c>
      <c r="C1056" s="1">
        <v>45226</v>
      </c>
      <c r="D1056" t="s">
        <v>2991</v>
      </c>
      <c r="F1056" t="s">
        <v>39</v>
      </c>
      <c r="G1056" t="s">
        <v>1606</v>
      </c>
      <c r="H1056" t="s">
        <v>2993</v>
      </c>
      <c r="I1056" t="s">
        <v>41</v>
      </c>
      <c r="J1056">
        <v>0.93799999999999994</v>
      </c>
      <c r="K1056">
        <v>3</v>
      </c>
      <c r="M1056">
        <v>0.79</v>
      </c>
      <c r="N1056" t="s">
        <v>2314</v>
      </c>
      <c r="O1056" s="1">
        <v>46322</v>
      </c>
      <c r="S1056" t="s">
        <v>915</v>
      </c>
      <c r="T1056" s="6" t="s">
        <v>948</v>
      </c>
      <c r="U1056" s="6" t="s">
        <v>925</v>
      </c>
      <c r="V1056" s="2" t="s">
        <v>955</v>
      </c>
      <c r="W1056" t="str">
        <f t="shared" si="16"/>
        <v>2000058056_202310</v>
      </c>
      <c r="X1056" s="2" t="s">
        <v>1616</v>
      </c>
    </row>
    <row r="1057" spans="1:24" hidden="1" x14ac:dyDescent="0.35">
      <c r="A1057">
        <v>33</v>
      </c>
      <c r="B1057">
        <v>2000058066</v>
      </c>
      <c r="C1057" s="1">
        <v>44097</v>
      </c>
      <c r="D1057" t="s">
        <v>3882</v>
      </c>
      <c r="E1057" t="s">
        <v>18</v>
      </c>
      <c r="F1057" t="s">
        <v>39</v>
      </c>
      <c r="G1057" t="s">
        <v>20</v>
      </c>
      <c r="H1057" t="s">
        <v>103</v>
      </c>
      <c r="I1057" t="s">
        <v>41</v>
      </c>
      <c r="J1057">
        <v>0.91700000000000004</v>
      </c>
      <c r="K1057">
        <v>2.2999999999999998</v>
      </c>
      <c r="L1057">
        <v>2</v>
      </c>
      <c r="M1057">
        <v>0.75</v>
      </c>
      <c r="N1057" t="s">
        <v>28</v>
      </c>
      <c r="O1057" s="1">
        <v>44827</v>
      </c>
      <c r="S1057" t="s">
        <v>915</v>
      </c>
      <c r="T1057" s="6" t="s">
        <v>942</v>
      </c>
      <c r="U1057" s="6" t="s">
        <v>934</v>
      </c>
      <c r="V1057" s="2" t="s">
        <v>923</v>
      </c>
      <c r="W1057" t="str">
        <f t="shared" si="16"/>
        <v>2000058066_20209</v>
      </c>
      <c r="X1057" s="2" t="s">
        <v>1615</v>
      </c>
    </row>
    <row r="1058" spans="1:24" hidden="1" x14ac:dyDescent="0.35">
      <c r="A1058">
        <v>91</v>
      </c>
      <c r="B1058">
        <v>2000058066</v>
      </c>
      <c r="C1058" s="1">
        <v>44826</v>
      </c>
      <c r="D1058" t="s">
        <v>3882</v>
      </c>
      <c r="E1058" t="s">
        <v>18</v>
      </c>
      <c r="F1058" t="s">
        <v>39</v>
      </c>
      <c r="G1058" t="s">
        <v>20</v>
      </c>
      <c r="H1058" t="s">
        <v>103</v>
      </c>
      <c r="I1058" t="s">
        <v>41</v>
      </c>
      <c r="J1058">
        <v>0.81299999999999994</v>
      </c>
      <c r="K1058">
        <v>2.2999999999999998</v>
      </c>
      <c r="L1058">
        <v>8</v>
      </c>
      <c r="M1058">
        <v>0.75</v>
      </c>
      <c r="N1058" t="s">
        <v>28</v>
      </c>
      <c r="O1058" s="1">
        <v>45557</v>
      </c>
      <c r="S1058" t="s">
        <v>915</v>
      </c>
      <c r="T1058" s="6" t="s">
        <v>942</v>
      </c>
      <c r="U1058" s="6" t="s">
        <v>933</v>
      </c>
      <c r="V1058" s="2" t="s">
        <v>954</v>
      </c>
      <c r="W1058" t="str">
        <f t="shared" si="16"/>
        <v>2000058066_20229</v>
      </c>
      <c r="X1058" s="2" t="s">
        <v>1615</v>
      </c>
    </row>
    <row r="1059" spans="1:24" hidden="1" x14ac:dyDescent="0.35">
      <c r="A1059">
        <v>68</v>
      </c>
      <c r="B1059">
        <v>2000058066</v>
      </c>
      <c r="C1059" s="1">
        <v>45552</v>
      </c>
      <c r="D1059" t="s">
        <v>3882</v>
      </c>
      <c r="E1059" t="s">
        <v>18</v>
      </c>
      <c r="F1059" t="s">
        <v>148</v>
      </c>
      <c r="G1059" t="s">
        <v>20</v>
      </c>
      <c r="H1059" t="s">
        <v>1645</v>
      </c>
      <c r="I1059" t="s">
        <v>373</v>
      </c>
      <c r="J1059">
        <v>0.60699999999999998</v>
      </c>
      <c r="K1059">
        <v>2.8</v>
      </c>
      <c r="L1059">
        <v>2</v>
      </c>
      <c r="M1059">
        <v>0.6</v>
      </c>
      <c r="N1059" t="s">
        <v>23</v>
      </c>
      <c r="O1059" s="1">
        <v>45917</v>
      </c>
      <c r="S1059" t="s">
        <v>915</v>
      </c>
      <c r="T1059" s="6" t="s">
        <v>942</v>
      </c>
      <c r="U1059" s="6" t="s">
        <v>929</v>
      </c>
      <c r="V1059" s="2" t="s">
        <v>956</v>
      </c>
      <c r="W1059" t="str">
        <f t="shared" si="16"/>
        <v>2000058066_20249</v>
      </c>
      <c r="X1059" s="2" t="s">
        <v>1615</v>
      </c>
    </row>
    <row r="1060" spans="1:24" hidden="1" x14ac:dyDescent="0.35">
      <c r="B1060">
        <v>2000058069</v>
      </c>
      <c r="C1060" s="1">
        <v>43900</v>
      </c>
      <c r="D1060" t="s">
        <v>2994</v>
      </c>
      <c r="F1060" t="s">
        <v>43</v>
      </c>
      <c r="G1060" t="s">
        <v>1720</v>
      </c>
      <c r="H1060" t="s">
        <v>2995</v>
      </c>
      <c r="I1060" t="s">
        <v>22</v>
      </c>
      <c r="J1060">
        <v>0.9153</v>
      </c>
      <c r="K1060">
        <v>2.2000000000000002</v>
      </c>
      <c r="L1060">
        <v>4</v>
      </c>
      <c r="M1060">
        <v>0.91</v>
      </c>
      <c r="N1060" t="s">
        <v>2310</v>
      </c>
      <c r="O1060" s="1">
        <v>44630</v>
      </c>
      <c r="S1060" t="s">
        <v>915</v>
      </c>
      <c r="T1060" s="6" t="s">
        <v>941</v>
      </c>
      <c r="U1060" s="6" t="s">
        <v>948</v>
      </c>
      <c r="V1060" s="2" t="s">
        <v>923</v>
      </c>
      <c r="W1060" t="str">
        <f t="shared" si="16"/>
        <v>2000058069_20203</v>
      </c>
      <c r="X1060" s="2" t="s">
        <v>1616</v>
      </c>
    </row>
    <row r="1061" spans="1:24" hidden="1" x14ac:dyDescent="0.35">
      <c r="B1061">
        <v>2000058069</v>
      </c>
      <c r="C1061" s="1">
        <v>44635</v>
      </c>
      <c r="D1061" t="s">
        <v>2994</v>
      </c>
      <c r="F1061" t="s">
        <v>43</v>
      </c>
      <c r="G1061" t="s">
        <v>1606</v>
      </c>
      <c r="H1061" t="s">
        <v>2996</v>
      </c>
      <c r="I1061" t="s">
        <v>22</v>
      </c>
      <c r="J1061">
        <v>0.94399999999999995</v>
      </c>
      <c r="K1061">
        <v>3</v>
      </c>
      <c r="L1061">
        <v>2</v>
      </c>
      <c r="M1061">
        <v>0.94</v>
      </c>
      <c r="N1061" t="s">
        <v>2314</v>
      </c>
      <c r="O1061" s="1">
        <v>45731</v>
      </c>
      <c r="S1061" t="s">
        <v>915</v>
      </c>
      <c r="T1061" s="6" t="s">
        <v>941</v>
      </c>
      <c r="U1061" s="6" t="s">
        <v>943</v>
      </c>
      <c r="V1061" s="2" t="s">
        <v>954</v>
      </c>
      <c r="W1061" t="str">
        <f t="shared" si="16"/>
        <v>2000058069_20223</v>
      </c>
      <c r="X1061" s="2" t="s">
        <v>1616</v>
      </c>
    </row>
    <row r="1062" spans="1:24" hidden="1" x14ac:dyDescent="0.35">
      <c r="A1062">
        <v>51</v>
      </c>
      <c r="B1062">
        <v>2000055791</v>
      </c>
      <c r="C1062" s="1">
        <v>45762</v>
      </c>
      <c r="D1062" t="s">
        <v>2536</v>
      </c>
      <c r="E1062" t="s">
        <v>18</v>
      </c>
      <c r="F1062" t="s">
        <v>43</v>
      </c>
      <c r="G1062" t="s">
        <v>1606</v>
      </c>
      <c r="H1062" t="s">
        <v>3684</v>
      </c>
      <c r="I1062" t="s">
        <v>22</v>
      </c>
      <c r="J1062">
        <v>0.98299999999999998</v>
      </c>
      <c r="K1062">
        <v>3</v>
      </c>
      <c r="L1062">
        <v>1</v>
      </c>
      <c r="M1062">
        <v>0.96</v>
      </c>
      <c r="N1062" t="s">
        <v>2314</v>
      </c>
      <c r="O1062" s="1">
        <v>46858</v>
      </c>
      <c r="P1062" t="s">
        <v>3697</v>
      </c>
      <c r="R1062" t="s">
        <v>1613</v>
      </c>
      <c r="S1062" t="s">
        <v>915</v>
      </c>
      <c r="T1062" s="6" t="s">
        <v>946</v>
      </c>
      <c r="U1062" s="6" t="s">
        <v>943</v>
      </c>
      <c r="V1062" s="2" t="s">
        <v>1650</v>
      </c>
      <c r="W1062" t="str">
        <f t="shared" si="16"/>
        <v>2000055791_20254</v>
      </c>
      <c r="X1062" t="s">
        <v>1616</v>
      </c>
    </row>
    <row r="1063" spans="1:24" hidden="1" x14ac:dyDescent="0.35">
      <c r="A1063">
        <v>41</v>
      </c>
      <c r="B1063">
        <v>2000058094</v>
      </c>
      <c r="C1063" s="1">
        <v>45450</v>
      </c>
      <c r="D1063" t="s">
        <v>62</v>
      </c>
      <c r="E1063" t="s">
        <v>18</v>
      </c>
      <c r="F1063" t="s">
        <v>373</v>
      </c>
      <c r="G1063" t="s">
        <v>20</v>
      </c>
      <c r="H1063" t="s">
        <v>463</v>
      </c>
      <c r="I1063" t="s">
        <v>41</v>
      </c>
      <c r="J1063">
        <v>0.97099999999999997</v>
      </c>
      <c r="K1063">
        <v>2.7</v>
      </c>
      <c r="L1063">
        <v>1</v>
      </c>
      <c r="M1063">
        <v>0.87</v>
      </c>
      <c r="N1063" t="s">
        <v>28</v>
      </c>
      <c r="O1063" s="1">
        <v>46180</v>
      </c>
      <c r="S1063" t="s">
        <v>915</v>
      </c>
      <c r="T1063" s="6" t="s">
        <v>927</v>
      </c>
      <c r="U1063" s="6" t="s">
        <v>936</v>
      </c>
      <c r="V1063" s="2" t="s">
        <v>956</v>
      </c>
      <c r="W1063" t="str">
        <f t="shared" si="16"/>
        <v>2000058094_20246</v>
      </c>
      <c r="X1063" s="2" t="s">
        <v>1615</v>
      </c>
    </row>
    <row r="1064" spans="1:24" hidden="1" x14ac:dyDescent="0.35">
      <c r="A1064">
        <v>15</v>
      </c>
      <c r="B1064">
        <v>2000058094</v>
      </c>
      <c r="C1064" s="1">
        <v>44006</v>
      </c>
      <c r="D1064" t="s">
        <v>62</v>
      </c>
      <c r="E1064" t="s">
        <v>18</v>
      </c>
      <c r="F1064" t="s">
        <v>52</v>
      </c>
      <c r="G1064" t="s">
        <v>20</v>
      </c>
      <c r="H1064" t="s">
        <v>63</v>
      </c>
      <c r="I1064" t="s">
        <v>41</v>
      </c>
      <c r="J1064">
        <v>0.7</v>
      </c>
      <c r="K1064">
        <v>2.6</v>
      </c>
      <c r="L1064">
        <v>4</v>
      </c>
      <c r="M1064">
        <v>0.88500000000000001</v>
      </c>
      <c r="N1064" t="s">
        <v>28</v>
      </c>
      <c r="O1064" s="1">
        <v>44736</v>
      </c>
      <c r="S1064" t="s">
        <v>915</v>
      </c>
      <c r="T1064" s="6" t="s">
        <v>927</v>
      </c>
      <c r="U1064" s="6" t="s">
        <v>935</v>
      </c>
      <c r="V1064" s="2" t="s">
        <v>923</v>
      </c>
      <c r="W1064" t="str">
        <f t="shared" si="16"/>
        <v>2000058094_20206</v>
      </c>
      <c r="X1064" s="2" t="s">
        <v>1615</v>
      </c>
    </row>
    <row r="1065" spans="1:24" hidden="1" x14ac:dyDescent="0.35">
      <c r="A1065">
        <v>63</v>
      </c>
      <c r="B1065">
        <v>2000058094</v>
      </c>
      <c r="C1065" s="1">
        <v>44728</v>
      </c>
      <c r="D1065" t="s">
        <v>62</v>
      </c>
      <c r="E1065" t="s">
        <v>18</v>
      </c>
      <c r="F1065" t="s">
        <v>373</v>
      </c>
      <c r="G1065" t="s">
        <v>20</v>
      </c>
      <c r="H1065" t="s">
        <v>463</v>
      </c>
      <c r="I1065" t="s">
        <v>41</v>
      </c>
      <c r="J1065">
        <v>0.91100000000000003</v>
      </c>
      <c r="K1065">
        <v>2.6</v>
      </c>
      <c r="L1065">
        <v>2</v>
      </c>
      <c r="M1065">
        <v>0.77</v>
      </c>
      <c r="N1065" t="s">
        <v>28</v>
      </c>
      <c r="O1065" s="1">
        <v>45459</v>
      </c>
      <c r="S1065" t="s">
        <v>915</v>
      </c>
      <c r="T1065" s="6" t="s">
        <v>927</v>
      </c>
      <c r="U1065" s="6" t="s">
        <v>928</v>
      </c>
      <c r="V1065" s="2" t="s">
        <v>954</v>
      </c>
      <c r="W1065" t="str">
        <f t="shared" si="16"/>
        <v>2000058094_20226</v>
      </c>
      <c r="X1065" s="2" t="s">
        <v>1615</v>
      </c>
    </row>
    <row r="1066" spans="1:24" hidden="1" x14ac:dyDescent="0.35">
      <c r="A1066">
        <v>116</v>
      </c>
      <c r="B1066">
        <v>2000058096</v>
      </c>
      <c r="C1066" s="1">
        <v>45552</v>
      </c>
      <c r="D1066" t="s">
        <v>1923</v>
      </c>
      <c r="E1066" t="s">
        <v>18</v>
      </c>
      <c r="F1066" t="s">
        <v>39</v>
      </c>
      <c r="G1066" t="s">
        <v>1603</v>
      </c>
      <c r="H1066" t="s">
        <v>1924</v>
      </c>
      <c r="I1066" t="s">
        <v>41</v>
      </c>
      <c r="J1066">
        <v>0.93500000000000005</v>
      </c>
      <c r="K1066">
        <v>3</v>
      </c>
      <c r="L1066">
        <v>0</v>
      </c>
      <c r="M1066">
        <v>0.87</v>
      </c>
      <c r="N1066" t="s">
        <v>368</v>
      </c>
      <c r="O1066" s="1">
        <v>46647</v>
      </c>
      <c r="Q1066" t="s">
        <v>1925</v>
      </c>
      <c r="S1066" t="s">
        <v>915</v>
      </c>
      <c r="T1066" s="5" t="s">
        <v>942</v>
      </c>
      <c r="U1066" s="5" t="s">
        <v>929</v>
      </c>
      <c r="V1066" t="s">
        <v>956</v>
      </c>
      <c r="W1066" t="str">
        <f t="shared" si="16"/>
        <v>2000058096_20249</v>
      </c>
      <c r="X1066" s="2" t="s">
        <v>1616</v>
      </c>
    </row>
    <row r="1067" spans="1:24" hidden="1" x14ac:dyDescent="0.35">
      <c r="A1067">
        <v>113</v>
      </c>
      <c r="B1067">
        <v>2000058114</v>
      </c>
      <c r="C1067" s="1">
        <v>45548</v>
      </c>
      <c r="D1067" t="s">
        <v>1917</v>
      </c>
      <c r="E1067" t="s">
        <v>18</v>
      </c>
      <c r="F1067" t="s">
        <v>1859</v>
      </c>
      <c r="G1067" t="s">
        <v>1606</v>
      </c>
      <c r="H1067" t="s">
        <v>1918</v>
      </c>
      <c r="I1067" t="s">
        <v>41</v>
      </c>
      <c r="J1067">
        <v>0.96</v>
      </c>
      <c r="K1067">
        <v>3</v>
      </c>
      <c r="L1067">
        <v>1</v>
      </c>
      <c r="M1067">
        <v>0.94</v>
      </c>
      <c r="N1067" t="s">
        <v>368</v>
      </c>
      <c r="O1067" s="1">
        <v>46643</v>
      </c>
      <c r="S1067" t="s">
        <v>915</v>
      </c>
      <c r="T1067" s="5" t="s">
        <v>942</v>
      </c>
      <c r="U1067" s="5" t="s">
        <v>950</v>
      </c>
      <c r="V1067" t="s">
        <v>956</v>
      </c>
      <c r="W1067" t="str">
        <f t="shared" si="16"/>
        <v>2000058114_20249</v>
      </c>
      <c r="X1067" s="2" t="s">
        <v>1616</v>
      </c>
    </row>
    <row r="1068" spans="1:24" hidden="1" x14ac:dyDescent="0.35">
      <c r="A1068">
        <v>81</v>
      </c>
      <c r="B1068">
        <v>2000058115</v>
      </c>
      <c r="C1068" s="1">
        <v>45489</v>
      </c>
      <c r="D1068" t="s">
        <v>1839</v>
      </c>
      <c r="E1068" t="s">
        <v>18</v>
      </c>
      <c r="F1068" t="s">
        <v>39</v>
      </c>
      <c r="G1068" t="s">
        <v>1817</v>
      </c>
      <c r="H1068" t="s">
        <v>1840</v>
      </c>
      <c r="I1068" t="s">
        <v>41</v>
      </c>
      <c r="J1068">
        <v>0.93200000000000005</v>
      </c>
      <c r="K1068">
        <v>3</v>
      </c>
      <c r="L1068">
        <v>2</v>
      </c>
      <c r="M1068">
        <v>0.82</v>
      </c>
      <c r="N1068" t="s">
        <v>368</v>
      </c>
      <c r="O1068" s="1">
        <v>46584</v>
      </c>
      <c r="R1068" t="s">
        <v>1613</v>
      </c>
      <c r="S1068" t="s">
        <v>915</v>
      </c>
      <c r="T1068" s="5" t="s">
        <v>936</v>
      </c>
      <c r="U1068" s="5" t="s">
        <v>928</v>
      </c>
      <c r="V1068" t="s">
        <v>956</v>
      </c>
      <c r="W1068" t="str">
        <f t="shared" si="16"/>
        <v>2000058115_20247</v>
      </c>
      <c r="X1068" s="2" t="s">
        <v>1616</v>
      </c>
    </row>
    <row r="1069" spans="1:24" hidden="1" x14ac:dyDescent="0.35">
      <c r="B1069">
        <v>2000058115</v>
      </c>
      <c r="C1069" s="1">
        <v>43964</v>
      </c>
      <c r="D1069" t="s">
        <v>1839</v>
      </c>
      <c r="F1069" t="s">
        <v>39</v>
      </c>
      <c r="G1069" t="s">
        <v>1609</v>
      </c>
      <c r="H1069" t="s">
        <v>3004</v>
      </c>
      <c r="I1069" t="s">
        <v>41</v>
      </c>
      <c r="J1069">
        <v>0.85899999999999999</v>
      </c>
      <c r="K1069">
        <v>3</v>
      </c>
      <c r="L1069">
        <v>3</v>
      </c>
      <c r="M1069">
        <v>0.85699999999999998</v>
      </c>
      <c r="N1069" t="s">
        <v>2310</v>
      </c>
      <c r="O1069" s="1">
        <v>44694</v>
      </c>
      <c r="S1069" t="s">
        <v>915</v>
      </c>
      <c r="T1069" s="6" t="s">
        <v>947</v>
      </c>
      <c r="U1069" s="6" t="s">
        <v>950</v>
      </c>
      <c r="V1069" s="2" t="s">
        <v>923</v>
      </c>
      <c r="W1069" t="str">
        <f t="shared" si="16"/>
        <v>2000058115_20205</v>
      </c>
      <c r="X1069" s="2" t="s">
        <v>1616</v>
      </c>
    </row>
    <row r="1070" spans="1:24" hidden="1" x14ac:dyDescent="0.35">
      <c r="B1070">
        <v>2000058115</v>
      </c>
      <c r="C1070" s="1">
        <v>44641</v>
      </c>
      <c r="D1070" t="s">
        <v>1839</v>
      </c>
      <c r="F1070" t="s">
        <v>39</v>
      </c>
      <c r="G1070" t="s">
        <v>1609</v>
      </c>
      <c r="H1070" t="s">
        <v>3005</v>
      </c>
      <c r="I1070" t="s">
        <v>41</v>
      </c>
      <c r="J1070">
        <v>0.875</v>
      </c>
      <c r="K1070">
        <v>3</v>
      </c>
      <c r="L1070">
        <v>3</v>
      </c>
      <c r="M1070">
        <v>0.84</v>
      </c>
      <c r="N1070" t="s">
        <v>2310</v>
      </c>
      <c r="O1070" s="1">
        <v>45372</v>
      </c>
      <c r="S1070" t="s">
        <v>915</v>
      </c>
      <c r="T1070" s="6" t="s">
        <v>941</v>
      </c>
      <c r="U1070" s="6" t="s">
        <v>944</v>
      </c>
      <c r="V1070" s="2" t="s">
        <v>954</v>
      </c>
      <c r="W1070" t="str">
        <f t="shared" si="16"/>
        <v>2000058115_20223</v>
      </c>
      <c r="X1070" s="2" t="s">
        <v>1616</v>
      </c>
    </row>
    <row r="1071" spans="1:24" hidden="1" x14ac:dyDescent="0.35">
      <c r="A1071">
        <v>49</v>
      </c>
      <c r="B1071">
        <v>2000058117</v>
      </c>
      <c r="C1071" s="1">
        <v>45440</v>
      </c>
      <c r="D1071" t="s">
        <v>1768</v>
      </c>
      <c r="E1071" t="s">
        <v>18</v>
      </c>
      <c r="F1071" t="s">
        <v>1602</v>
      </c>
      <c r="G1071" t="s">
        <v>1606</v>
      </c>
      <c r="H1071" t="s">
        <v>1769</v>
      </c>
      <c r="I1071" t="s">
        <v>22</v>
      </c>
      <c r="J1071">
        <v>0.875</v>
      </c>
      <c r="K1071">
        <v>3</v>
      </c>
      <c r="L1071">
        <v>3</v>
      </c>
      <c r="M1071">
        <v>0.81</v>
      </c>
      <c r="N1071" t="s">
        <v>28</v>
      </c>
      <c r="O1071" s="1">
        <v>46170</v>
      </c>
      <c r="S1071" t="s">
        <v>915</v>
      </c>
      <c r="T1071" s="5" t="s">
        <v>947</v>
      </c>
      <c r="U1071" s="5" t="s">
        <v>926</v>
      </c>
      <c r="V1071" t="s">
        <v>956</v>
      </c>
      <c r="W1071" t="str">
        <f t="shared" si="16"/>
        <v>2000058117_20245</v>
      </c>
      <c r="X1071" s="2" t="s">
        <v>1616</v>
      </c>
    </row>
    <row r="1072" spans="1:24" hidden="1" x14ac:dyDescent="0.35">
      <c r="A1072">
        <v>38</v>
      </c>
      <c r="B1072">
        <v>2000058120</v>
      </c>
      <c r="C1072" s="1">
        <v>44679</v>
      </c>
      <c r="D1072" t="s">
        <v>419</v>
      </c>
      <c r="E1072" t="s">
        <v>18</v>
      </c>
      <c r="F1072" t="s">
        <v>148</v>
      </c>
      <c r="G1072" t="s">
        <v>20</v>
      </c>
      <c r="H1072" t="s">
        <v>420</v>
      </c>
      <c r="I1072" t="s">
        <v>148</v>
      </c>
      <c r="J1072">
        <v>0.81299999999999994</v>
      </c>
      <c r="K1072">
        <v>2.7</v>
      </c>
      <c r="L1072">
        <v>6</v>
      </c>
      <c r="M1072">
        <v>0.66</v>
      </c>
      <c r="N1072" t="s">
        <v>28</v>
      </c>
      <c r="O1072" s="1">
        <v>45410</v>
      </c>
      <c r="S1072" t="s">
        <v>915</v>
      </c>
      <c r="T1072" s="6" t="s">
        <v>946</v>
      </c>
      <c r="U1072" s="6" t="s">
        <v>926</v>
      </c>
      <c r="V1072" s="2" t="s">
        <v>954</v>
      </c>
      <c r="W1072" t="str">
        <f t="shared" si="16"/>
        <v>2000058120_20224</v>
      </c>
      <c r="X1072" s="2" t="s">
        <v>1615</v>
      </c>
    </row>
    <row r="1073" spans="1:24" hidden="1" x14ac:dyDescent="0.35">
      <c r="A1073">
        <v>50</v>
      </c>
      <c r="B1073">
        <v>2000058130</v>
      </c>
      <c r="C1073" s="1">
        <v>45478</v>
      </c>
      <c r="D1073" t="s">
        <v>481</v>
      </c>
      <c r="E1073" t="s">
        <v>18</v>
      </c>
      <c r="F1073" t="s">
        <v>473</v>
      </c>
      <c r="G1073" t="s">
        <v>20</v>
      </c>
      <c r="H1073" t="s">
        <v>482</v>
      </c>
      <c r="I1073" t="s">
        <v>41</v>
      </c>
      <c r="J1073">
        <v>0.90900000000000003</v>
      </c>
      <c r="K1073">
        <v>2.7</v>
      </c>
      <c r="L1073">
        <v>0</v>
      </c>
      <c r="M1073">
        <v>0.88</v>
      </c>
      <c r="N1073" t="s">
        <v>28</v>
      </c>
      <c r="O1073" s="1">
        <v>46208</v>
      </c>
      <c r="S1073" t="s">
        <v>915</v>
      </c>
      <c r="T1073" s="6" t="s">
        <v>936</v>
      </c>
      <c r="U1073" s="6" t="s">
        <v>947</v>
      </c>
      <c r="V1073" s="2" t="s">
        <v>956</v>
      </c>
      <c r="W1073" t="str">
        <f t="shared" si="16"/>
        <v>2000058130_20247</v>
      </c>
      <c r="X1073" s="2" t="s">
        <v>1615</v>
      </c>
    </row>
    <row r="1074" spans="1:24" hidden="1" x14ac:dyDescent="0.35">
      <c r="A1074">
        <v>72</v>
      </c>
      <c r="B1074">
        <v>2000058130</v>
      </c>
      <c r="C1074" s="1">
        <v>44760</v>
      </c>
      <c r="D1074" t="s">
        <v>481</v>
      </c>
      <c r="E1074" t="s">
        <v>18</v>
      </c>
      <c r="F1074" t="s">
        <v>473</v>
      </c>
      <c r="G1074" t="s">
        <v>20</v>
      </c>
      <c r="H1074" t="s">
        <v>482</v>
      </c>
      <c r="I1074" t="s">
        <v>41</v>
      </c>
      <c r="J1074">
        <v>0.86</v>
      </c>
      <c r="K1074">
        <v>2.6</v>
      </c>
      <c r="L1074">
        <v>4</v>
      </c>
      <c r="M1074">
        <v>0.85</v>
      </c>
      <c r="N1074" t="s">
        <v>28</v>
      </c>
      <c r="O1074" s="1">
        <v>45491</v>
      </c>
      <c r="S1074" t="s">
        <v>915</v>
      </c>
      <c r="T1074" s="6" t="s">
        <v>936</v>
      </c>
      <c r="U1074" s="6" t="s">
        <v>930</v>
      </c>
      <c r="V1074" s="2" t="s">
        <v>954</v>
      </c>
      <c r="W1074" t="str">
        <f t="shared" si="16"/>
        <v>2000058130_20227</v>
      </c>
      <c r="X1074" s="2" t="s">
        <v>1615</v>
      </c>
    </row>
    <row r="1075" spans="1:24" hidden="1" x14ac:dyDescent="0.35">
      <c r="A1075">
        <v>56</v>
      </c>
      <c r="B1075">
        <v>2000058132</v>
      </c>
      <c r="C1075" s="1">
        <v>45148</v>
      </c>
      <c r="D1075" t="s">
        <v>600</v>
      </c>
      <c r="E1075" t="s">
        <v>18</v>
      </c>
      <c r="F1075" t="s">
        <v>39</v>
      </c>
      <c r="G1075" t="s">
        <v>149</v>
      </c>
      <c r="H1075" t="s">
        <v>601</v>
      </c>
      <c r="I1075" t="s">
        <v>41</v>
      </c>
      <c r="J1075">
        <v>0.98499999999999999</v>
      </c>
      <c r="K1075">
        <v>2.8</v>
      </c>
      <c r="L1075">
        <v>4</v>
      </c>
      <c r="M1075">
        <v>0.88</v>
      </c>
      <c r="N1075" t="s">
        <v>28</v>
      </c>
      <c r="O1075" s="1">
        <v>45879</v>
      </c>
      <c r="S1075" t="s">
        <v>915</v>
      </c>
      <c r="T1075" s="6" t="s">
        <v>940</v>
      </c>
      <c r="U1075" s="6" t="s">
        <v>948</v>
      </c>
      <c r="V1075" s="2" t="s">
        <v>955</v>
      </c>
      <c r="W1075" t="str">
        <f t="shared" si="16"/>
        <v>2000058132_20238</v>
      </c>
      <c r="X1075" s="2" t="s">
        <v>1615</v>
      </c>
    </row>
    <row r="1076" spans="1:24" hidden="1" x14ac:dyDescent="0.35">
      <c r="B1076">
        <v>2000058147</v>
      </c>
      <c r="C1076" s="1">
        <v>44526</v>
      </c>
      <c r="D1076" t="s">
        <v>3016</v>
      </c>
      <c r="F1076" t="s">
        <v>19</v>
      </c>
      <c r="G1076" t="s">
        <v>1606</v>
      </c>
      <c r="H1076" t="s">
        <v>3017</v>
      </c>
      <c r="I1076" t="s">
        <v>41</v>
      </c>
      <c r="J1076">
        <v>0.95</v>
      </c>
      <c r="K1076">
        <v>3</v>
      </c>
      <c r="L1076">
        <v>1</v>
      </c>
      <c r="M1076">
        <v>0.76</v>
      </c>
      <c r="N1076" t="s">
        <v>2314</v>
      </c>
      <c r="O1076" s="1">
        <v>45622</v>
      </c>
      <c r="S1076" t="s">
        <v>915</v>
      </c>
      <c r="T1076" s="6" t="s">
        <v>945</v>
      </c>
      <c r="U1076" s="6" t="s">
        <v>924</v>
      </c>
      <c r="V1076" s="2" t="s">
        <v>952</v>
      </c>
      <c r="W1076" t="str">
        <f t="shared" si="16"/>
        <v>2000058147_202111</v>
      </c>
      <c r="X1076" s="2" t="s">
        <v>1616</v>
      </c>
    </row>
    <row r="1077" spans="1:24" hidden="1" x14ac:dyDescent="0.35">
      <c r="A1077">
        <v>150</v>
      </c>
      <c r="B1077">
        <v>2000058147</v>
      </c>
      <c r="C1077" s="1">
        <v>45609</v>
      </c>
      <c r="D1077" t="s">
        <v>3016</v>
      </c>
      <c r="E1077" t="s">
        <v>18</v>
      </c>
      <c r="F1077" t="s">
        <v>376</v>
      </c>
      <c r="G1077" t="s">
        <v>1606</v>
      </c>
      <c r="H1077" t="s">
        <v>3265</v>
      </c>
      <c r="I1077" t="s">
        <v>41</v>
      </c>
      <c r="J1077">
        <v>0.97699999999999998</v>
      </c>
      <c r="K1077">
        <v>3</v>
      </c>
      <c r="L1077">
        <v>1</v>
      </c>
      <c r="M1077">
        <v>0.73</v>
      </c>
      <c r="N1077" t="s">
        <v>368</v>
      </c>
      <c r="O1077" s="1">
        <v>46704</v>
      </c>
      <c r="R1077" t="s">
        <v>1723</v>
      </c>
      <c r="S1077" t="s">
        <v>915</v>
      </c>
      <c r="T1077" s="5" t="s">
        <v>945</v>
      </c>
      <c r="U1077" s="5" t="s">
        <v>950</v>
      </c>
      <c r="V1077" t="s">
        <v>956</v>
      </c>
      <c r="W1077" t="str">
        <f t="shared" si="16"/>
        <v>2000058147_202411</v>
      </c>
      <c r="X1077" t="s">
        <v>1616</v>
      </c>
    </row>
    <row r="1078" spans="1:24" hidden="1" x14ac:dyDescent="0.35">
      <c r="B1078">
        <v>2000058153</v>
      </c>
      <c r="C1078" s="1">
        <v>44508</v>
      </c>
      <c r="D1078" t="s">
        <v>3830</v>
      </c>
      <c r="F1078" t="s">
        <v>39</v>
      </c>
      <c r="G1078" t="s">
        <v>1606</v>
      </c>
      <c r="H1078" t="s">
        <v>3020</v>
      </c>
      <c r="I1078" t="s">
        <v>41</v>
      </c>
      <c r="J1078">
        <v>0.71399999999999997</v>
      </c>
      <c r="K1078">
        <v>2.6</v>
      </c>
      <c r="L1078">
        <v>8</v>
      </c>
      <c r="M1078">
        <v>0.83</v>
      </c>
      <c r="N1078" t="s">
        <v>2361</v>
      </c>
      <c r="O1078" s="1">
        <v>44873</v>
      </c>
      <c r="S1078" t="s">
        <v>915</v>
      </c>
      <c r="T1078" s="6" t="s">
        <v>945</v>
      </c>
      <c r="U1078" s="6" t="s">
        <v>940</v>
      </c>
      <c r="V1078" s="2" t="s">
        <v>952</v>
      </c>
      <c r="W1078" t="str">
        <f t="shared" si="16"/>
        <v>2000058153_202111</v>
      </c>
      <c r="X1078" s="2" t="s">
        <v>1616</v>
      </c>
    </row>
    <row r="1079" spans="1:24" hidden="1" x14ac:dyDescent="0.35">
      <c r="B1079">
        <v>2000058153</v>
      </c>
      <c r="C1079" s="1">
        <v>44819</v>
      </c>
      <c r="D1079" t="s">
        <v>3830</v>
      </c>
      <c r="F1079" t="s">
        <v>39</v>
      </c>
      <c r="G1079" t="s">
        <v>1606</v>
      </c>
      <c r="H1079" t="s">
        <v>3021</v>
      </c>
      <c r="I1079" t="s">
        <v>41</v>
      </c>
      <c r="J1079">
        <v>0.93300000000000005</v>
      </c>
      <c r="K1079">
        <v>3</v>
      </c>
      <c r="L1079">
        <v>1</v>
      </c>
      <c r="M1079">
        <v>0.85</v>
      </c>
      <c r="N1079" t="s">
        <v>2314</v>
      </c>
      <c r="O1079" s="1">
        <v>45915</v>
      </c>
      <c r="S1079" t="s">
        <v>915</v>
      </c>
      <c r="T1079" s="6" t="s">
        <v>942</v>
      </c>
      <c r="U1079" s="6" t="s">
        <v>943</v>
      </c>
      <c r="V1079" s="2" t="s">
        <v>954</v>
      </c>
      <c r="W1079" t="str">
        <f t="shared" si="16"/>
        <v>2000058153_20229</v>
      </c>
      <c r="X1079" s="2" t="s">
        <v>1616</v>
      </c>
    </row>
    <row r="1080" spans="1:24" hidden="1" x14ac:dyDescent="0.35">
      <c r="A1080">
        <v>12</v>
      </c>
      <c r="B1080">
        <v>2000058159</v>
      </c>
      <c r="C1080" s="1">
        <v>44004</v>
      </c>
      <c r="D1080" t="s">
        <v>56</v>
      </c>
      <c r="E1080" t="s">
        <v>18</v>
      </c>
      <c r="F1080" t="s">
        <v>39</v>
      </c>
      <c r="G1080" t="s">
        <v>20</v>
      </c>
      <c r="H1080" t="s">
        <v>57</v>
      </c>
      <c r="I1080" t="s">
        <v>41</v>
      </c>
      <c r="J1080">
        <v>0.69399999999999995</v>
      </c>
      <c r="K1080">
        <v>3</v>
      </c>
      <c r="L1080">
        <v>3</v>
      </c>
      <c r="M1080">
        <v>0.77500000000000002</v>
      </c>
      <c r="N1080" t="s">
        <v>23</v>
      </c>
      <c r="O1080" s="1">
        <v>44369</v>
      </c>
      <c r="S1080" t="s">
        <v>915</v>
      </c>
      <c r="T1080" s="6" t="s">
        <v>927</v>
      </c>
      <c r="U1080" s="6" t="s">
        <v>933</v>
      </c>
      <c r="V1080" s="2" t="s">
        <v>923</v>
      </c>
      <c r="W1080" t="str">
        <f t="shared" si="16"/>
        <v>2000058159_20206</v>
      </c>
      <c r="X1080" s="2" t="s">
        <v>1615</v>
      </c>
    </row>
    <row r="1081" spans="1:24" hidden="1" x14ac:dyDescent="0.35">
      <c r="A1081">
        <v>34</v>
      </c>
      <c r="B1081">
        <v>2000058159</v>
      </c>
      <c r="C1081" s="1">
        <v>44396</v>
      </c>
      <c r="D1081" t="s">
        <v>56</v>
      </c>
      <c r="E1081" t="s">
        <v>18</v>
      </c>
      <c r="F1081" t="s">
        <v>32</v>
      </c>
      <c r="G1081" t="s">
        <v>20</v>
      </c>
      <c r="H1081" t="s">
        <v>216</v>
      </c>
      <c r="I1081" t="s">
        <v>41</v>
      </c>
      <c r="J1081">
        <v>0.93500000000000005</v>
      </c>
      <c r="K1081">
        <v>3</v>
      </c>
      <c r="L1081">
        <v>1</v>
      </c>
      <c r="M1081">
        <v>0.74</v>
      </c>
      <c r="N1081" t="s">
        <v>368</v>
      </c>
      <c r="O1081" s="1">
        <v>45492</v>
      </c>
      <c r="R1081" t="s">
        <v>186</v>
      </c>
      <c r="S1081" t="s">
        <v>915</v>
      </c>
      <c r="T1081" s="6" t="s">
        <v>936</v>
      </c>
      <c r="U1081" s="6" t="s">
        <v>931</v>
      </c>
      <c r="V1081" s="2" t="s">
        <v>952</v>
      </c>
      <c r="W1081" t="str">
        <f t="shared" si="16"/>
        <v>2000058159_20217</v>
      </c>
      <c r="X1081" s="2" t="s">
        <v>1615</v>
      </c>
    </row>
    <row r="1082" spans="1:24" hidden="1" x14ac:dyDescent="0.35">
      <c r="A1082">
        <v>57</v>
      </c>
      <c r="B1082">
        <v>2000058159</v>
      </c>
      <c r="C1082" s="1">
        <v>45492</v>
      </c>
      <c r="D1082" t="s">
        <v>56</v>
      </c>
      <c r="E1082" t="s">
        <v>18</v>
      </c>
      <c r="F1082" t="s">
        <v>39</v>
      </c>
      <c r="G1082" t="s">
        <v>20</v>
      </c>
      <c r="H1082" t="s">
        <v>725</v>
      </c>
      <c r="I1082" t="s">
        <v>41</v>
      </c>
      <c r="J1082">
        <v>0.82399999999999995</v>
      </c>
      <c r="K1082">
        <v>2.7</v>
      </c>
      <c r="L1082">
        <v>2</v>
      </c>
      <c r="M1082">
        <v>0.69</v>
      </c>
      <c r="N1082" t="s">
        <v>28</v>
      </c>
      <c r="O1082" s="1">
        <v>46222</v>
      </c>
      <c r="S1082" t="s">
        <v>915</v>
      </c>
      <c r="T1082" s="6" t="s">
        <v>936</v>
      </c>
      <c r="U1082" s="6" t="s">
        <v>931</v>
      </c>
      <c r="V1082" s="2" t="s">
        <v>956</v>
      </c>
      <c r="W1082" t="str">
        <f t="shared" si="16"/>
        <v>2000058159_20247</v>
      </c>
      <c r="X1082" s="2" t="s">
        <v>1615</v>
      </c>
    </row>
    <row r="1083" spans="1:24" hidden="1" x14ac:dyDescent="0.35">
      <c r="A1083">
        <v>50</v>
      </c>
      <c r="B1083">
        <v>2000058160</v>
      </c>
      <c r="C1083" s="1">
        <v>44147</v>
      </c>
      <c r="D1083" t="s">
        <v>135</v>
      </c>
      <c r="E1083" t="s">
        <v>18</v>
      </c>
      <c r="F1083" t="s">
        <v>39</v>
      </c>
      <c r="G1083" t="s">
        <v>20</v>
      </c>
      <c r="H1083" t="s">
        <v>136</v>
      </c>
      <c r="I1083" t="s">
        <v>41</v>
      </c>
      <c r="J1083">
        <v>0.83899999999999997</v>
      </c>
      <c r="K1083">
        <v>2.6</v>
      </c>
      <c r="L1083">
        <v>2</v>
      </c>
      <c r="M1083">
        <v>0.92</v>
      </c>
      <c r="N1083" t="s">
        <v>28</v>
      </c>
      <c r="O1083" s="1">
        <v>44877</v>
      </c>
      <c r="S1083" t="s">
        <v>915</v>
      </c>
      <c r="T1083" s="6" t="s">
        <v>945</v>
      </c>
      <c r="U1083" s="6" t="s">
        <v>949</v>
      </c>
      <c r="V1083" s="2" t="s">
        <v>923</v>
      </c>
      <c r="W1083" t="str">
        <f t="shared" si="16"/>
        <v>2000058160_202011</v>
      </c>
      <c r="X1083" s="2" t="s">
        <v>1615</v>
      </c>
    </row>
    <row r="1084" spans="1:24" hidden="1" x14ac:dyDescent="0.35">
      <c r="A1084">
        <v>111</v>
      </c>
      <c r="B1084">
        <v>2000058160</v>
      </c>
      <c r="C1084" s="1">
        <v>44874</v>
      </c>
      <c r="D1084" t="s">
        <v>135</v>
      </c>
      <c r="E1084" t="s">
        <v>18</v>
      </c>
      <c r="F1084" t="s">
        <v>39</v>
      </c>
      <c r="G1084" t="s">
        <v>20</v>
      </c>
      <c r="H1084" t="s">
        <v>529</v>
      </c>
      <c r="I1084" t="s">
        <v>41</v>
      </c>
      <c r="J1084">
        <v>1</v>
      </c>
      <c r="K1084">
        <v>3</v>
      </c>
      <c r="L1084">
        <v>0</v>
      </c>
      <c r="M1084">
        <v>0.91</v>
      </c>
      <c r="N1084" t="s">
        <v>368</v>
      </c>
      <c r="O1084" s="1">
        <v>45970</v>
      </c>
      <c r="S1084" t="s">
        <v>915</v>
      </c>
      <c r="T1084" s="6" t="s">
        <v>945</v>
      </c>
      <c r="U1084" s="6" t="s">
        <v>942</v>
      </c>
      <c r="V1084" s="2" t="s">
        <v>954</v>
      </c>
      <c r="W1084" t="str">
        <f t="shared" si="16"/>
        <v>2000058160_202211</v>
      </c>
      <c r="X1084" s="2" t="s">
        <v>1615</v>
      </c>
    </row>
    <row r="1085" spans="1:24" hidden="1" x14ac:dyDescent="0.35">
      <c r="B1085">
        <v>2000058186</v>
      </c>
      <c r="C1085" s="1">
        <v>44516</v>
      </c>
      <c r="D1085" t="s">
        <v>3026</v>
      </c>
      <c r="F1085" t="s">
        <v>148</v>
      </c>
      <c r="G1085" t="s">
        <v>1599</v>
      </c>
      <c r="H1085" t="s">
        <v>3027</v>
      </c>
      <c r="I1085" t="s">
        <v>148</v>
      </c>
      <c r="J1085">
        <v>0.97699999999999998</v>
      </c>
      <c r="K1085">
        <v>3</v>
      </c>
      <c r="L1085">
        <v>1</v>
      </c>
      <c r="M1085">
        <v>0.75</v>
      </c>
      <c r="N1085" t="s">
        <v>2314</v>
      </c>
      <c r="O1085" s="1">
        <v>45612</v>
      </c>
      <c r="S1085" t="s">
        <v>915</v>
      </c>
      <c r="T1085" s="6" t="s">
        <v>945</v>
      </c>
      <c r="U1085" s="6" t="s">
        <v>928</v>
      </c>
      <c r="V1085" s="2" t="s">
        <v>952</v>
      </c>
      <c r="W1085" t="str">
        <f t="shared" si="16"/>
        <v>2000058186_202111</v>
      </c>
      <c r="X1085" s="2" t="s">
        <v>1616</v>
      </c>
    </row>
    <row r="1086" spans="1:24" hidden="1" x14ac:dyDescent="0.35">
      <c r="B1086">
        <v>2000058191</v>
      </c>
      <c r="C1086" s="1">
        <v>44634</v>
      </c>
      <c r="D1086" t="s">
        <v>3949</v>
      </c>
      <c r="F1086" t="s">
        <v>148</v>
      </c>
      <c r="G1086" t="s">
        <v>1603</v>
      </c>
      <c r="H1086" t="s">
        <v>3028</v>
      </c>
      <c r="I1086" t="s">
        <v>148</v>
      </c>
      <c r="J1086">
        <v>0.92900000000000005</v>
      </c>
      <c r="K1086">
        <v>3</v>
      </c>
      <c r="L1086">
        <v>3</v>
      </c>
      <c r="M1086">
        <v>0.78</v>
      </c>
      <c r="N1086" t="s">
        <v>2314</v>
      </c>
      <c r="O1086" s="1">
        <v>45730</v>
      </c>
      <c r="S1086" t="s">
        <v>915</v>
      </c>
      <c r="T1086" s="6" t="s">
        <v>941</v>
      </c>
      <c r="U1086" s="6" t="s">
        <v>951</v>
      </c>
      <c r="V1086" s="2" t="s">
        <v>954</v>
      </c>
      <c r="W1086" t="str">
        <f t="shared" si="16"/>
        <v>2000058191_20223</v>
      </c>
      <c r="X1086" s="2" t="s">
        <v>1616</v>
      </c>
    </row>
    <row r="1087" spans="1:24" hidden="1" x14ac:dyDescent="0.35">
      <c r="A1087">
        <v>59</v>
      </c>
      <c r="B1087">
        <v>2000058192</v>
      </c>
      <c r="C1087" s="1">
        <v>45456</v>
      </c>
      <c r="D1087" t="s">
        <v>1789</v>
      </c>
      <c r="E1087" t="s">
        <v>18</v>
      </c>
      <c r="F1087" t="s">
        <v>43</v>
      </c>
      <c r="G1087" t="s">
        <v>1603</v>
      </c>
      <c r="H1087" t="s">
        <v>1790</v>
      </c>
      <c r="I1087" t="s">
        <v>41</v>
      </c>
      <c r="J1087">
        <v>0.93799999999999994</v>
      </c>
      <c r="K1087">
        <v>3</v>
      </c>
      <c r="L1087">
        <v>2</v>
      </c>
      <c r="M1087">
        <v>0.82</v>
      </c>
      <c r="N1087" t="s">
        <v>23</v>
      </c>
      <c r="O1087" s="1">
        <v>45821</v>
      </c>
      <c r="R1087" t="s">
        <v>1791</v>
      </c>
      <c r="S1087" t="s">
        <v>915</v>
      </c>
      <c r="T1087" s="5" t="s">
        <v>927</v>
      </c>
      <c r="U1087" s="5" t="s">
        <v>950</v>
      </c>
      <c r="V1087" t="s">
        <v>956</v>
      </c>
      <c r="W1087" t="str">
        <f t="shared" si="16"/>
        <v>2000058192_20246</v>
      </c>
      <c r="X1087" s="2" t="s">
        <v>1616</v>
      </c>
    </row>
    <row r="1088" spans="1:24" hidden="1" x14ac:dyDescent="0.35">
      <c r="B1088">
        <v>2000058192</v>
      </c>
      <c r="C1088" s="1">
        <v>44040</v>
      </c>
      <c r="D1088" t="s">
        <v>1789</v>
      </c>
      <c r="F1088" t="s">
        <v>43</v>
      </c>
      <c r="G1088" t="s">
        <v>1603</v>
      </c>
      <c r="H1088" t="s">
        <v>3029</v>
      </c>
      <c r="I1088" t="s">
        <v>41</v>
      </c>
      <c r="J1088">
        <v>0.75</v>
      </c>
      <c r="K1088">
        <v>2.6</v>
      </c>
      <c r="L1088">
        <v>1</v>
      </c>
      <c r="M1088">
        <v>0.56999999999999995</v>
      </c>
      <c r="N1088" t="s">
        <v>2310</v>
      </c>
      <c r="O1088" s="1">
        <v>44770</v>
      </c>
      <c r="S1088" t="s">
        <v>915</v>
      </c>
      <c r="T1088" s="6" t="s">
        <v>936</v>
      </c>
      <c r="U1088" s="6" t="s">
        <v>926</v>
      </c>
      <c r="V1088" s="2" t="s">
        <v>923</v>
      </c>
      <c r="W1088" t="str">
        <f t="shared" si="16"/>
        <v>2000058192_20207</v>
      </c>
      <c r="X1088" s="2" t="s">
        <v>1616</v>
      </c>
    </row>
    <row r="1089" spans="1:24" hidden="1" x14ac:dyDescent="0.35">
      <c r="B1089">
        <v>2000058192</v>
      </c>
      <c r="C1089" s="1">
        <v>44753</v>
      </c>
      <c r="D1089" t="s">
        <v>1789</v>
      </c>
      <c r="F1089" t="s">
        <v>43</v>
      </c>
      <c r="G1089" t="s">
        <v>1603</v>
      </c>
      <c r="H1089" t="s">
        <v>3030</v>
      </c>
      <c r="I1089" t="s">
        <v>41</v>
      </c>
      <c r="J1089">
        <v>0.81299999999999994</v>
      </c>
      <c r="K1089">
        <v>2.6</v>
      </c>
      <c r="L1089">
        <v>3</v>
      </c>
      <c r="M1089">
        <v>0.82</v>
      </c>
      <c r="N1089" t="s">
        <v>2310</v>
      </c>
      <c r="O1089" s="1">
        <v>45484</v>
      </c>
      <c r="S1089" t="s">
        <v>915</v>
      </c>
      <c r="T1089" s="6" t="s">
        <v>936</v>
      </c>
      <c r="U1089" s="6" t="s">
        <v>945</v>
      </c>
      <c r="V1089" s="2" t="s">
        <v>954</v>
      </c>
      <c r="W1089" t="str">
        <f t="shared" si="16"/>
        <v>2000058192_20227</v>
      </c>
      <c r="X1089" s="2" t="s">
        <v>1616</v>
      </c>
    </row>
    <row r="1090" spans="1:24" hidden="1" x14ac:dyDescent="0.35">
      <c r="B1090">
        <v>2000058193</v>
      </c>
      <c r="C1090" s="1">
        <v>44159</v>
      </c>
      <c r="D1090" t="s">
        <v>3031</v>
      </c>
      <c r="F1090" t="s">
        <v>43</v>
      </c>
      <c r="G1090" t="s">
        <v>1606</v>
      </c>
      <c r="H1090" t="s">
        <v>3032</v>
      </c>
      <c r="I1090" t="s">
        <v>41</v>
      </c>
      <c r="J1090">
        <v>0.90700000000000003</v>
      </c>
      <c r="K1090">
        <v>2.7</v>
      </c>
      <c r="L1090">
        <v>2</v>
      </c>
      <c r="M1090">
        <v>0.8</v>
      </c>
      <c r="N1090" t="s">
        <v>2310</v>
      </c>
      <c r="O1090" s="1">
        <v>44889</v>
      </c>
      <c r="S1090" t="s">
        <v>915</v>
      </c>
      <c r="T1090" s="6" t="s">
        <v>945</v>
      </c>
      <c r="U1090" s="6" t="s">
        <v>935</v>
      </c>
      <c r="V1090" s="2" t="s">
        <v>923</v>
      </c>
      <c r="W1090" t="str">
        <f t="shared" ref="W1090:W1153" si="17">CONCATENATE(B1090,"_",V1090,T1090)</f>
        <v>2000058193_202011</v>
      </c>
      <c r="X1090" s="2" t="s">
        <v>1616</v>
      </c>
    </row>
    <row r="1091" spans="1:24" hidden="1" x14ac:dyDescent="0.35">
      <c r="B1091">
        <v>2000058193</v>
      </c>
      <c r="C1091" s="1">
        <v>44768</v>
      </c>
      <c r="D1091" t="s">
        <v>3031</v>
      </c>
      <c r="F1091" t="s">
        <v>43</v>
      </c>
      <c r="G1091" t="s">
        <v>1606</v>
      </c>
      <c r="H1091" t="s">
        <v>3033</v>
      </c>
      <c r="I1091" t="s">
        <v>41</v>
      </c>
      <c r="J1091">
        <v>1</v>
      </c>
      <c r="K1091">
        <v>3</v>
      </c>
      <c r="L1091">
        <v>0</v>
      </c>
      <c r="M1091">
        <v>0.93</v>
      </c>
      <c r="N1091" t="s">
        <v>2314</v>
      </c>
      <c r="O1091" s="1">
        <v>45864</v>
      </c>
      <c r="S1091" t="s">
        <v>915</v>
      </c>
      <c r="T1091" s="6" t="s">
        <v>936</v>
      </c>
      <c r="U1091" s="6" t="s">
        <v>924</v>
      </c>
      <c r="V1091" s="2" t="s">
        <v>954</v>
      </c>
      <c r="W1091" t="str">
        <f t="shared" si="17"/>
        <v>2000058193_20227</v>
      </c>
      <c r="X1091" s="2" t="s">
        <v>1616</v>
      </c>
    </row>
    <row r="1092" spans="1:24" hidden="1" x14ac:dyDescent="0.35">
      <c r="A1092">
        <v>46</v>
      </c>
      <c r="B1092">
        <v>2000058194</v>
      </c>
      <c r="C1092" s="1">
        <v>44144</v>
      </c>
      <c r="D1092" t="s">
        <v>127</v>
      </c>
      <c r="E1092" t="s">
        <v>18</v>
      </c>
      <c r="F1092" t="s">
        <v>39</v>
      </c>
      <c r="G1092" t="s">
        <v>20</v>
      </c>
      <c r="H1092" t="s">
        <v>128</v>
      </c>
      <c r="I1092" t="s">
        <v>22</v>
      </c>
      <c r="J1092">
        <v>0.60699999999999998</v>
      </c>
      <c r="K1092">
        <v>2</v>
      </c>
      <c r="L1092">
        <v>9</v>
      </c>
      <c r="M1092">
        <v>0.72</v>
      </c>
      <c r="N1092" t="s">
        <v>23</v>
      </c>
      <c r="O1092" s="1">
        <v>44509</v>
      </c>
      <c r="S1092" t="s">
        <v>915</v>
      </c>
      <c r="T1092" s="6" t="s">
        <v>945</v>
      </c>
      <c r="U1092" s="6" t="s">
        <v>942</v>
      </c>
      <c r="V1092" s="2" t="s">
        <v>923</v>
      </c>
      <c r="W1092" t="str">
        <f t="shared" si="17"/>
        <v>2000058194_202011</v>
      </c>
      <c r="X1092" s="2" t="s">
        <v>1615</v>
      </c>
    </row>
    <row r="1093" spans="1:24" hidden="1" x14ac:dyDescent="0.35">
      <c r="A1093">
        <v>99</v>
      </c>
      <c r="B1093">
        <v>2000058194</v>
      </c>
      <c r="C1093" s="1">
        <v>45280</v>
      </c>
      <c r="D1093" t="s">
        <v>127</v>
      </c>
      <c r="E1093" t="s">
        <v>18</v>
      </c>
      <c r="F1093" t="s">
        <v>39</v>
      </c>
      <c r="G1093" t="s">
        <v>20</v>
      </c>
      <c r="H1093" t="s">
        <v>661</v>
      </c>
      <c r="I1093" t="s">
        <v>22</v>
      </c>
      <c r="J1093">
        <v>0.76700000000000002</v>
      </c>
      <c r="K1093">
        <v>2.2000000000000002</v>
      </c>
      <c r="L1093">
        <v>4</v>
      </c>
      <c r="M1093">
        <v>0.84</v>
      </c>
      <c r="N1093" t="s">
        <v>23</v>
      </c>
      <c r="O1093" s="1">
        <v>45646</v>
      </c>
      <c r="S1093" t="s">
        <v>915</v>
      </c>
      <c r="T1093" s="6" t="s">
        <v>949</v>
      </c>
      <c r="U1093" s="6" t="s">
        <v>932</v>
      </c>
      <c r="V1093" s="2" t="s">
        <v>955</v>
      </c>
      <c r="W1093" t="str">
        <f t="shared" si="17"/>
        <v>2000058194_202312</v>
      </c>
      <c r="X1093" s="2" t="s">
        <v>1615</v>
      </c>
    </row>
    <row r="1094" spans="1:24" hidden="1" x14ac:dyDescent="0.35">
      <c r="A1094">
        <v>91</v>
      </c>
      <c r="B1094">
        <v>2000058199</v>
      </c>
      <c r="C1094" s="1">
        <v>45503</v>
      </c>
      <c r="D1094" t="s">
        <v>1863</v>
      </c>
      <c r="E1094" t="s">
        <v>18</v>
      </c>
      <c r="F1094" t="s">
        <v>1698</v>
      </c>
      <c r="G1094" t="s">
        <v>1687</v>
      </c>
      <c r="H1094" t="s">
        <v>1864</v>
      </c>
      <c r="I1094" t="s">
        <v>41</v>
      </c>
      <c r="J1094">
        <v>0.91300000000000003</v>
      </c>
      <c r="K1094">
        <v>3</v>
      </c>
      <c r="L1094">
        <v>2</v>
      </c>
      <c r="M1094">
        <v>0.81</v>
      </c>
      <c r="N1094" t="s">
        <v>368</v>
      </c>
      <c r="O1094" s="1">
        <v>46598</v>
      </c>
      <c r="S1094" t="s">
        <v>915</v>
      </c>
      <c r="T1094" s="5" t="s">
        <v>936</v>
      </c>
      <c r="U1094" s="5" t="s">
        <v>938</v>
      </c>
      <c r="V1094" t="s">
        <v>956</v>
      </c>
      <c r="W1094" t="str">
        <f t="shared" si="17"/>
        <v>2000058199_20247</v>
      </c>
      <c r="X1094" s="2" t="s">
        <v>1616</v>
      </c>
    </row>
    <row r="1095" spans="1:24" hidden="1" x14ac:dyDescent="0.35">
      <c r="B1095">
        <v>2000058208</v>
      </c>
      <c r="C1095" s="1">
        <v>44519</v>
      </c>
      <c r="D1095" t="s">
        <v>3034</v>
      </c>
      <c r="F1095" t="s">
        <v>39</v>
      </c>
      <c r="G1095" t="s">
        <v>1609</v>
      </c>
      <c r="H1095" t="s">
        <v>3035</v>
      </c>
      <c r="I1095" t="s">
        <v>41</v>
      </c>
      <c r="J1095">
        <v>0.81599999999999995</v>
      </c>
      <c r="K1095">
        <v>2.6</v>
      </c>
      <c r="L1095">
        <v>5</v>
      </c>
      <c r="M1095">
        <v>0.9</v>
      </c>
      <c r="N1095" t="s">
        <v>2310</v>
      </c>
      <c r="O1095" s="1">
        <v>45249</v>
      </c>
      <c r="S1095" t="s">
        <v>915</v>
      </c>
      <c r="T1095" s="6" t="s">
        <v>945</v>
      </c>
      <c r="U1095" s="6" t="s">
        <v>931</v>
      </c>
      <c r="V1095" s="2" t="s">
        <v>952</v>
      </c>
      <c r="W1095" t="str">
        <f t="shared" si="17"/>
        <v>2000058208_202111</v>
      </c>
      <c r="X1095" s="2" t="s">
        <v>1616</v>
      </c>
    </row>
    <row r="1096" spans="1:24" hidden="1" x14ac:dyDescent="0.35">
      <c r="B1096">
        <v>2000058208</v>
      </c>
      <c r="C1096" s="1">
        <v>45183</v>
      </c>
      <c r="D1096" t="s">
        <v>3034</v>
      </c>
      <c r="F1096" t="s">
        <v>376</v>
      </c>
      <c r="G1096" t="s">
        <v>1817</v>
      </c>
      <c r="H1096" t="s">
        <v>3036</v>
      </c>
      <c r="I1096" t="s">
        <v>41</v>
      </c>
      <c r="J1096">
        <v>0.90900000000000003</v>
      </c>
      <c r="K1096">
        <v>3</v>
      </c>
      <c r="M1096">
        <v>0.87</v>
      </c>
      <c r="N1096" t="s">
        <v>2314</v>
      </c>
      <c r="O1096" s="1">
        <v>46279</v>
      </c>
      <c r="S1096" t="s">
        <v>915</v>
      </c>
      <c r="T1096" s="6" t="s">
        <v>942</v>
      </c>
      <c r="U1096" s="6" t="s">
        <v>951</v>
      </c>
      <c r="V1096" s="2" t="s">
        <v>955</v>
      </c>
      <c r="W1096" t="str">
        <f t="shared" si="17"/>
        <v>2000058208_20239</v>
      </c>
      <c r="X1096" s="2" t="s">
        <v>1616</v>
      </c>
    </row>
    <row r="1097" spans="1:24" hidden="1" x14ac:dyDescent="0.35">
      <c r="B1097">
        <v>2000058223</v>
      </c>
      <c r="C1097" s="1">
        <v>43675</v>
      </c>
      <c r="D1097" t="s">
        <v>3043</v>
      </c>
      <c r="F1097" t="s">
        <v>39</v>
      </c>
      <c r="G1097" t="s">
        <v>3041</v>
      </c>
      <c r="H1097" t="s">
        <v>3044</v>
      </c>
      <c r="I1097" t="s">
        <v>41</v>
      </c>
      <c r="J1097">
        <v>0.74099999999999999</v>
      </c>
      <c r="K1097">
        <v>2</v>
      </c>
      <c r="L1097">
        <v>8</v>
      </c>
      <c r="N1097" t="s">
        <v>23</v>
      </c>
      <c r="O1097" s="1">
        <v>44041</v>
      </c>
      <c r="S1097" t="s">
        <v>915</v>
      </c>
      <c r="T1097" s="6" t="s">
        <v>936</v>
      </c>
      <c r="U1097" s="6" t="s">
        <v>937</v>
      </c>
      <c r="V1097" s="2" t="s">
        <v>1618</v>
      </c>
      <c r="W1097" t="str">
        <f t="shared" si="17"/>
        <v>2000058223_20197</v>
      </c>
      <c r="X1097" s="2" t="s">
        <v>1616</v>
      </c>
    </row>
    <row r="1098" spans="1:24" hidden="1" x14ac:dyDescent="0.35">
      <c r="B1098">
        <v>2000058223</v>
      </c>
      <c r="C1098" s="1">
        <v>44033</v>
      </c>
      <c r="D1098" t="s">
        <v>3043</v>
      </c>
      <c r="F1098" t="s">
        <v>39</v>
      </c>
      <c r="G1098" t="s">
        <v>1603</v>
      </c>
      <c r="H1098" t="s">
        <v>3045</v>
      </c>
      <c r="I1098" t="s">
        <v>41</v>
      </c>
      <c r="J1098">
        <v>0.92900000000000005</v>
      </c>
      <c r="K1098">
        <v>2.7</v>
      </c>
      <c r="L1098">
        <v>1</v>
      </c>
      <c r="M1098">
        <v>0.77</v>
      </c>
      <c r="N1098" t="s">
        <v>2310</v>
      </c>
      <c r="O1098" s="1">
        <v>44763</v>
      </c>
      <c r="S1098" t="s">
        <v>915</v>
      </c>
      <c r="T1098" s="6" t="s">
        <v>936</v>
      </c>
      <c r="U1098" s="6" t="s">
        <v>944</v>
      </c>
      <c r="V1098" s="2" t="s">
        <v>923</v>
      </c>
      <c r="W1098" t="str">
        <f t="shared" si="17"/>
        <v>2000058223_20207</v>
      </c>
      <c r="X1098" s="2" t="s">
        <v>1616</v>
      </c>
    </row>
    <row r="1099" spans="1:24" hidden="1" x14ac:dyDescent="0.35">
      <c r="B1099">
        <v>2000058223</v>
      </c>
      <c r="C1099" s="1">
        <v>44754</v>
      </c>
      <c r="D1099" t="s">
        <v>3043</v>
      </c>
      <c r="F1099" t="s">
        <v>39</v>
      </c>
      <c r="G1099" t="s">
        <v>1603</v>
      </c>
      <c r="H1099" t="s">
        <v>3046</v>
      </c>
      <c r="I1099" t="s">
        <v>41</v>
      </c>
      <c r="J1099">
        <v>1</v>
      </c>
      <c r="K1099">
        <v>3</v>
      </c>
      <c r="L1099">
        <v>0</v>
      </c>
      <c r="M1099">
        <v>0.73</v>
      </c>
      <c r="N1099" t="s">
        <v>2314</v>
      </c>
      <c r="O1099" s="1">
        <v>45850</v>
      </c>
      <c r="S1099" t="s">
        <v>915</v>
      </c>
      <c r="T1099" s="6" t="s">
        <v>936</v>
      </c>
      <c r="U1099" s="6" t="s">
        <v>949</v>
      </c>
      <c r="V1099" s="2" t="s">
        <v>954</v>
      </c>
      <c r="W1099" t="str">
        <f t="shared" si="17"/>
        <v>2000058223_20227</v>
      </c>
      <c r="X1099" s="2" t="s">
        <v>1616</v>
      </c>
    </row>
    <row r="1100" spans="1:24" hidden="1" x14ac:dyDescent="0.35">
      <c r="B1100">
        <v>2000058229</v>
      </c>
      <c r="C1100" s="1">
        <v>44419</v>
      </c>
      <c r="D1100" t="s">
        <v>3047</v>
      </c>
      <c r="F1100" t="s">
        <v>39</v>
      </c>
      <c r="G1100" t="s">
        <v>1603</v>
      </c>
      <c r="H1100" t="s">
        <v>3048</v>
      </c>
      <c r="I1100" t="s">
        <v>41</v>
      </c>
      <c r="J1100">
        <v>0.86199999999999999</v>
      </c>
      <c r="K1100">
        <v>2.7</v>
      </c>
      <c r="L1100">
        <v>4</v>
      </c>
      <c r="M1100">
        <v>0.76</v>
      </c>
      <c r="N1100" t="s">
        <v>2310</v>
      </c>
      <c r="O1100" s="1">
        <v>45149</v>
      </c>
      <c r="S1100" t="s">
        <v>915</v>
      </c>
      <c r="T1100" s="6" t="s">
        <v>940</v>
      </c>
      <c r="U1100" s="6" t="s">
        <v>945</v>
      </c>
      <c r="V1100" s="2" t="s">
        <v>952</v>
      </c>
      <c r="W1100" t="str">
        <f t="shared" si="17"/>
        <v>2000058229_20218</v>
      </c>
      <c r="X1100" s="2" t="s">
        <v>1616</v>
      </c>
    </row>
    <row r="1101" spans="1:24" hidden="1" x14ac:dyDescent="0.35">
      <c r="B1101">
        <v>2000058229</v>
      </c>
      <c r="C1101" s="1">
        <v>45239</v>
      </c>
      <c r="D1101" t="s">
        <v>3047</v>
      </c>
      <c r="F1101" t="s">
        <v>376</v>
      </c>
      <c r="G1101" t="s">
        <v>1603</v>
      </c>
      <c r="H1101" t="s">
        <v>3049</v>
      </c>
      <c r="I1101" t="s">
        <v>41</v>
      </c>
      <c r="J1101">
        <v>0.97199999999999998</v>
      </c>
      <c r="K1101">
        <v>3</v>
      </c>
      <c r="M1101">
        <v>0.79</v>
      </c>
      <c r="N1101" t="s">
        <v>2314</v>
      </c>
      <c r="O1101" s="1">
        <v>46335</v>
      </c>
      <c r="S1101" t="s">
        <v>915</v>
      </c>
      <c r="T1101" s="6" t="s">
        <v>945</v>
      </c>
      <c r="U1101" s="6" t="s">
        <v>942</v>
      </c>
      <c r="V1101" s="2" t="s">
        <v>955</v>
      </c>
      <c r="W1101" t="str">
        <f t="shared" si="17"/>
        <v>2000058229_202311</v>
      </c>
      <c r="X1101" s="2" t="s">
        <v>1616</v>
      </c>
    </row>
    <row r="1102" spans="1:24" hidden="1" x14ac:dyDescent="0.35">
      <c r="B1102">
        <v>2000058233</v>
      </c>
      <c r="C1102" s="1">
        <v>45210</v>
      </c>
      <c r="D1102" t="s">
        <v>3050</v>
      </c>
      <c r="F1102" t="s">
        <v>376</v>
      </c>
      <c r="G1102" t="s">
        <v>1606</v>
      </c>
      <c r="H1102" t="s">
        <v>3051</v>
      </c>
      <c r="I1102" t="s">
        <v>41</v>
      </c>
      <c r="J1102">
        <v>1</v>
      </c>
      <c r="K1102">
        <v>3</v>
      </c>
      <c r="M1102">
        <v>0.97</v>
      </c>
      <c r="N1102" t="s">
        <v>2314</v>
      </c>
      <c r="O1102" s="1">
        <v>46306</v>
      </c>
      <c r="S1102" t="s">
        <v>915</v>
      </c>
      <c r="T1102" s="6" t="s">
        <v>948</v>
      </c>
      <c r="U1102" s="6" t="s">
        <v>945</v>
      </c>
      <c r="V1102" s="2" t="s">
        <v>955</v>
      </c>
      <c r="W1102" t="str">
        <f t="shared" si="17"/>
        <v>2000058233_202310</v>
      </c>
      <c r="X1102" s="2" t="s">
        <v>1616</v>
      </c>
    </row>
    <row r="1103" spans="1:24" hidden="1" x14ac:dyDescent="0.35">
      <c r="A1103">
        <v>115</v>
      </c>
      <c r="B1103">
        <v>2000058234</v>
      </c>
      <c r="C1103" s="1">
        <v>45551</v>
      </c>
      <c r="D1103" t="s">
        <v>1921</v>
      </c>
      <c r="E1103" t="s">
        <v>18</v>
      </c>
      <c r="F1103" t="s">
        <v>19</v>
      </c>
      <c r="G1103" t="s">
        <v>1687</v>
      </c>
      <c r="H1103" t="s">
        <v>1922</v>
      </c>
      <c r="I1103" t="s">
        <v>22</v>
      </c>
      <c r="J1103">
        <v>0.93500000000000005</v>
      </c>
      <c r="K1103">
        <v>3</v>
      </c>
      <c r="L1103">
        <v>2</v>
      </c>
      <c r="M1103">
        <v>0.96</v>
      </c>
      <c r="N1103" t="s">
        <v>368</v>
      </c>
      <c r="O1103" s="1">
        <v>46646</v>
      </c>
      <c r="S1103" t="s">
        <v>915</v>
      </c>
      <c r="T1103" s="5" t="s">
        <v>942</v>
      </c>
      <c r="U1103" s="5" t="s">
        <v>928</v>
      </c>
      <c r="V1103" t="s">
        <v>956</v>
      </c>
      <c r="W1103" t="str">
        <f t="shared" si="17"/>
        <v>2000058234_20249</v>
      </c>
      <c r="X1103" s="2" t="s">
        <v>1616</v>
      </c>
    </row>
    <row r="1104" spans="1:24" hidden="1" x14ac:dyDescent="0.35">
      <c r="A1104">
        <v>104</v>
      </c>
      <c r="B1104">
        <v>2000058235</v>
      </c>
      <c r="C1104" s="1">
        <v>45525</v>
      </c>
      <c r="D1104" t="s">
        <v>1896</v>
      </c>
      <c r="E1104" t="s">
        <v>18</v>
      </c>
      <c r="F1104" t="s">
        <v>1698</v>
      </c>
      <c r="G1104" t="s">
        <v>1606</v>
      </c>
      <c r="H1104" t="s">
        <v>1897</v>
      </c>
      <c r="I1104" t="s">
        <v>41</v>
      </c>
      <c r="J1104">
        <v>0.88600000000000001</v>
      </c>
      <c r="K1104">
        <v>3</v>
      </c>
      <c r="L1104">
        <v>3</v>
      </c>
      <c r="M1104">
        <v>0.87</v>
      </c>
      <c r="N1104" t="s">
        <v>28</v>
      </c>
      <c r="O1104" s="1">
        <v>46255</v>
      </c>
      <c r="S1104" t="s">
        <v>915</v>
      </c>
      <c r="T1104" s="5" t="s">
        <v>940</v>
      </c>
      <c r="U1104" s="5" t="s">
        <v>944</v>
      </c>
      <c r="V1104" t="s">
        <v>956</v>
      </c>
      <c r="W1104" t="str">
        <f t="shared" si="17"/>
        <v>2000058235_20248</v>
      </c>
      <c r="X1104" s="2" t="s">
        <v>1616</v>
      </c>
    </row>
    <row r="1105" spans="1:24" hidden="1" x14ac:dyDescent="0.35">
      <c r="B1105">
        <v>2000058235</v>
      </c>
      <c r="C1105" s="1">
        <v>44490</v>
      </c>
      <c r="D1105" t="s">
        <v>1896</v>
      </c>
      <c r="F1105" t="s">
        <v>148</v>
      </c>
      <c r="G1105" t="s">
        <v>1606</v>
      </c>
      <c r="H1105" t="s">
        <v>3052</v>
      </c>
      <c r="I1105" t="s">
        <v>148</v>
      </c>
      <c r="J1105">
        <v>0.91700000000000004</v>
      </c>
      <c r="K1105">
        <v>3</v>
      </c>
      <c r="L1105">
        <v>3</v>
      </c>
      <c r="M1105">
        <v>0.73</v>
      </c>
      <c r="N1105" t="s">
        <v>2314</v>
      </c>
      <c r="O1105" s="1">
        <v>45586</v>
      </c>
      <c r="S1105" t="s">
        <v>915</v>
      </c>
      <c r="T1105" s="6" t="s">
        <v>948</v>
      </c>
      <c r="U1105" s="6" t="s">
        <v>944</v>
      </c>
      <c r="V1105" s="2" t="s">
        <v>952</v>
      </c>
      <c r="W1105" t="str">
        <f t="shared" si="17"/>
        <v>2000058235_202110</v>
      </c>
      <c r="X1105" s="2" t="s">
        <v>1616</v>
      </c>
    </row>
    <row r="1106" spans="1:24" hidden="1" x14ac:dyDescent="0.35">
      <c r="A1106">
        <v>2</v>
      </c>
      <c r="B1106">
        <v>2000058240</v>
      </c>
      <c r="C1106" s="1">
        <v>44278</v>
      </c>
      <c r="D1106" t="s">
        <v>151</v>
      </c>
      <c r="E1106" t="s">
        <v>18</v>
      </c>
      <c r="F1106" t="s">
        <v>148</v>
      </c>
      <c r="G1106" t="s">
        <v>149</v>
      </c>
      <c r="H1106" t="s">
        <v>152</v>
      </c>
      <c r="I1106" t="s">
        <v>148</v>
      </c>
      <c r="J1106">
        <v>0.72599999999999998</v>
      </c>
      <c r="K1106">
        <v>2.8</v>
      </c>
      <c r="L1106">
        <v>8</v>
      </c>
      <c r="M1106">
        <v>0.61</v>
      </c>
      <c r="N1106" t="s">
        <v>23</v>
      </c>
      <c r="O1106" s="1">
        <v>44643</v>
      </c>
      <c r="S1106" t="s">
        <v>915</v>
      </c>
      <c r="T1106" s="6" t="s">
        <v>941</v>
      </c>
      <c r="U1106" s="6" t="s">
        <v>934</v>
      </c>
      <c r="V1106" s="2" t="s">
        <v>952</v>
      </c>
      <c r="W1106" t="str">
        <f t="shared" si="17"/>
        <v>2000058240_20213</v>
      </c>
      <c r="X1106" s="2" t="s">
        <v>1615</v>
      </c>
    </row>
    <row r="1107" spans="1:24" hidden="1" x14ac:dyDescent="0.35">
      <c r="A1107">
        <v>12</v>
      </c>
      <c r="B1107">
        <v>2000058240</v>
      </c>
      <c r="C1107" s="1">
        <v>44634</v>
      </c>
      <c r="D1107" t="s">
        <v>151</v>
      </c>
      <c r="E1107" t="s">
        <v>18</v>
      </c>
      <c r="F1107" t="s">
        <v>148</v>
      </c>
      <c r="G1107" t="s">
        <v>149</v>
      </c>
      <c r="H1107" t="s">
        <v>369</v>
      </c>
      <c r="I1107" t="s">
        <v>148</v>
      </c>
      <c r="J1107">
        <v>0.92600000000000005</v>
      </c>
      <c r="K1107">
        <v>3</v>
      </c>
      <c r="L1107">
        <v>2</v>
      </c>
      <c r="M1107">
        <v>0.67</v>
      </c>
      <c r="N1107" t="s">
        <v>368</v>
      </c>
      <c r="O1107" s="1">
        <v>45730</v>
      </c>
      <c r="S1107" t="s">
        <v>915</v>
      </c>
      <c r="T1107" s="6" t="s">
        <v>941</v>
      </c>
      <c r="U1107" s="6" t="s">
        <v>951</v>
      </c>
      <c r="V1107" s="2" t="s">
        <v>954</v>
      </c>
      <c r="W1107" t="str">
        <f t="shared" si="17"/>
        <v>2000058240_20223</v>
      </c>
      <c r="X1107" s="2" t="s">
        <v>1615</v>
      </c>
    </row>
    <row r="1108" spans="1:24" hidden="1" x14ac:dyDescent="0.35">
      <c r="A1108">
        <v>20</v>
      </c>
      <c r="B1108">
        <v>2000062090</v>
      </c>
      <c r="C1108" s="1">
        <v>45751</v>
      </c>
      <c r="D1108" t="s">
        <v>567</v>
      </c>
      <c r="E1108" t="s">
        <v>18</v>
      </c>
      <c r="F1108" t="s">
        <v>43</v>
      </c>
      <c r="G1108" t="s">
        <v>82</v>
      </c>
      <c r="H1108" t="s">
        <v>568</v>
      </c>
      <c r="I1108" t="s">
        <v>22</v>
      </c>
      <c r="J1108">
        <v>0.95299999999999996</v>
      </c>
      <c r="K1108">
        <v>3</v>
      </c>
      <c r="L1108">
        <v>0</v>
      </c>
      <c r="M1108">
        <v>0.9</v>
      </c>
      <c r="N1108" t="s">
        <v>368</v>
      </c>
      <c r="O1108" s="1">
        <v>46847</v>
      </c>
      <c r="S1108" t="s">
        <v>915</v>
      </c>
      <c r="T1108" s="5" t="s">
        <v>946</v>
      </c>
      <c r="U1108" s="5" t="s">
        <v>946</v>
      </c>
      <c r="V1108" t="s">
        <v>1650</v>
      </c>
      <c r="W1108" t="str">
        <f t="shared" si="17"/>
        <v>2000062090_20254</v>
      </c>
      <c r="X1108" t="s">
        <v>1615</v>
      </c>
    </row>
    <row r="1109" spans="1:24" hidden="1" x14ac:dyDescent="0.35">
      <c r="B1109">
        <v>2000058248</v>
      </c>
      <c r="C1109" s="1">
        <v>44008</v>
      </c>
      <c r="D1109" t="s">
        <v>3053</v>
      </c>
      <c r="F1109" t="s">
        <v>19</v>
      </c>
      <c r="G1109" t="s">
        <v>1606</v>
      </c>
      <c r="H1109" t="s">
        <v>3054</v>
      </c>
      <c r="I1109" t="s">
        <v>22</v>
      </c>
      <c r="J1109">
        <v>0.67200000000000004</v>
      </c>
      <c r="K1109">
        <v>2.6</v>
      </c>
      <c r="L1109">
        <v>6</v>
      </c>
      <c r="M1109">
        <v>0.69</v>
      </c>
      <c r="N1109" t="s">
        <v>23</v>
      </c>
      <c r="O1109" s="1">
        <v>44373</v>
      </c>
      <c r="S1109" t="s">
        <v>915</v>
      </c>
      <c r="T1109" s="6" t="s">
        <v>927</v>
      </c>
      <c r="U1109" s="6" t="s">
        <v>924</v>
      </c>
      <c r="V1109" s="2" t="s">
        <v>923</v>
      </c>
      <c r="W1109" t="str">
        <f t="shared" si="17"/>
        <v>2000058248_20206</v>
      </c>
      <c r="X1109" s="2" t="s">
        <v>1616</v>
      </c>
    </row>
    <row r="1110" spans="1:24" hidden="1" x14ac:dyDescent="0.35">
      <c r="B1110">
        <v>2000058248</v>
      </c>
      <c r="C1110" s="1">
        <v>44376</v>
      </c>
      <c r="D1110" t="s">
        <v>3053</v>
      </c>
      <c r="F1110" t="s">
        <v>19</v>
      </c>
      <c r="G1110" t="s">
        <v>1606</v>
      </c>
      <c r="H1110" t="s">
        <v>3055</v>
      </c>
      <c r="I1110" t="s">
        <v>22</v>
      </c>
      <c r="J1110">
        <v>0.82699999999999996</v>
      </c>
      <c r="K1110">
        <v>3</v>
      </c>
      <c r="L1110">
        <v>1</v>
      </c>
      <c r="M1110">
        <v>0.82</v>
      </c>
      <c r="N1110" t="s">
        <v>2310</v>
      </c>
      <c r="O1110" s="1">
        <v>45106</v>
      </c>
      <c r="S1110" t="s">
        <v>915</v>
      </c>
      <c r="T1110" s="6" t="s">
        <v>927</v>
      </c>
      <c r="U1110" s="6" t="s">
        <v>937</v>
      </c>
      <c r="V1110" s="2" t="s">
        <v>952</v>
      </c>
      <c r="W1110" t="str">
        <f t="shared" si="17"/>
        <v>2000058248_20216</v>
      </c>
      <c r="X1110" s="2" t="s">
        <v>1616</v>
      </c>
    </row>
    <row r="1111" spans="1:24" hidden="1" x14ac:dyDescent="0.35">
      <c r="B1111">
        <v>2000058248</v>
      </c>
      <c r="C1111" s="1">
        <v>45131</v>
      </c>
      <c r="D1111" t="s">
        <v>3053</v>
      </c>
      <c r="F1111" t="s">
        <v>19</v>
      </c>
      <c r="G1111" t="s">
        <v>1606</v>
      </c>
      <c r="H1111" t="s">
        <v>3056</v>
      </c>
      <c r="I1111" t="s">
        <v>41</v>
      </c>
      <c r="J1111">
        <v>0.84199999999999997</v>
      </c>
      <c r="K1111">
        <v>3</v>
      </c>
      <c r="L1111">
        <v>3</v>
      </c>
      <c r="M1111">
        <v>0.98</v>
      </c>
      <c r="N1111" t="s">
        <v>2310</v>
      </c>
      <c r="O1111" s="1">
        <v>45862</v>
      </c>
      <c r="S1111" t="s">
        <v>915</v>
      </c>
      <c r="T1111" s="6" t="s">
        <v>936</v>
      </c>
      <c r="U1111" s="6" t="s">
        <v>935</v>
      </c>
      <c r="V1111" s="2" t="s">
        <v>955</v>
      </c>
      <c r="W1111" t="str">
        <f t="shared" si="17"/>
        <v>2000058248_20237</v>
      </c>
      <c r="X1111" s="2" t="s">
        <v>1616</v>
      </c>
    </row>
    <row r="1112" spans="1:24" hidden="1" x14ac:dyDescent="0.35">
      <c r="B1112">
        <v>2000058264</v>
      </c>
      <c r="C1112" s="1">
        <v>45188</v>
      </c>
      <c r="D1112" t="s">
        <v>3059</v>
      </c>
      <c r="F1112" t="s">
        <v>1859</v>
      </c>
      <c r="G1112" t="s">
        <v>1606</v>
      </c>
      <c r="H1112" t="s">
        <v>3060</v>
      </c>
      <c r="I1112" t="s">
        <v>41</v>
      </c>
      <c r="J1112">
        <v>0.81299999999999994</v>
      </c>
      <c r="K1112">
        <v>2.7</v>
      </c>
      <c r="M1112">
        <v>0.91</v>
      </c>
      <c r="N1112" t="s">
        <v>2310</v>
      </c>
      <c r="O1112" s="1">
        <v>45919</v>
      </c>
      <c r="S1112" t="s">
        <v>915</v>
      </c>
      <c r="T1112" s="6" t="s">
        <v>942</v>
      </c>
      <c r="U1112" s="6" t="s">
        <v>931</v>
      </c>
      <c r="V1112" s="2" t="s">
        <v>955</v>
      </c>
      <c r="W1112" t="str">
        <f t="shared" si="17"/>
        <v>2000058264_20239</v>
      </c>
      <c r="X1112" s="2" t="s">
        <v>1616</v>
      </c>
    </row>
    <row r="1113" spans="1:24" hidden="1" x14ac:dyDescent="0.35">
      <c r="B1113">
        <v>2000058265</v>
      </c>
      <c r="C1113" s="1">
        <v>44692</v>
      </c>
      <c r="D1113" t="s">
        <v>3061</v>
      </c>
      <c r="F1113" t="s">
        <v>52</v>
      </c>
      <c r="G1113" t="s">
        <v>1750</v>
      </c>
      <c r="H1113" t="s">
        <v>3062</v>
      </c>
      <c r="I1113" t="s">
        <v>22</v>
      </c>
      <c r="J1113">
        <v>0.92900000000000005</v>
      </c>
      <c r="K1113">
        <v>3</v>
      </c>
      <c r="L1113">
        <v>2</v>
      </c>
      <c r="M1113">
        <v>0.88</v>
      </c>
      <c r="N1113" t="s">
        <v>2314</v>
      </c>
      <c r="O1113" s="1">
        <v>45788</v>
      </c>
      <c r="S1113" t="s">
        <v>915</v>
      </c>
      <c r="T1113" s="6" t="s">
        <v>947</v>
      </c>
      <c r="U1113" s="6" t="s">
        <v>945</v>
      </c>
      <c r="V1113" s="2" t="s">
        <v>954</v>
      </c>
      <c r="W1113" t="str">
        <f t="shared" si="17"/>
        <v>2000058265_20225</v>
      </c>
      <c r="X1113" s="2" t="s">
        <v>1616</v>
      </c>
    </row>
    <row r="1114" spans="1:24" hidden="1" x14ac:dyDescent="0.35">
      <c r="A1114">
        <v>52</v>
      </c>
      <c r="B1114">
        <v>2000055690</v>
      </c>
      <c r="C1114" s="1">
        <v>45763</v>
      </c>
      <c r="D1114" t="s">
        <v>2526</v>
      </c>
      <c r="E1114" t="s">
        <v>18</v>
      </c>
      <c r="F1114" t="s">
        <v>19</v>
      </c>
      <c r="G1114" t="s">
        <v>1606</v>
      </c>
      <c r="H1114" t="s">
        <v>3685</v>
      </c>
      <c r="I1114" t="s">
        <v>22</v>
      </c>
      <c r="J1114">
        <v>0.96399999999999997</v>
      </c>
      <c r="K1114">
        <v>3</v>
      </c>
      <c r="L1114">
        <v>0</v>
      </c>
      <c r="M1114">
        <v>0.8</v>
      </c>
      <c r="N1114" t="s">
        <v>2314</v>
      </c>
      <c r="O1114" s="1">
        <v>46859</v>
      </c>
      <c r="P1114" t="s">
        <v>3698</v>
      </c>
      <c r="Q1114" t="s">
        <v>3699</v>
      </c>
      <c r="R1114" t="s">
        <v>1613</v>
      </c>
      <c r="S1114" t="s">
        <v>915</v>
      </c>
      <c r="T1114" s="6" t="s">
        <v>946</v>
      </c>
      <c r="U1114" s="6" t="s">
        <v>928</v>
      </c>
      <c r="V1114" s="2" t="s">
        <v>1650</v>
      </c>
      <c r="W1114" t="str">
        <f t="shared" si="17"/>
        <v>2000055690_20254</v>
      </c>
      <c r="X1114" t="s">
        <v>1616</v>
      </c>
    </row>
    <row r="1115" spans="1:24" hidden="1" x14ac:dyDescent="0.35">
      <c r="B1115">
        <v>2000058267</v>
      </c>
      <c r="C1115" s="1">
        <v>44504</v>
      </c>
      <c r="D1115" t="s">
        <v>3063</v>
      </c>
      <c r="F1115" t="s">
        <v>39</v>
      </c>
      <c r="G1115" t="s">
        <v>1606</v>
      </c>
      <c r="H1115" t="s">
        <v>3064</v>
      </c>
      <c r="I1115" t="s">
        <v>41</v>
      </c>
      <c r="J1115">
        <v>0.88200000000000001</v>
      </c>
      <c r="K1115">
        <v>3</v>
      </c>
      <c r="L1115">
        <v>2</v>
      </c>
      <c r="M1115">
        <v>0.79</v>
      </c>
      <c r="N1115" t="s">
        <v>2310</v>
      </c>
      <c r="O1115" s="1">
        <v>45234</v>
      </c>
      <c r="S1115" t="s">
        <v>915</v>
      </c>
      <c r="T1115" s="6" t="s">
        <v>945</v>
      </c>
      <c r="U1115" s="6" t="s">
        <v>946</v>
      </c>
      <c r="V1115" s="2" t="s">
        <v>952</v>
      </c>
      <c r="W1115" t="str">
        <f t="shared" si="17"/>
        <v>2000058267_202111</v>
      </c>
      <c r="X1115" s="2" t="s">
        <v>1616</v>
      </c>
    </row>
    <row r="1116" spans="1:24" hidden="1" x14ac:dyDescent="0.35">
      <c r="B1116">
        <v>2000058267</v>
      </c>
      <c r="C1116" s="1">
        <v>45056</v>
      </c>
      <c r="D1116" t="s">
        <v>3063</v>
      </c>
      <c r="F1116" t="s">
        <v>39</v>
      </c>
      <c r="G1116" t="s">
        <v>1606</v>
      </c>
      <c r="H1116" t="s">
        <v>3064</v>
      </c>
      <c r="I1116" t="s">
        <v>41</v>
      </c>
      <c r="J1116">
        <v>1</v>
      </c>
      <c r="K1116">
        <v>3</v>
      </c>
      <c r="L1116">
        <v>1</v>
      </c>
      <c r="M1116">
        <v>0.73</v>
      </c>
      <c r="N1116" t="s">
        <v>2314</v>
      </c>
      <c r="O1116" s="1">
        <v>46152</v>
      </c>
      <c r="S1116" t="s">
        <v>915</v>
      </c>
      <c r="T1116" s="6" t="s">
        <v>947</v>
      </c>
      <c r="U1116" s="6" t="s">
        <v>948</v>
      </c>
      <c r="V1116" s="2" t="s">
        <v>955</v>
      </c>
      <c r="W1116" t="str">
        <f t="shared" si="17"/>
        <v>2000058267_20235</v>
      </c>
      <c r="X1116" s="2" t="s">
        <v>1616</v>
      </c>
    </row>
    <row r="1117" spans="1:24" hidden="1" x14ac:dyDescent="0.35">
      <c r="B1117">
        <v>2000058276</v>
      </c>
      <c r="C1117" s="1">
        <v>44860</v>
      </c>
      <c r="D1117" t="s">
        <v>3065</v>
      </c>
      <c r="F1117" t="s">
        <v>1859</v>
      </c>
      <c r="G1117" t="s">
        <v>1606</v>
      </c>
      <c r="H1117" t="s">
        <v>2920</v>
      </c>
      <c r="I1117" t="s">
        <v>41</v>
      </c>
      <c r="J1117">
        <v>1</v>
      </c>
      <c r="K1117">
        <v>3</v>
      </c>
      <c r="L1117">
        <v>0</v>
      </c>
      <c r="M1117">
        <v>0.92</v>
      </c>
      <c r="N1117" t="s">
        <v>2314</v>
      </c>
      <c r="O1117" s="1">
        <v>45956</v>
      </c>
      <c r="S1117" t="s">
        <v>915</v>
      </c>
      <c r="T1117" s="6" t="s">
        <v>948</v>
      </c>
      <c r="U1117" s="6" t="s">
        <v>924</v>
      </c>
      <c r="V1117" s="2" t="s">
        <v>954</v>
      </c>
      <c r="W1117" t="str">
        <f t="shared" si="17"/>
        <v>2000058276_202210</v>
      </c>
      <c r="X1117" s="2" t="s">
        <v>1616</v>
      </c>
    </row>
    <row r="1118" spans="1:24" hidden="1" x14ac:dyDescent="0.35">
      <c r="A1118">
        <v>23</v>
      </c>
      <c r="B1118">
        <v>2000058279</v>
      </c>
      <c r="C1118" s="1">
        <v>44646</v>
      </c>
      <c r="D1118" t="s">
        <v>391</v>
      </c>
      <c r="E1118" t="s">
        <v>18</v>
      </c>
      <c r="F1118" t="s">
        <v>148</v>
      </c>
      <c r="G1118" t="s">
        <v>238</v>
      </c>
      <c r="H1118" t="s">
        <v>392</v>
      </c>
      <c r="I1118" t="s">
        <v>148</v>
      </c>
      <c r="J1118">
        <v>0.72499999999999998</v>
      </c>
      <c r="K1118">
        <v>2.2999999999999998</v>
      </c>
      <c r="L1118">
        <v>3</v>
      </c>
      <c r="M1118">
        <v>0.53</v>
      </c>
      <c r="N1118" t="s">
        <v>23</v>
      </c>
      <c r="O1118" s="1">
        <v>45011</v>
      </c>
      <c r="S1118" t="s">
        <v>915</v>
      </c>
      <c r="T1118" s="6" t="s">
        <v>941</v>
      </c>
      <c r="U1118" s="6" t="s">
        <v>924</v>
      </c>
      <c r="V1118" s="2" t="s">
        <v>954</v>
      </c>
      <c r="W1118" t="str">
        <f t="shared" si="17"/>
        <v>2000058279_20223</v>
      </c>
      <c r="X1118" s="2" t="s">
        <v>1615</v>
      </c>
    </row>
    <row r="1119" spans="1:24" hidden="1" x14ac:dyDescent="0.35">
      <c r="A1119">
        <v>24</v>
      </c>
      <c r="B1119">
        <v>2000058279</v>
      </c>
      <c r="C1119" s="1">
        <v>45015</v>
      </c>
      <c r="D1119" t="s">
        <v>391</v>
      </c>
      <c r="E1119" t="s">
        <v>18</v>
      </c>
      <c r="F1119" t="s">
        <v>148</v>
      </c>
      <c r="G1119" t="s">
        <v>238</v>
      </c>
      <c r="H1119" t="s">
        <v>392</v>
      </c>
      <c r="I1119" t="s">
        <v>148</v>
      </c>
      <c r="J1119">
        <v>0.875</v>
      </c>
      <c r="K1119">
        <v>2.7</v>
      </c>
      <c r="L1119">
        <v>1</v>
      </c>
      <c r="M1119">
        <v>0.62</v>
      </c>
      <c r="N1119" t="s">
        <v>28</v>
      </c>
      <c r="O1119" s="1">
        <v>45746</v>
      </c>
      <c r="S1119" t="s">
        <v>915</v>
      </c>
      <c r="T1119" s="6" t="s">
        <v>941</v>
      </c>
      <c r="U1119" s="6" t="s">
        <v>938</v>
      </c>
      <c r="V1119" s="2" t="s">
        <v>955</v>
      </c>
      <c r="W1119" t="str">
        <f t="shared" si="17"/>
        <v>2000058279_20233</v>
      </c>
      <c r="X1119" s="2" t="s">
        <v>1615</v>
      </c>
    </row>
    <row r="1120" spans="1:24" hidden="1" x14ac:dyDescent="0.35">
      <c r="A1120">
        <v>21</v>
      </c>
      <c r="B1120">
        <v>2000055636</v>
      </c>
      <c r="C1120" s="1">
        <v>45755</v>
      </c>
      <c r="D1120" t="s">
        <v>191</v>
      </c>
      <c r="E1120" t="s">
        <v>18</v>
      </c>
      <c r="F1120" t="s">
        <v>19</v>
      </c>
      <c r="G1120" t="s">
        <v>33</v>
      </c>
      <c r="H1120" t="s">
        <v>3590</v>
      </c>
      <c r="I1120" t="s">
        <v>22</v>
      </c>
      <c r="J1120">
        <v>0.85</v>
      </c>
      <c r="K1120">
        <v>3</v>
      </c>
      <c r="L1120">
        <v>1</v>
      </c>
      <c r="M1120">
        <v>0.84</v>
      </c>
      <c r="N1120" t="s">
        <v>28</v>
      </c>
      <c r="O1120" s="1">
        <v>46485</v>
      </c>
      <c r="P1120" t="s">
        <v>470</v>
      </c>
      <c r="S1120" t="s">
        <v>915</v>
      </c>
      <c r="T1120" s="5" t="s">
        <v>946</v>
      </c>
      <c r="U1120" s="5" t="s">
        <v>940</v>
      </c>
      <c r="V1120" t="s">
        <v>1650</v>
      </c>
      <c r="W1120" t="str">
        <f t="shared" si="17"/>
        <v>2000055636_20254</v>
      </c>
      <c r="X1120" t="s">
        <v>1615</v>
      </c>
    </row>
    <row r="1121" spans="1:24" hidden="1" x14ac:dyDescent="0.35">
      <c r="A1121">
        <v>26</v>
      </c>
      <c r="B1121">
        <v>2000058292</v>
      </c>
      <c r="C1121" s="1">
        <v>44043</v>
      </c>
      <c r="D1121" t="s">
        <v>87</v>
      </c>
      <c r="E1121" t="s">
        <v>18</v>
      </c>
      <c r="F1121" t="s">
        <v>39</v>
      </c>
      <c r="G1121" t="s">
        <v>20</v>
      </c>
      <c r="H1121" t="s">
        <v>88</v>
      </c>
      <c r="I1121" t="s">
        <v>22</v>
      </c>
      <c r="J1121">
        <v>0.51300000000000001</v>
      </c>
      <c r="K1121">
        <v>2</v>
      </c>
      <c r="L1121">
        <v>10</v>
      </c>
      <c r="M1121">
        <v>0.73329999999999995</v>
      </c>
      <c r="N1121" t="s">
        <v>916</v>
      </c>
      <c r="O1121" s="1">
        <v>44227</v>
      </c>
      <c r="S1121" t="s">
        <v>915</v>
      </c>
      <c r="T1121" s="6" t="s">
        <v>936</v>
      </c>
      <c r="U1121" s="6" t="s">
        <v>939</v>
      </c>
      <c r="V1121" s="2" t="s">
        <v>923</v>
      </c>
      <c r="W1121" t="str">
        <f t="shared" si="17"/>
        <v>2000058292_20207</v>
      </c>
      <c r="X1121" s="2" t="s">
        <v>1615</v>
      </c>
    </row>
    <row r="1122" spans="1:24" hidden="1" x14ac:dyDescent="0.35">
      <c r="A1122">
        <v>55</v>
      </c>
      <c r="B1122">
        <v>2000058292</v>
      </c>
      <c r="C1122" s="1">
        <v>44432</v>
      </c>
      <c r="D1122" t="s">
        <v>87</v>
      </c>
      <c r="E1122" t="s">
        <v>18</v>
      </c>
      <c r="F1122" t="s">
        <v>39</v>
      </c>
      <c r="G1122" t="s">
        <v>20</v>
      </c>
      <c r="H1122" t="s">
        <v>255</v>
      </c>
      <c r="I1122" t="s">
        <v>22</v>
      </c>
      <c r="J1122">
        <v>0.76800000000000002</v>
      </c>
      <c r="K1122">
        <v>2.6</v>
      </c>
      <c r="L1122">
        <v>7</v>
      </c>
      <c r="M1122">
        <v>0.79</v>
      </c>
      <c r="N1122" t="s">
        <v>23</v>
      </c>
      <c r="O1122" s="1">
        <v>44797</v>
      </c>
      <c r="Q1122" t="s">
        <v>50</v>
      </c>
      <c r="R1122" t="s">
        <v>186</v>
      </c>
      <c r="S1122" t="s">
        <v>915</v>
      </c>
      <c r="T1122" s="6" t="s">
        <v>940</v>
      </c>
      <c r="U1122" s="6" t="s">
        <v>935</v>
      </c>
      <c r="V1122" s="2" t="s">
        <v>952</v>
      </c>
      <c r="W1122" t="str">
        <f t="shared" si="17"/>
        <v>2000058292_20218</v>
      </c>
      <c r="X1122" s="2" t="s">
        <v>1615</v>
      </c>
    </row>
    <row r="1123" spans="1:24" hidden="1" x14ac:dyDescent="0.35">
      <c r="A1123">
        <v>79</v>
      </c>
      <c r="B1123">
        <v>2000058292</v>
      </c>
      <c r="C1123" s="1">
        <v>44792</v>
      </c>
      <c r="D1123" t="s">
        <v>87</v>
      </c>
      <c r="E1123" t="s">
        <v>18</v>
      </c>
      <c r="F1123" t="s">
        <v>148</v>
      </c>
      <c r="G1123" t="s">
        <v>20</v>
      </c>
      <c r="H1123" t="s">
        <v>492</v>
      </c>
      <c r="I1123" t="s">
        <v>148</v>
      </c>
      <c r="J1123">
        <v>0.84599999999999997</v>
      </c>
      <c r="K1123">
        <v>2.5</v>
      </c>
      <c r="L1123">
        <v>5</v>
      </c>
      <c r="M1123">
        <v>0.71</v>
      </c>
      <c r="N1123" t="s">
        <v>28</v>
      </c>
      <c r="O1123" s="1">
        <v>45522</v>
      </c>
      <c r="Q1123" t="s">
        <v>323</v>
      </c>
      <c r="S1123" t="s">
        <v>915</v>
      </c>
      <c r="T1123" s="6" t="s">
        <v>940</v>
      </c>
      <c r="U1123" s="6" t="s">
        <v>931</v>
      </c>
      <c r="V1123" s="2" t="s">
        <v>954</v>
      </c>
      <c r="W1123" t="str">
        <f t="shared" si="17"/>
        <v>2000058292_20228</v>
      </c>
      <c r="X1123" s="2" t="s">
        <v>1615</v>
      </c>
    </row>
    <row r="1124" spans="1:24" hidden="1" x14ac:dyDescent="0.35">
      <c r="A1124">
        <v>72</v>
      </c>
      <c r="B1124">
        <v>2000058292</v>
      </c>
      <c r="C1124" s="1">
        <v>45560</v>
      </c>
      <c r="D1124" t="s">
        <v>87</v>
      </c>
      <c r="E1124" t="s">
        <v>18</v>
      </c>
      <c r="F1124" t="s">
        <v>148</v>
      </c>
      <c r="G1124" t="s">
        <v>20</v>
      </c>
      <c r="H1124" t="s">
        <v>102</v>
      </c>
      <c r="I1124" t="s">
        <v>32</v>
      </c>
      <c r="J1124">
        <v>0.85699999999999998</v>
      </c>
      <c r="K1124">
        <v>2.8</v>
      </c>
      <c r="L1124">
        <v>3</v>
      </c>
      <c r="M1124">
        <v>0.73</v>
      </c>
      <c r="N1124" t="s">
        <v>28</v>
      </c>
      <c r="O1124" s="1">
        <v>46290</v>
      </c>
      <c r="Q1124" t="s">
        <v>50</v>
      </c>
      <c r="S1124" t="s">
        <v>915</v>
      </c>
      <c r="T1124" s="6" t="s">
        <v>942</v>
      </c>
      <c r="U1124" s="6" t="s">
        <v>922</v>
      </c>
      <c r="V1124" s="2" t="s">
        <v>956</v>
      </c>
      <c r="W1124" t="str">
        <f t="shared" si="17"/>
        <v>2000058292_20249</v>
      </c>
      <c r="X1124" s="2" t="s">
        <v>1615</v>
      </c>
    </row>
    <row r="1125" spans="1:24" hidden="1" x14ac:dyDescent="0.35">
      <c r="A1125">
        <v>147</v>
      </c>
      <c r="B1125">
        <v>2000058295</v>
      </c>
      <c r="C1125" s="1">
        <v>45607</v>
      </c>
      <c r="D1125" t="s">
        <v>3259</v>
      </c>
      <c r="E1125" t="s">
        <v>18</v>
      </c>
      <c r="F1125" t="s">
        <v>376</v>
      </c>
      <c r="G1125" t="s">
        <v>1603</v>
      </c>
      <c r="H1125" t="s">
        <v>3260</v>
      </c>
      <c r="I1125" t="s">
        <v>22</v>
      </c>
      <c r="J1125">
        <v>0.93500000000000005</v>
      </c>
      <c r="K1125">
        <v>3</v>
      </c>
      <c r="L1125">
        <v>3</v>
      </c>
      <c r="M1125">
        <v>0.92</v>
      </c>
      <c r="N1125" t="s">
        <v>368</v>
      </c>
      <c r="O1125" s="1">
        <v>46702</v>
      </c>
      <c r="S1125" t="s">
        <v>915</v>
      </c>
      <c r="T1125" s="5" t="s">
        <v>945</v>
      </c>
      <c r="U1125" s="5" t="s">
        <v>945</v>
      </c>
      <c r="V1125" t="s">
        <v>956</v>
      </c>
      <c r="W1125" t="str">
        <f t="shared" si="17"/>
        <v>2000058295_202411</v>
      </c>
      <c r="X1125" t="s">
        <v>1616</v>
      </c>
    </row>
    <row r="1126" spans="1:24" hidden="1" x14ac:dyDescent="0.35">
      <c r="B1126">
        <v>2000058298</v>
      </c>
      <c r="C1126" s="1">
        <v>45147</v>
      </c>
      <c r="D1126" t="s">
        <v>3066</v>
      </c>
      <c r="F1126" t="s">
        <v>2806</v>
      </c>
      <c r="G1126" t="s">
        <v>1606</v>
      </c>
      <c r="H1126" t="s">
        <v>3067</v>
      </c>
      <c r="I1126" t="s">
        <v>41</v>
      </c>
      <c r="J1126">
        <v>0.85699999999999998</v>
      </c>
      <c r="K1126">
        <v>3</v>
      </c>
      <c r="M1126">
        <v>0.88</v>
      </c>
      <c r="N1126" t="s">
        <v>2310</v>
      </c>
      <c r="O1126" s="1">
        <v>45878</v>
      </c>
      <c r="S1126" t="s">
        <v>915</v>
      </c>
      <c r="T1126" s="6" t="s">
        <v>940</v>
      </c>
      <c r="U1126" s="6" t="s">
        <v>942</v>
      </c>
      <c r="V1126" s="2" t="s">
        <v>955</v>
      </c>
      <c r="W1126" t="str">
        <f t="shared" si="17"/>
        <v>2000058298_20238</v>
      </c>
      <c r="X1126" s="2" t="s">
        <v>1616</v>
      </c>
    </row>
    <row r="1127" spans="1:24" hidden="1" x14ac:dyDescent="0.35">
      <c r="B1127">
        <v>2000058316</v>
      </c>
      <c r="C1127" s="1">
        <v>44124</v>
      </c>
      <c r="D1127" t="s">
        <v>3069</v>
      </c>
      <c r="F1127" t="s">
        <v>43</v>
      </c>
      <c r="G1127" t="s">
        <v>1609</v>
      </c>
      <c r="H1127" t="s">
        <v>3070</v>
      </c>
      <c r="I1127" t="s">
        <v>41</v>
      </c>
      <c r="J1127">
        <v>0.83299999999999996</v>
      </c>
      <c r="K1127">
        <v>2.2999999999999998</v>
      </c>
      <c r="L1127">
        <v>4</v>
      </c>
      <c r="M1127">
        <v>0.92</v>
      </c>
      <c r="N1127" t="s">
        <v>2310</v>
      </c>
      <c r="O1127" s="1">
        <v>44854</v>
      </c>
      <c r="S1127" t="s">
        <v>915</v>
      </c>
      <c r="T1127" s="6" t="s">
        <v>948</v>
      </c>
      <c r="U1127" s="6" t="s">
        <v>932</v>
      </c>
      <c r="V1127" s="2" t="s">
        <v>923</v>
      </c>
      <c r="W1127" t="str">
        <f t="shared" si="17"/>
        <v>2000058316_202010</v>
      </c>
      <c r="X1127" s="2" t="s">
        <v>1616</v>
      </c>
    </row>
    <row r="1128" spans="1:24" hidden="1" x14ac:dyDescent="0.35">
      <c r="B1128">
        <v>2000058316</v>
      </c>
      <c r="C1128" s="1">
        <v>44789</v>
      </c>
      <c r="D1128" t="s">
        <v>3069</v>
      </c>
      <c r="F1128" t="s">
        <v>43</v>
      </c>
      <c r="G1128" t="s">
        <v>1609</v>
      </c>
      <c r="H1128" t="s">
        <v>3071</v>
      </c>
      <c r="I1128" t="s">
        <v>41</v>
      </c>
      <c r="J1128">
        <v>0.93100000000000005</v>
      </c>
      <c r="K1128">
        <v>3</v>
      </c>
      <c r="L1128">
        <v>1</v>
      </c>
      <c r="M1128">
        <v>0.84</v>
      </c>
      <c r="N1128" t="s">
        <v>2314</v>
      </c>
      <c r="O1128" s="1">
        <v>45885</v>
      </c>
      <c r="S1128" t="s">
        <v>915</v>
      </c>
      <c r="T1128" s="6" t="s">
        <v>940</v>
      </c>
      <c r="U1128" s="6" t="s">
        <v>928</v>
      </c>
      <c r="V1128" s="2" t="s">
        <v>954</v>
      </c>
      <c r="W1128" t="str">
        <f t="shared" si="17"/>
        <v>2000058316_20228</v>
      </c>
      <c r="X1128" s="2" t="s">
        <v>1616</v>
      </c>
    </row>
    <row r="1129" spans="1:24" hidden="1" x14ac:dyDescent="0.35">
      <c r="A1129">
        <v>53</v>
      </c>
      <c r="B1129">
        <v>2000061856</v>
      </c>
      <c r="C1129" s="1">
        <v>45764</v>
      </c>
      <c r="D1129" t="s">
        <v>2860</v>
      </c>
      <c r="E1129" t="s">
        <v>18</v>
      </c>
      <c r="F1129" t="s">
        <v>19</v>
      </c>
      <c r="G1129" t="s">
        <v>1820</v>
      </c>
      <c r="H1129" t="s">
        <v>3686</v>
      </c>
      <c r="I1129" t="s">
        <v>22</v>
      </c>
      <c r="J1129">
        <v>0.91100000000000003</v>
      </c>
      <c r="K1129">
        <v>3</v>
      </c>
      <c r="L1129">
        <v>3</v>
      </c>
      <c r="M1129">
        <v>0.79</v>
      </c>
      <c r="N1129" t="s">
        <v>2314</v>
      </c>
      <c r="O1129" s="1">
        <v>46860</v>
      </c>
      <c r="R1129" t="s">
        <v>3693</v>
      </c>
      <c r="S1129" t="s">
        <v>915</v>
      </c>
      <c r="T1129" s="6" t="s">
        <v>946</v>
      </c>
      <c r="U1129" s="6" t="s">
        <v>929</v>
      </c>
      <c r="V1129" s="2" t="s">
        <v>1650</v>
      </c>
      <c r="W1129" t="str">
        <f t="shared" si="17"/>
        <v>2000061856_20254</v>
      </c>
      <c r="X1129" t="s">
        <v>1616</v>
      </c>
    </row>
    <row r="1130" spans="1:24" hidden="1" x14ac:dyDescent="0.35">
      <c r="B1130">
        <v>2000058325</v>
      </c>
      <c r="C1130" s="1">
        <v>44097</v>
      </c>
      <c r="D1130" t="s">
        <v>3077</v>
      </c>
      <c r="F1130" t="s">
        <v>43</v>
      </c>
      <c r="G1130" t="s">
        <v>1753</v>
      </c>
      <c r="H1130" t="s">
        <v>3078</v>
      </c>
      <c r="I1130" t="s">
        <v>41</v>
      </c>
      <c r="J1130">
        <v>0.91700000000000004</v>
      </c>
      <c r="K1130">
        <v>2.7</v>
      </c>
      <c r="L1130">
        <v>0</v>
      </c>
      <c r="M1130">
        <v>0.78</v>
      </c>
      <c r="N1130" t="s">
        <v>2310</v>
      </c>
      <c r="O1130" s="1">
        <v>44827</v>
      </c>
      <c r="S1130" t="s">
        <v>915</v>
      </c>
      <c r="T1130" s="6" t="s">
        <v>942</v>
      </c>
      <c r="U1130" s="6" t="s">
        <v>934</v>
      </c>
      <c r="V1130" s="2" t="s">
        <v>923</v>
      </c>
      <c r="W1130" t="str">
        <f t="shared" si="17"/>
        <v>2000058325_20209</v>
      </c>
      <c r="X1130" s="2" t="s">
        <v>1616</v>
      </c>
    </row>
    <row r="1131" spans="1:24" hidden="1" x14ac:dyDescent="0.35">
      <c r="B1131">
        <v>2000058325</v>
      </c>
      <c r="C1131" s="1">
        <v>45064</v>
      </c>
      <c r="D1131" t="s">
        <v>3077</v>
      </c>
      <c r="F1131" t="s">
        <v>43</v>
      </c>
      <c r="G1131" t="s">
        <v>1753</v>
      </c>
      <c r="H1131" t="s">
        <v>3079</v>
      </c>
      <c r="I1131" t="s">
        <v>41</v>
      </c>
      <c r="J1131">
        <v>0.92900000000000005</v>
      </c>
      <c r="K1131">
        <v>2.7</v>
      </c>
      <c r="L1131">
        <v>2</v>
      </c>
      <c r="M1131">
        <v>0.71</v>
      </c>
      <c r="N1131" t="s">
        <v>2310</v>
      </c>
      <c r="O1131" s="1">
        <v>45795</v>
      </c>
      <c r="S1131" t="s">
        <v>915</v>
      </c>
      <c r="T1131" s="6" t="s">
        <v>947</v>
      </c>
      <c r="U1131" s="6" t="s">
        <v>930</v>
      </c>
      <c r="V1131" s="2" t="s">
        <v>955</v>
      </c>
      <c r="W1131" t="str">
        <f t="shared" si="17"/>
        <v>2000058325_20235</v>
      </c>
      <c r="X1131" s="2" t="s">
        <v>1616</v>
      </c>
    </row>
    <row r="1132" spans="1:24" hidden="1" x14ac:dyDescent="0.35">
      <c r="A1132">
        <v>149</v>
      </c>
      <c r="B1132">
        <v>2000058343</v>
      </c>
      <c r="C1132" s="1">
        <v>45608</v>
      </c>
      <c r="D1132" t="s">
        <v>3263</v>
      </c>
      <c r="E1132" t="s">
        <v>18</v>
      </c>
      <c r="F1132" t="s">
        <v>376</v>
      </c>
      <c r="G1132" t="s">
        <v>1606</v>
      </c>
      <c r="H1132" t="s">
        <v>3264</v>
      </c>
      <c r="I1132" t="s">
        <v>22</v>
      </c>
      <c r="J1132">
        <v>0.92900000000000005</v>
      </c>
      <c r="K1132">
        <v>3</v>
      </c>
      <c r="L1132">
        <v>2</v>
      </c>
      <c r="M1132">
        <v>0.83</v>
      </c>
      <c r="N1132" t="s">
        <v>368</v>
      </c>
      <c r="O1132" s="1">
        <v>46703</v>
      </c>
      <c r="S1132" t="s">
        <v>915</v>
      </c>
      <c r="T1132" s="5" t="s">
        <v>945</v>
      </c>
      <c r="U1132" s="5" t="s">
        <v>949</v>
      </c>
      <c r="V1132" t="s">
        <v>956</v>
      </c>
      <c r="W1132" t="str">
        <f t="shared" si="17"/>
        <v>2000058343_202411</v>
      </c>
      <c r="X1132" t="s">
        <v>1616</v>
      </c>
    </row>
    <row r="1133" spans="1:24" hidden="1" x14ac:dyDescent="0.35">
      <c r="A1133">
        <v>3</v>
      </c>
      <c r="B1133">
        <v>2000058347</v>
      </c>
      <c r="C1133" s="1">
        <v>43888</v>
      </c>
      <c r="D1133" t="s">
        <v>31</v>
      </c>
      <c r="E1133" t="s">
        <v>18</v>
      </c>
      <c r="F1133" t="s">
        <v>32</v>
      </c>
      <c r="G1133" t="s">
        <v>33</v>
      </c>
      <c r="H1133" t="s">
        <v>34</v>
      </c>
      <c r="I1133" t="s">
        <v>22</v>
      </c>
      <c r="J1133">
        <v>0.88370000000000004</v>
      </c>
      <c r="K1133">
        <v>3</v>
      </c>
      <c r="L1133">
        <v>2</v>
      </c>
      <c r="M1133">
        <v>0.85</v>
      </c>
      <c r="N1133" t="s">
        <v>28</v>
      </c>
      <c r="O1133" s="1">
        <v>44619</v>
      </c>
      <c r="S1133" t="s">
        <v>915</v>
      </c>
      <c r="T1133" s="6" t="s">
        <v>921</v>
      </c>
      <c r="U1133" s="6" t="s">
        <v>925</v>
      </c>
      <c r="V1133" s="2" t="s">
        <v>923</v>
      </c>
      <c r="W1133" t="str">
        <f t="shared" si="17"/>
        <v>2000058347_20202</v>
      </c>
      <c r="X1133" s="2" t="s">
        <v>1615</v>
      </c>
    </row>
    <row r="1134" spans="1:24" hidden="1" x14ac:dyDescent="0.35">
      <c r="A1134">
        <v>11</v>
      </c>
      <c r="B1134">
        <v>2000058347</v>
      </c>
      <c r="C1134" s="1">
        <v>44622</v>
      </c>
      <c r="D1134" t="s">
        <v>31</v>
      </c>
      <c r="E1134" t="s">
        <v>18</v>
      </c>
      <c r="F1134" t="s">
        <v>32</v>
      </c>
      <c r="G1134" t="s">
        <v>33</v>
      </c>
      <c r="H1134" t="s">
        <v>367</v>
      </c>
      <c r="I1134" t="s">
        <v>22</v>
      </c>
      <c r="J1134">
        <v>0.97599999999999998</v>
      </c>
      <c r="K1134">
        <v>3</v>
      </c>
      <c r="L1134">
        <v>2</v>
      </c>
      <c r="M1134">
        <v>0.88</v>
      </c>
      <c r="N1134" t="s">
        <v>368</v>
      </c>
      <c r="O1134" s="1">
        <v>45718</v>
      </c>
      <c r="S1134" t="s">
        <v>915</v>
      </c>
      <c r="T1134" s="6" t="s">
        <v>941</v>
      </c>
      <c r="U1134" s="6" t="s">
        <v>921</v>
      </c>
      <c r="V1134" s="2" t="s">
        <v>954</v>
      </c>
      <c r="W1134" t="str">
        <f t="shared" si="17"/>
        <v>2000058347_20223</v>
      </c>
      <c r="X1134" s="2" t="s">
        <v>1615</v>
      </c>
    </row>
    <row r="1135" spans="1:24" hidden="1" x14ac:dyDescent="0.35">
      <c r="B1135">
        <v>2000058360</v>
      </c>
      <c r="C1135" s="1">
        <v>43896</v>
      </c>
      <c r="D1135" t="s">
        <v>3080</v>
      </c>
      <c r="F1135" t="s">
        <v>19</v>
      </c>
      <c r="G1135" t="s">
        <v>1606</v>
      </c>
      <c r="H1135" t="s">
        <v>3081</v>
      </c>
      <c r="I1135" t="s">
        <v>22</v>
      </c>
      <c r="J1135">
        <v>0.76270000000000004</v>
      </c>
      <c r="K1135">
        <v>3</v>
      </c>
      <c r="L1135">
        <v>6</v>
      </c>
      <c r="M1135">
        <v>0.85</v>
      </c>
      <c r="N1135" t="s">
        <v>2310</v>
      </c>
      <c r="O1135" s="1">
        <v>44626</v>
      </c>
      <c r="S1135" t="s">
        <v>915</v>
      </c>
      <c r="T1135" s="6" t="s">
        <v>941</v>
      </c>
      <c r="U1135" s="6" t="s">
        <v>927</v>
      </c>
      <c r="V1135" s="2" t="s">
        <v>923</v>
      </c>
      <c r="W1135" t="str">
        <f t="shared" si="17"/>
        <v>2000058360_20203</v>
      </c>
      <c r="X1135" s="2" t="s">
        <v>1616</v>
      </c>
    </row>
    <row r="1136" spans="1:24" hidden="1" x14ac:dyDescent="0.35">
      <c r="B1136">
        <v>2000058360</v>
      </c>
      <c r="C1136" s="1">
        <v>44630</v>
      </c>
      <c r="D1136" t="s">
        <v>3080</v>
      </c>
      <c r="F1136" t="s">
        <v>19</v>
      </c>
      <c r="G1136" t="s">
        <v>1606</v>
      </c>
      <c r="H1136" t="s">
        <v>3082</v>
      </c>
      <c r="I1136" t="s">
        <v>41</v>
      </c>
      <c r="J1136">
        <v>0.75800000000000001</v>
      </c>
      <c r="K1136">
        <v>3</v>
      </c>
      <c r="L1136">
        <v>3</v>
      </c>
      <c r="M1136">
        <v>0.85</v>
      </c>
      <c r="N1136" t="s">
        <v>2361</v>
      </c>
      <c r="O1136" s="1">
        <v>44995</v>
      </c>
      <c r="S1136" t="s">
        <v>915</v>
      </c>
      <c r="T1136" s="6" t="s">
        <v>941</v>
      </c>
      <c r="U1136" s="6" t="s">
        <v>948</v>
      </c>
      <c r="V1136" s="2" t="s">
        <v>954</v>
      </c>
      <c r="W1136" t="str">
        <f t="shared" si="17"/>
        <v>2000058360_20223</v>
      </c>
      <c r="X1136" s="2" t="s">
        <v>1616</v>
      </c>
    </row>
    <row r="1137" spans="1:24" hidden="1" x14ac:dyDescent="0.35">
      <c r="B1137">
        <v>2000058360</v>
      </c>
      <c r="C1137" s="1">
        <v>45030</v>
      </c>
      <c r="D1137" t="s">
        <v>3080</v>
      </c>
      <c r="F1137" t="s">
        <v>19</v>
      </c>
      <c r="G1137" t="s">
        <v>1606</v>
      </c>
      <c r="H1137" t="s">
        <v>3083</v>
      </c>
      <c r="I1137" t="s">
        <v>41</v>
      </c>
      <c r="J1137">
        <v>0.97299999999999998</v>
      </c>
      <c r="K1137">
        <v>3</v>
      </c>
      <c r="L1137">
        <v>0</v>
      </c>
      <c r="M1137">
        <v>0.97</v>
      </c>
      <c r="N1137" t="s">
        <v>2314</v>
      </c>
      <c r="O1137" s="1">
        <v>46126</v>
      </c>
      <c r="S1137" t="s">
        <v>915</v>
      </c>
      <c r="T1137" s="6" t="s">
        <v>946</v>
      </c>
      <c r="U1137" s="6" t="s">
        <v>951</v>
      </c>
      <c r="V1137" s="2" t="s">
        <v>955</v>
      </c>
      <c r="W1137" t="str">
        <f t="shared" si="17"/>
        <v>2000058360_20234</v>
      </c>
      <c r="X1137" s="2" t="s">
        <v>1616</v>
      </c>
    </row>
    <row r="1138" spans="1:24" hidden="1" x14ac:dyDescent="0.35">
      <c r="B1138">
        <v>2000058361</v>
      </c>
      <c r="C1138" s="1">
        <v>44431</v>
      </c>
      <c r="D1138" t="s">
        <v>3084</v>
      </c>
      <c r="F1138" t="s">
        <v>148</v>
      </c>
      <c r="G1138" t="s">
        <v>1609</v>
      </c>
      <c r="H1138" t="s">
        <v>3085</v>
      </c>
      <c r="I1138" t="s">
        <v>22</v>
      </c>
      <c r="J1138">
        <v>0.84599999999999997</v>
      </c>
      <c r="K1138">
        <v>3</v>
      </c>
      <c r="L1138">
        <v>6</v>
      </c>
      <c r="M1138">
        <v>0.71</v>
      </c>
      <c r="N1138" t="s">
        <v>2310</v>
      </c>
      <c r="O1138" s="1">
        <v>45161</v>
      </c>
      <c r="S1138" t="s">
        <v>915</v>
      </c>
      <c r="T1138" s="6" t="s">
        <v>940</v>
      </c>
      <c r="U1138" s="6" t="s">
        <v>934</v>
      </c>
      <c r="V1138" s="2" t="s">
        <v>952</v>
      </c>
      <c r="W1138" t="str">
        <f t="shared" si="17"/>
        <v>2000058361_20218</v>
      </c>
      <c r="X1138" s="2" t="s">
        <v>1616</v>
      </c>
    </row>
    <row r="1139" spans="1:24" hidden="1" x14ac:dyDescent="0.35">
      <c r="B1139">
        <v>2000058361</v>
      </c>
      <c r="C1139" s="1">
        <v>45182</v>
      </c>
      <c r="D1139" t="s">
        <v>3084</v>
      </c>
      <c r="F1139" t="s">
        <v>148</v>
      </c>
      <c r="G1139" t="s">
        <v>1817</v>
      </c>
      <c r="H1139" t="s">
        <v>3086</v>
      </c>
      <c r="I1139" t="s">
        <v>148</v>
      </c>
      <c r="J1139">
        <v>0.96199999999999997</v>
      </c>
      <c r="K1139">
        <v>3</v>
      </c>
      <c r="M1139">
        <v>0.88</v>
      </c>
      <c r="N1139" t="s">
        <v>2314</v>
      </c>
      <c r="O1139" s="1">
        <v>46278</v>
      </c>
      <c r="S1139" t="s">
        <v>915</v>
      </c>
      <c r="T1139" s="6" t="s">
        <v>942</v>
      </c>
      <c r="U1139" s="6" t="s">
        <v>950</v>
      </c>
      <c r="V1139" s="2" t="s">
        <v>955</v>
      </c>
      <c r="W1139" t="str">
        <f t="shared" si="17"/>
        <v>2000058361_20239</v>
      </c>
      <c r="X1139" s="2" t="s">
        <v>1616</v>
      </c>
    </row>
    <row r="1140" spans="1:24" hidden="1" x14ac:dyDescent="0.35">
      <c r="A1140">
        <v>25</v>
      </c>
      <c r="B1140">
        <v>2000058368</v>
      </c>
      <c r="C1140" s="1">
        <v>45399</v>
      </c>
      <c r="D1140" t="s">
        <v>1700</v>
      </c>
      <c r="E1140" t="s">
        <v>18</v>
      </c>
      <c r="F1140" t="s">
        <v>1701</v>
      </c>
      <c r="G1140" t="s">
        <v>1687</v>
      </c>
      <c r="H1140" t="s">
        <v>1702</v>
      </c>
      <c r="I1140" t="s">
        <v>41</v>
      </c>
      <c r="J1140">
        <v>0.95799999999999996</v>
      </c>
      <c r="K1140">
        <v>3</v>
      </c>
      <c r="L1140">
        <v>1</v>
      </c>
      <c r="M1140">
        <v>1</v>
      </c>
      <c r="N1140" t="s">
        <v>368</v>
      </c>
      <c r="O1140" s="1">
        <v>46494</v>
      </c>
      <c r="S1140" t="s">
        <v>915</v>
      </c>
      <c r="T1140" s="5" t="s">
        <v>946</v>
      </c>
      <c r="U1140" s="5" t="s">
        <v>929</v>
      </c>
      <c r="V1140" t="s">
        <v>956</v>
      </c>
      <c r="W1140" t="str">
        <f t="shared" si="17"/>
        <v>2000058368_20244</v>
      </c>
      <c r="X1140" s="2" t="s">
        <v>1616</v>
      </c>
    </row>
    <row r="1141" spans="1:24" hidden="1" x14ac:dyDescent="0.35">
      <c r="A1141">
        <v>38</v>
      </c>
      <c r="B1141">
        <v>2000058380</v>
      </c>
      <c r="C1141" s="1">
        <v>45447</v>
      </c>
      <c r="D1141" t="s">
        <v>68</v>
      </c>
      <c r="E1141" t="s">
        <v>18</v>
      </c>
      <c r="F1141" t="s">
        <v>19</v>
      </c>
      <c r="G1141" t="s">
        <v>20</v>
      </c>
      <c r="H1141" t="s">
        <v>459</v>
      </c>
      <c r="I1141" t="s">
        <v>22</v>
      </c>
      <c r="J1141">
        <v>0.86</v>
      </c>
      <c r="K1141">
        <v>2.6</v>
      </c>
      <c r="L1141">
        <v>2</v>
      </c>
      <c r="M1141">
        <v>0.85</v>
      </c>
      <c r="N1141" t="s">
        <v>28</v>
      </c>
      <c r="O1141" s="1">
        <v>46177</v>
      </c>
      <c r="Q1141" t="s">
        <v>712</v>
      </c>
      <c r="S1141" t="s">
        <v>915</v>
      </c>
      <c r="T1141" s="6" t="s">
        <v>927</v>
      </c>
      <c r="U1141" s="6" t="s">
        <v>946</v>
      </c>
      <c r="V1141" s="2" t="s">
        <v>956</v>
      </c>
      <c r="W1141" t="str">
        <f t="shared" si="17"/>
        <v>2000058380_20246</v>
      </c>
      <c r="X1141" s="2" t="s">
        <v>1615</v>
      </c>
    </row>
    <row r="1142" spans="1:24" hidden="1" x14ac:dyDescent="0.35">
      <c r="A1142">
        <v>18</v>
      </c>
      <c r="B1142">
        <v>2000058380</v>
      </c>
      <c r="C1142" s="1">
        <v>44008</v>
      </c>
      <c r="D1142" t="s">
        <v>68</v>
      </c>
      <c r="E1142" t="s">
        <v>18</v>
      </c>
      <c r="F1142" t="s">
        <v>19</v>
      </c>
      <c r="G1142" t="s">
        <v>20</v>
      </c>
      <c r="H1142" t="s">
        <v>69</v>
      </c>
      <c r="I1142" t="s">
        <v>22</v>
      </c>
      <c r="J1142">
        <v>0.76700000000000002</v>
      </c>
      <c r="K1142">
        <v>2.6</v>
      </c>
      <c r="L1142">
        <v>6</v>
      </c>
      <c r="M1142">
        <v>0.8</v>
      </c>
      <c r="N1142" t="s">
        <v>28</v>
      </c>
      <c r="O1142" s="1">
        <v>44738</v>
      </c>
      <c r="Q1142" t="s">
        <v>50</v>
      </c>
      <c r="S1142" t="s">
        <v>915</v>
      </c>
      <c r="T1142" s="6" t="s">
        <v>927</v>
      </c>
      <c r="U1142" s="6" t="s">
        <v>924</v>
      </c>
      <c r="V1142" s="2" t="s">
        <v>923</v>
      </c>
      <c r="W1142" t="str">
        <f t="shared" si="17"/>
        <v>2000058380_20206</v>
      </c>
      <c r="X1142" s="2" t="s">
        <v>1615</v>
      </c>
    </row>
    <row r="1143" spans="1:24" hidden="1" x14ac:dyDescent="0.35">
      <c r="A1143">
        <v>59</v>
      </c>
      <c r="B1143">
        <v>2000058380</v>
      </c>
      <c r="C1143" s="1">
        <v>44725</v>
      </c>
      <c r="D1143" t="s">
        <v>68</v>
      </c>
      <c r="E1143" t="s">
        <v>18</v>
      </c>
      <c r="F1143" t="s">
        <v>19</v>
      </c>
      <c r="G1143" t="s">
        <v>20</v>
      </c>
      <c r="H1143" t="s">
        <v>459</v>
      </c>
      <c r="I1143" t="s">
        <v>41</v>
      </c>
      <c r="J1143">
        <v>0.90400000000000003</v>
      </c>
      <c r="K1143">
        <v>2.8</v>
      </c>
      <c r="L1143">
        <v>3</v>
      </c>
      <c r="M1143">
        <v>0.72</v>
      </c>
      <c r="N1143" t="s">
        <v>28</v>
      </c>
      <c r="O1143" s="1">
        <v>45456</v>
      </c>
      <c r="Q1143" t="s">
        <v>323</v>
      </c>
      <c r="S1143" t="s">
        <v>915</v>
      </c>
      <c r="T1143" s="6" t="s">
        <v>927</v>
      </c>
      <c r="U1143" s="6" t="s">
        <v>950</v>
      </c>
      <c r="V1143" s="2" t="s">
        <v>954</v>
      </c>
      <c r="W1143" t="str">
        <f t="shared" si="17"/>
        <v>2000058380_20226</v>
      </c>
      <c r="X1143" s="2" t="s">
        <v>1615</v>
      </c>
    </row>
    <row r="1144" spans="1:24" hidden="1" x14ac:dyDescent="0.35">
      <c r="B1144">
        <v>2000058386</v>
      </c>
      <c r="C1144" s="1">
        <v>43652</v>
      </c>
      <c r="D1144" t="s">
        <v>3087</v>
      </c>
      <c r="F1144" t="s">
        <v>32</v>
      </c>
      <c r="G1144" t="s">
        <v>1603</v>
      </c>
      <c r="H1144" t="s">
        <v>3088</v>
      </c>
      <c r="I1144" t="s">
        <v>41</v>
      </c>
      <c r="J1144">
        <v>0.61099999999999999</v>
      </c>
      <c r="K1144">
        <v>1.7</v>
      </c>
      <c r="L1144">
        <v>12</v>
      </c>
      <c r="N1144" t="s">
        <v>23</v>
      </c>
      <c r="O1144" s="1">
        <v>44018</v>
      </c>
      <c r="S1144" t="s">
        <v>915</v>
      </c>
      <c r="T1144" s="6" t="s">
        <v>936</v>
      </c>
      <c r="U1144" s="6" t="s">
        <v>927</v>
      </c>
      <c r="V1144" s="2" t="s">
        <v>1618</v>
      </c>
      <c r="W1144" t="str">
        <f t="shared" si="17"/>
        <v>2000058386_20197</v>
      </c>
      <c r="X1144" s="2" t="s">
        <v>1616</v>
      </c>
    </row>
    <row r="1145" spans="1:24" hidden="1" x14ac:dyDescent="0.35">
      <c r="B1145">
        <v>2000058386</v>
      </c>
      <c r="C1145" s="1">
        <v>44935</v>
      </c>
      <c r="D1145" t="s">
        <v>3087</v>
      </c>
      <c r="F1145" t="s">
        <v>32</v>
      </c>
      <c r="G1145" t="s">
        <v>1603</v>
      </c>
      <c r="H1145" t="s">
        <v>3089</v>
      </c>
      <c r="I1145" t="s">
        <v>41</v>
      </c>
      <c r="J1145">
        <v>0.89300000000000002</v>
      </c>
      <c r="K1145">
        <v>2.7</v>
      </c>
      <c r="L1145">
        <v>2</v>
      </c>
      <c r="M1145">
        <v>0.81</v>
      </c>
      <c r="N1145" t="s">
        <v>2310</v>
      </c>
      <c r="O1145" s="1">
        <v>45666</v>
      </c>
      <c r="S1145" t="s">
        <v>915</v>
      </c>
      <c r="T1145" s="6" t="s">
        <v>953</v>
      </c>
      <c r="U1145" s="6" t="s">
        <v>942</v>
      </c>
      <c r="V1145" s="2" t="s">
        <v>955</v>
      </c>
      <c r="W1145" t="str">
        <f t="shared" si="17"/>
        <v>2000058386_20231</v>
      </c>
      <c r="X1145" s="2" t="s">
        <v>1616</v>
      </c>
    </row>
    <row r="1146" spans="1:24" hidden="1" x14ac:dyDescent="0.35">
      <c r="A1146">
        <v>54</v>
      </c>
      <c r="B1146">
        <v>2000056757</v>
      </c>
      <c r="C1146" s="1">
        <v>45765</v>
      </c>
      <c r="D1146" t="s">
        <v>2718</v>
      </c>
      <c r="E1146" t="s">
        <v>18</v>
      </c>
      <c r="F1146" t="s">
        <v>43</v>
      </c>
      <c r="G1146" t="s">
        <v>1817</v>
      </c>
      <c r="H1146" t="s">
        <v>3687</v>
      </c>
      <c r="I1146" t="s">
        <v>22</v>
      </c>
      <c r="J1146">
        <v>1</v>
      </c>
      <c r="K1146">
        <v>3</v>
      </c>
      <c r="L1146">
        <v>0</v>
      </c>
      <c r="M1146">
        <v>0.84</v>
      </c>
      <c r="N1146" t="s">
        <v>2314</v>
      </c>
      <c r="O1146" s="1">
        <v>46861</v>
      </c>
      <c r="P1146" t="s">
        <v>3700</v>
      </c>
      <c r="R1146" t="s">
        <v>1613</v>
      </c>
      <c r="S1146" t="s">
        <v>915</v>
      </c>
      <c r="T1146" s="6" t="s">
        <v>946</v>
      </c>
      <c r="U1146" s="6" t="s">
        <v>930</v>
      </c>
      <c r="V1146" s="2" t="s">
        <v>1650</v>
      </c>
      <c r="W1146" t="str">
        <f t="shared" si="17"/>
        <v>2000056757_20254</v>
      </c>
      <c r="X1146" t="s">
        <v>1616</v>
      </c>
    </row>
    <row r="1147" spans="1:24" hidden="1" x14ac:dyDescent="0.35">
      <c r="B1147">
        <v>2000058393</v>
      </c>
      <c r="C1147" s="1">
        <v>44111</v>
      </c>
      <c r="D1147" t="s">
        <v>3090</v>
      </c>
      <c r="F1147" t="s">
        <v>19</v>
      </c>
      <c r="G1147" t="s">
        <v>1609</v>
      </c>
      <c r="H1147" t="s">
        <v>3091</v>
      </c>
      <c r="I1147" t="s">
        <v>22</v>
      </c>
      <c r="J1147">
        <v>0.98299999999999998</v>
      </c>
      <c r="K1147">
        <v>3</v>
      </c>
      <c r="L1147">
        <v>0</v>
      </c>
      <c r="M1147">
        <v>0.96</v>
      </c>
      <c r="N1147" t="s">
        <v>2310</v>
      </c>
      <c r="O1147" s="1">
        <v>44841</v>
      </c>
      <c r="S1147" t="s">
        <v>915</v>
      </c>
      <c r="T1147" s="6" t="s">
        <v>948</v>
      </c>
      <c r="U1147" s="6" t="s">
        <v>936</v>
      </c>
      <c r="V1147" s="2" t="s">
        <v>923</v>
      </c>
      <c r="W1147" t="str">
        <f t="shared" si="17"/>
        <v>2000058393_202010</v>
      </c>
      <c r="X1147" s="2" t="s">
        <v>1616</v>
      </c>
    </row>
    <row r="1148" spans="1:24" hidden="1" x14ac:dyDescent="0.35">
      <c r="B1148">
        <v>2000058393</v>
      </c>
      <c r="C1148" s="1">
        <v>44838</v>
      </c>
      <c r="D1148" t="s">
        <v>3090</v>
      </c>
      <c r="F1148" t="s">
        <v>19</v>
      </c>
      <c r="G1148" t="s">
        <v>1609</v>
      </c>
      <c r="H1148" t="s">
        <v>3092</v>
      </c>
      <c r="I1148" t="s">
        <v>22</v>
      </c>
      <c r="J1148">
        <v>1</v>
      </c>
      <c r="K1148">
        <v>3</v>
      </c>
      <c r="L1148">
        <v>0</v>
      </c>
      <c r="M1148">
        <v>0.98</v>
      </c>
      <c r="N1148" t="s">
        <v>2314</v>
      </c>
      <c r="O1148" s="1">
        <v>45934</v>
      </c>
      <c r="S1148" t="s">
        <v>915</v>
      </c>
      <c r="T1148" s="6" t="s">
        <v>948</v>
      </c>
      <c r="U1148" s="6" t="s">
        <v>946</v>
      </c>
      <c r="V1148" s="2" t="s">
        <v>954</v>
      </c>
      <c r="W1148" t="str">
        <f t="shared" si="17"/>
        <v>2000058393_202210</v>
      </c>
      <c r="X1148" s="2" t="s">
        <v>1616</v>
      </c>
    </row>
    <row r="1149" spans="1:24" hidden="1" x14ac:dyDescent="0.35">
      <c r="B1149">
        <v>2000058398</v>
      </c>
      <c r="C1149" s="1">
        <v>45168</v>
      </c>
      <c r="D1149" t="s">
        <v>3093</v>
      </c>
      <c r="F1149" t="s">
        <v>2806</v>
      </c>
      <c r="G1149" t="s">
        <v>1606</v>
      </c>
      <c r="H1149" t="s">
        <v>3094</v>
      </c>
      <c r="I1149" t="s">
        <v>41</v>
      </c>
      <c r="J1149">
        <v>0.85699999999999998</v>
      </c>
      <c r="K1149">
        <v>3</v>
      </c>
      <c r="M1149">
        <v>0.92</v>
      </c>
      <c r="N1149" t="s">
        <v>2310</v>
      </c>
      <c r="O1149" s="1">
        <v>45899</v>
      </c>
      <c r="S1149" t="s">
        <v>915</v>
      </c>
      <c r="T1149" s="6" t="s">
        <v>940</v>
      </c>
      <c r="U1149" s="6" t="s">
        <v>938</v>
      </c>
      <c r="V1149" s="2" t="s">
        <v>955</v>
      </c>
      <c r="W1149" t="str">
        <f t="shared" si="17"/>
        <v>2000058398_20238</v>
      </c>
      <c r="X1149" s="2" t="s">
        <v>1616</v>
      </c>
    </row>
    <row r="1150" spans="1:24" hidden="1" x14ac:dyDescent="0.35">
      <c r="A1150">
        <v>17</v>
      </c>
      <c r="B1150">
        <v>2000058412</v>
      </c>
      <c r="C1150" s="1">
        <v>45377</v>
      </c>
      <c r="D1150" t="s">
        <v>1680</v>
      </c>
      <c r="E1150" t="s">
        <v>18</v>
      </c>
      <c r="F1150" t="s">
        <v>376</v>
      </c>
      <c r="G1150" t="s">
        <v>1603</v>
      </c>
      <c r="H1150" t="s">
        <v>1681</v>
      </c>
      <c r="I1150" t="s">
        <v>41</v>
      </c>
      <c r="J1150">
        <v>0.85399999999999998</v>
      </c>
      <c r="K1150">
        <v>2.2999999999999998</v>
      </c>
      <c r="L1150">
        <v>4</v>
      </c>
      <c r="M1150">
        <v>0.91</v>
      </c>
      <c r="N1150" t="s">
        <v>28</v>
      </c>
      <c r="O1150" s="1">
        <v>46107</v>
      </c>
      <c r="S1150" t="s">
        <v>915</v>
      </c>
      <c r="T1150" s="5" t="s">
        <v>941</v>
      </c>
      <c r="U1150" s="5" t="s">
        <v>924</v>
      </c>
      <c r="V1150" t="s">
        <v>956</v>
      </c>
      <c r="W1150" t="str">
        <f t="shared" si="17"/>
        <v>2000058412_20243</v>
      </c>
      <c r="X1150" s="2" t="s">
        <v>1616</v>
      </c>
    </row>
    <row r="1151" spans="1:24" hidden="1" x14ac:dyDescent="0.35">
      <c r="B1151">
        <v>2000058417</v>
      </c>
      <c r="C1151" s="1">
        <v>44533</v>
      </c>
      <c r="D1151" t="s">
        <v>3095</v>
      </c>
      <c r="F1151" t="s">
        <v>39</v>
      </c>
      <c r="G1151" t="s">
        <v>1606</v>
      </c>
      <c r="H1151" t="s">
        <v>3096</v>
      </c>
      <c r="I1151" t="s">
        <v>41</v>
      </c>
      <c r="J1151">
        <v>0.8</v>
      </c>
      <c r="K1151">
        <v>3</v>
      </c>
      <c r="L1151">
        <v>3</v>
      </c>
      <c r="M1151">
        <v>0.8</v>
      </c>
      <c r="N1151" t="s">
        <v>2310</v>
      </c>
      <c r="O1151" s="1">
        <v>45263</v>
      </c>
      <c r="S1151" t="s">
        <v>915</v>
      </c>
      <c r="T1151" s="6" t="s">
        <v>949</v>
      </c>
      <c r="U1151" s="6" t="s">
        <v>941</v>
      </c>
      <c r="V1151" s="2" t="s">
        <v>952</v>
      </c>
      <c r="W1151" t="str">
        <f t="shared" si="17"/>
        <v>2000058417_202112</v>
      </c>
      <c r="X1151" s="2" t="s">
        <v>1616</v>
      </c>
    </row>
    <row r="1152" spans="1:24" hidden="1" x14ac:dyDescent="0.35">
      <c r="B1152">
        <v>2000058417</v>
      </c>
      <c r="C1152" s="1">
        <v>45162</v>
      </c>
      <c r="D1152" t="s">
        <v>3095</v>
      </c>
      <c r="F1152" t="s">
        <v>39</v>
      </c>
      <c r="G1152" t="s">
        <v>1606</v>
      </c>
      <c r="H1152" t="s">
        <v>3097</v>
      </c>
      <c r="I1152" t="s">
        <v>41</v>
      </c>
      <c r="J1152">
        <v>0.94399999999999995</v>
      </c>
      <c r="K1152">
        <v>3</v>
      </c>
      <c r="M1152">
        <v>0.79</v>
      </c>
      <c r="N1152" t="s">
        <v>2314</v>
      </c>
      <c r="O1152" s="1">
        <v>46258</v>
      </c>
      <c r="S1152" t="s">
        <v>915</v>
      </c>
      <c r="T1152" s="6" t="s">
        <v>940</v>
      </c>
      <c r="U1152" s="6" t="s">
        <v>935</v>
      </c>
      <c r="V1152" s="2" t="s">
        <v>955</v>
      </c>
      <c r="W1152" t="str">
        <f t="shared" si="17"/>
        <v>2000058417_20238</v>
      </c>
      <c r="X1152" s="2" t="s">
        <v>1616</v>
      </c>
    </row>
    <row r="1153" spans="1:24" hidden="1" x14ac:dyDescent="0.35">
      <c r="B1153">
        <v>2000058424</v>
      </c>
      <c r="C1153" s="1">
        <v>44498</v>
      </c>
      <c r="D1153" t="s">
        <v>3098</v>
      </c>
      <c r="F1153" t="s">
        <v>39</v>
      </c>
      <c r="G1153" t="s">
        <v>1609</v>
      </c>
      <c r="H1153" t="s">
        <v>3099</v>
      </c>
      <c r="I1153" t="s">
        <v>41</v>
      </c>
      <c r="J1153">
        <v>0.78600000000000003</v>
      </c>
      <c r="K1153">
        <v>2.6</v>
      </c>
      <c r="L1153">
        <v>6</v>
      </c>
      <c r="M1153">
        <v>0.92</v>
      </c>
      <c r="N1153" t="s">
        <v>2361</v>
      </c>
      <c r="O1153" s="1">
        <v>44863</v>
      </c>
      <c r="S1153" t="s">
        <v>915</v>
      </c>
      <c r="T1153" s="6" t="s">
        <v>948</v>
      </c>
      <c r="U1153" s="6" t="s">
        <v>937</v>
      </c>
      <c r="V1153" s="2" t="s">
        <v>952</v>
      </c>
      <c r="W1153" t="str">
        <f t="shared" si="17"/>
        <v>2000058424_202110</v>
      </c>
      <c r="X1153" s="2" t="s">
        <v>1616</v>
      </c>
    </row>
    <row r="1154" spans="1:24" hidden="1" x14ac:dyDescent="0.35">
      <c r="B1154">
        <v>2000058424</v>
      </c>
      <c r="C1154" s="1">
        <v>44783</v>
      </c>
      <c r="D1154" t="s">
        <v>3098</v>
      </c>
      <c r="F1154" t="s">
        <v>39</v>
      </c>
      <c r="G1154" t="s">
        <v>1609</v>
      </c>
      <c r="H1154" t="s">
        <v>3100</v>
      </c>
      <c r="I1154" t="s">
        <v>41</v>
      </c>
      <c r="J1154">
        <v>1</v>
      </c>
      <c r="K1154">
        <v>3</v>
      </c>
      <c r="L1154">
        <v>0</v>
      </c>
      <c r="M1154">
        <v>0.93</v>
      </c>
      <c r="N1154" t="s">
        <v>2314</v>
      </c>
      <c r="O1154" s="1">
        <v>45879</v>
      </c>
      <c r="S1154" t="s">
        <v>915</v>
      </c>
      <c r="T1154" s="6" t="s">
        <v>940</v>
      </c>
      <c r="U1154" s="6" t="s">
        <v>948</v>
      </c>
      <c r="V1154" s="2" t="s">
        <v>954</v>
      </c>
      <c r="W1154" t="str">
        <f t="shared" ref="W1154:W1217" si="18">CONCATENATE(B1154,"_",V1154,T1154)</f>
        <v>2000058424_20228</v>
      </c>
      <c r="X1154" s="2" t="s">
        <v>1616</v>
      </c>
    </row>
    <row r="1155" spans="1:24" hidden="1" x14ac:dyDescent="0.35">
      <c r="A1155">
        <v>55</v>
      </c>
      <c r="B1155">
        <v>2000057095</v>
      </c>
      <c r="C1155" s="1">
        <v>45768</v>
      </c>
      <c r="D1155" t="s">
        <v>2774</v>
      </c>
      <c r="E1155" t="s">
        <v>18</v>
      </c>
      <c r="F1155" t="s">
        <v>148</v>
      </c>
      <c r="G1155" t="s">
        <v>1717</v>
      </c>
      <c r="H1155" t="s">
        <v>2775</v>
      </c>
      <c r="I1155" t="s">
        <v>22</v>
      </c>
      <c r="J1155">
        <v>0.97199999999999998</v>
      </c>
      <c r="K1155">
        <v>3</v>
      </c>
      <c r="L1155">
        <v>1</v>
      </c>
      <c r="M1155">
        <v>0.77</v>
      </c>
      <c r="N1155" t="s">
        <v>2314</v>
      </c>
      <c r="O1155" s="1">
        <v>46864</v>
      </c>
      <c r="R1155" t="s">
        <v>1613</v>
      </c>
      <c r="S1155" t="s">
        <v>915</v>
      </c>
      <c r="T1155" s="6" t="s">
        <v>946</v>
      </c>
      <c r="U1155" s="6" t="s">
        <v>944</v>
      </c>
      <c r="V1155" s="2" t="s">
        <v>1650</v>
      </c>
      <c r="W1155" t="str">
        <f t="shared" si="18"/>
        <v>2000057095_20254</v>
      </c>
      <c r="X1155" t="s">
        <v>1616</v>
      </c>
    </row>
    <row r="1156" spans="1:24" hidden="1" x14ac:dyDescent="0.35">
      <c r="B1156">
        <v>2000058425</v>
      </c>
      <c r="C1156" s="1">
        <v>44096</v>
      </c>
      <c r="D1156" t="s">
        <v>3101</v>
      </c>
      <c r="F1156" t="s">
        <v>43</v>
      </c>
      <c r="G1156" t="s">
        <v>1911</v>
      </c>
      <c r="H1156" t="s">
        <v>3102</v>
      </c>
      <c r="I1156" t="s">
        <v>22</v>
      </c>
      <c r="J1156">
        <v>0.755</v>
      </c>
      <c r="K1156">
        <v>2.4</v>
      </c>
      <c r="L1156">
        <v>1</v>
      </c>
      <c r="M1156">
        <v>0.83</v>
      </c>
      <c r="N1156" t="s">
        <v>2310</v>
      </c>
      <c r="O1156" s="1">
        <v>44826</v>
      </c>
      <c r="S1156" t="s">
        <v>915</v>
      </c>
      <c r="T1156" s="6" t="s">
        <v>942</v>
      </c>
      <c r="U1156" s="6" t="s">
        <v>933</v>
      </c>
      <c r="V1156" s="2" t="s">
        <v>923</v>
      </c>
      <c r="W1156" t="str">
        <f t="shared" si="18"/>
        <v>2000058425_20209</v>
      </c>
      <c r="X1156" s="2" t="s">
        <v>1616</v>
      </c>
    </row>
    <row r="1157" spans="1:24" hidden="1" x14ac:dyDescent="0.35">
      <c r="B1157">
        <v>2000058425</v>
      </c>
      <c r="C1157" s="1">
        <v>44693</v>
      </c>
      <c r="D1157" t="s">
        <v>3101</v>
      </c>
      <c r="F1157" t="s">
        <v>43</v>
      </c>
      <c r="G1157" t="s">
        <v>1911</v>
      </c>
      <c r="H1157" t="s">
        <v>3103</v>
      </c>
      <c r="I1157" t="s">
        <v>22</v>
      </c>
      <c r="J1157">
        <v>1</v>
      </c>
      <c r="K1157">
        <v>3</v>
      </c>
      <c r="L1157">
        <v>0</v>
      </c>
      <c r="M1157">
        <v>0.9</v>
      </c>
      <c r="N1157" t="s">
        <v>2314</v>
      </c>
      <c r="O1157" s="1">
        <v>45789</v>
      </c>
      <c r="S1157" t="s">
        <v>915</v>
      </c>
      <c r="T1157" s="6" t="s">
        <v>947</v>
      </c>
      <c r="U1157" s="6" t="s">
        <v>949</v>
      </c>
      <c r="V1157" s="2" t="s">
        <v>954</v>
      </c>
      <c r="W1157" t="str">
        <f t="shared" si="18"/>
        <v>2000058425_20225</v>
      </c>
      <c r="X1157" s="2" t="s">
        <v>1616</v>
      </c>
    </row>
    <row r="1158" spans="1:24" hidden="1" x14ac:dyDescent="0.35">
      <c r="B1158">
        <v>2000058452</v>
      </c>
      <c r="C1158" s="1">
        <v>45146</v>
      </c>
      <c r="D1158" t="s">
        <v>3104</v>
      </c>
      <c r="F1158" t="s">
        <v>2806</v>
      </c>
      <c r="G1158" t="s">
        <v>1687</v>
      </c>
      <c r="H1158" t="s">
        <v>3105</v>
      </c>
      <c r="I1158" t="s">
        <v>22</v>
      </c>
      <c r="J1158">
        <v>0.94</v>
      </c>
      <c r="K1158">
        <v>3</v>
      </c>
      <c r="M1158">
        <v>0.73</v>
      </c>
      <c r="N1158" t="s">
        <v>2314</v>
      </c>
      <c r="O1158" s="1">
        <v>46242</v>
      </c>
      <c r="S1158" t="s">
        <v>915</v>
      </c>
      <c r="T1158" s="6" t="s">
        <v>940</v>
      </c>
      <c r="U1158" s="6" t="s">
        <v>940</v>
      </c>
      <c r="V1158" s="2" t="s">
        <v>955</v>
      </c>
      <c r="W1158" t="str">
        <f t="shared" si="18"/>
        <v>2000058452_20238</v>
      </c>
      <c r="X1158" s="2" t="s">
        <v>1616</v>
      </c>
    </row>
    <row r="1159" spans="1:24" hidden="1" x14ac:dyDescent="0.35">
      <c r="B1159">
        <v>2000058454</v>
      </c>
      <c r="C1159" s="1">
        <v>44322</v>
      </c>
      <c r="D1159" t="s">
        <v>3106</v>
      </c>
      <c r="F1159" t="s">
        <v>39</v>
      </c>
      <c r="G1159" t="s">
        <v>1603</v>
      </c>
      <c r="H1159" t="s">
        <v>3107</v>
      </c>
      <c r="I1159" t="s">
        <v>41</v>
      </c>
      <c r="J1159">
        <v>0.88100000000000001</v>
      </c>
      <c r="K1159">
        <v>2.7</v>
      </c>
      <c r="L1159">
        <v>2</v>
      </c>
      <c r="M1159">
        <v>0.81</v>
      </c>
      <c r="N1159" t="s">
        <v>2310</v>
      </c>
      <c r="O1159" s="1">
        <v>45052</v>
      </c>
      <c r="S1159" t="s">
        <v>915</v>
      </c>
      <c r="T1159" s="6" t="s">
        <v>947</v>
      </c>
      <c r="U1159" s="6" t="s">
        <v>927</v>
      </c>
      <c r="V1159" s="2" t="s">
        <v>952</v>
      </c>
      <c r="W1159" t="str">
        <f t="shared" si="18"/>
        <v>2000058454_20215</v>
      </c>
      <c r="X1159" s="2" t="s">
        <v>1616</v>
      </c>
    </row>
    <row r="1160" spans="1:24" hidden="1" x14ac:dyDescent="0.35">
      <c r="B1160">
        <v>2000058454</v>
      </c>
      <c r="C1160" s="1">
        <v>45005</v>
      </c>
      <c r="D1160" t="s">
        <v>3106</v>
      </c>
      <c r="F1160" t="s">
        <v>39</v>
      </c>
      <c r="G1160" t="s">
        <v>1603</v>
      </c>
      <c r="H1160" t="s">
        <v>3108</v>
      </c>
      <c r="I1160" t="s">
        <v>41</v>
      </c>
      <c r="J1160">
        <v>0.95199999999999996</v>
      </c>
      <c r="K1160">
        <v>3</v>
      </c>
      <c r="L1160">
        <v>1</v>
      </c>
      <c r="M1160">
        <v>0.79</v>
      </c>
      <c r="N1160" t="s">
        <v>2314</v>
      </c>
      <c r="O1160" s="1">
        <v>46101</v>
      </c>
      <c r="S1160" t="s">
        <v>915</v>
      </c>
      <c r="T1160" s="6" t="s">
        <v>941</v>
      </c>
      <c r="U1160" s="6" t="s">
        <v>932</v>
      </c>
      <c r="V1160" s="2" t="s">
        <v>955</v>
      </c>
      <c r="W1160" t="str">
        <f t="shared" si="18"/>
        <v>2000058454_20233</v>
      </c>
      <c r="X1160" s="2" t="s">
        <v>1616</v>
      </c>
    </row>
    <row r="1161" spans="1:24" hidden="1" x14ac:dyDescent="0.35">
      <c r="B1161">
        <v>2000058529</v>
      </c>
      <c r="C1161" s="1">
        <v>43906</v>
      </c>
      <c r="D1161" t="s">
        <v>3115</v>
      </c>
      <c r="F1161" t="s">
        <v>19</v>
      </c>
      <c r="G1161" t="s">
        <v>1606</v>
      </c>
      <c r="H1161" t="s">
        <v>3116</v>
      </c>
      <c r="I1161" t="s">
        <v>22</v>
      </c>
      <c r="J1161">
        <v>0.77449999999999997</v>
      </c>
      <c r="K1161">
        <v>2</v>
      </c>
      <c r="L1161">
        <v>7</v>
      </c>
      <c r="M1161">
        <v>0.76</v>
      </c>
      <c r="N1161" t="s">
        <v>23</v>
      </c>
      <c r="O1161" s="1">
        <v>44271</v>
      </c>
      <c r="S1161" t="s">
        <v>915</v>
      </c>
      <c r="T1161" s="6" t="s">
        <v>941</v>
      </c>
      <c r="U1161" s="6" t="s">
        <v>928</v>
      </c>
      <c r="V1161" s="2" t="s">
        <v>923</v>
      </c>
      <c r="W1161" t="str">
        <f t="shared" si="18"/>
        <v>2000058529_20203</v>
      </c>
      <c r="X1161" s="2" t="s">
        <v>1616</v>
      </c>
    </row>
    <row r="1162" spans="1:24" hidden="1" x14ac:dyDescent="0.35">
      <c r="B1162">
        <v>2000058529</v>
      </c>
      <c r="C1162" s="1">
        <v>44308</v>
      </c>
      <c r="D1162" t="s">
        <v>3115</v>
      </c>
      <c r="F1162" t="s">
        <v>19</v>
      </c>
      <c r="G1162" t="s">
        <v>1606</v>
      </c>
      <c r="H1162" t="s">
        <v>3117</v>
      </c>
      <c r="I1162" t="s">
        <v>22</v>
      </c>
      <c r="J1162">
        <v>0.89400000000000002</v>
      </c>
      <c r="K1162">
        <v>3</v>
      </c>
      <c r="L1162">
        <v>4</v>
      </c>
      <c r="M1162">
        <v>0.93</v>
      </c>
      <c r="N1162" t="s">
        <v>2310</v>
      </c>
      <c r="O1162" s="1">
        <v>45038</v>
      </c>
      <c r="S1162" t="s">
        <v>915</v>
      </c>
      <c r="T1162" s="6" t="s">
        <v>946</v>
      </c>
      <c r="U1162" s="6" t="s">
        <v>933</v>
      </c>
      <c r="V1162" s="2" t="s">
        <v>952</v>
      </c>
      <c r="W1162" t="str">
        <f t="shared" si="18"/>
        <v>2000058529_20214</v>
      </c>
      <c r="X1162" s="2" t="s">
        <v>1616</v>
      </c>
    </row>
    <row r="1163" spans="1:24" hidden="1" x14ac:dyDescent="0.35">
      <c r="B1163">
        <v>2000058529</v>
      </c>
      <c r="C1163" s="1">
        <v>45000</v>
      </c>
      <c r="D1163" t="s">
        <v>3115</v>
      </c>
      <c r="F1163" t="s">
        <v>19</v>
      </c>
      <c r="G1163" t="s">
        <v>1720</v>
      </c>
      <c r="H1163" t="s">
        <v>3118</v>
      </c>
      <c r="I1163" t="s">
        <v>22</v>
      </c>
      <c r="J1163">
        <v>0.98899999999999999</v>
      </c>
      <c r="K1163">
        <v>2.6</v>
      </c>
      <c r="L1163">
        <v>1</v>
      </c>
      <c r="M1163">
        <v>0.95</v>
      </c>
      <c r="N1163" t="s">
        <v>2310</v>
      </c>
      <c r="O1163" s="1">
        <v>45731</v>
      </c>
      <c r="S1163" t="s">
        <v>915</v>
      </c>
      <c r="T1163" s="6" t="s">
        <v>941</v>
      </c>
      <c r="U1163" s="6" t="s">
        <v>943</v>
      </c>
      <c r="V1163" s="2" t="s">
        <v>955</v>
      </c>
      <c r="W1163" t="str">
        <f t="shared" si="18"/>
        <v>2000058529_20233</v>
      </c>
      <c r="X1163" s="2" t="s">
        <v>1616</v>
      </c>
    </row>
    <row r="1164" spans="1:24" hidden="1" x14ac:dyDescent="0.35">
      <c r="B1164">
        <v>2000058541</v>
      </c>
      <c r="C1164" s="1">
        <v>44162</v>
      </c>
      <c r="D1164" t="s">
        <v>3119</v>
      </c>
      <c r="F1164" t="s">
        <v>19</v>
      </c>
      <c r="G1164" t="s">
        <v>1606</v>
      </c>
      <c r="H1164" t="s">
        <v>3120</v>
      </c>
      <c r="I1164" t="s">
        <v>22</v>
      </c>
      <c r="J1164">
        <v>0.73099999999999998</v>
      </c>
      <c r="K1164">
        <v>2.6</v>
      </c>
      <c r="L1164">
        <v>5</v>
      </c>
      <c r="M1164">
        <v>0.77</v>
      </c>
      <c r="N1164" t="s">
        <v>2310</v>
      </c>
      <c r="O1164" s="1">
        <v>44892</v>
      </c>
      <c r="S1164" t="s">
        <v>915</v>
      </c>
      <c r="T1164" s="6" t="s">
        <v>945</v>
      </c>
      <c r="U1164" s="6" t="s">
        <v>925</v>
      </c>
      <c r="V1164" s="2" t="s">
        <v>923</v>
      </c>
      <c r="W1164" t="str">
        <f t="shared" si="18"/>
        <v>2000058541_202011</v>
      </c>
      <c r="X1164" s="2" t="s">
        <v>1616</v>
      </c>
    </row>
    <row r="1165" spans="1:24" hidden="1" x14ac:dyDescent="0.35">
      <c r="B1165">
        <v>2000058541</v>
      </c>
      <c r="C1165" s="1">
        <v>44776</v>
      </c>
      <c r="D1165" t="s">
        <v>3119</v>
      </c>
      <c r="F1165" t="s">
        <v>19</v>
      </c>
      <c r="G1165" t="s">
        <v>1606</v>
      </c>
      <c r="H1165" t="s">
        <v>3120</v>
      </c>
      <c r="I1165" t="s">
        <v>22</v>
      </c>
      <c r="J1165">
        <v>0.94699999999999995</v>
      </c>
      <c r="K1165">
        <v>3</v>
      </c>
      <c r="L1165">
        <v>4</v>
      </c>
      <c r="M1165">
        <v>0.93</v>
      </c>
      <c r="N1165" t="s">
        <v>2314</v>
      </c>
      <c r="O1165" s="1">
        <v>45872</v>
      </c>
      <c r="S1165" t="s">
        <v>915</v>
      </c>
      <c r="T1165" s="6" t="s">
        <v>940</v>
      </c>
      <c r="U1165" s="6" t="s">
        <v>941</v>
      </c>
      <c r="V1165" s="2" t="s">
        <v>954</v>
      </c>
      <c r="W1165" t="str">
        <f t="shared" si="18"/>
        <v>2000058541_20228</v>
      </c>
      <c r="X1165" s="2" t="s">
        <v>1616</v>
      </c>
    </row>
    <row r="1166" spans="1:24" hidden="1" x14ac:dyDescent="0.35">
      <c r="B1166">
        <v>2000058542</v>
      </c>
      <c r="C1166" s="1">
        <v>44501</v>
      </c>
      <c r="D1166" t="s">
        <v>3121</v>
      </c>
      <c r="F1166" t="s">
        <v>32</v>
      </c>
      <c r="G1166" t="s">
        <v>1764</v>
      </c>
      <c r="H1166" t="s">
        <v>3122</v>
      </c>
      <c r="I1166" t="s">
        <v>41</v>
      </c>
      <c r="J1166">
        <v>0.75</v>
      </c>
      <c r="K1166">
        <v>2.7</v>
      </c>
      <c r="L1166">
        <v>4</v>
      </c>
      <c r="M1166">
        <v>0.8</v>
      </c>
      <c r="N1166" t="s">
        <v>2361</v>
      </c>
      <c r="O1166" s="1">
        <v>44866</v>
      </c>
      <c r="S1166" t="s">
        <v>915</v>
      </c>
      <c r="T1166" s="6" t="s">
        <v>945</v>
      </c>
      <c r="U1166" s="6" t="s">
        <v>953</v>
      </c>
      <c r="V1166" s="2" t="s">
        <v>952</v>
      </c>
      <c r="W1166" t="str">
        <f t="shared" si="18"/>
        <v>2000058542_202111</v>
      </c>
      <c r="X1166" s="2" t="s">
        <v>1616</v>
      </c>
    </row>
    <row r="1167" spans="1:24" hidden="1" x14ac:dyDescent="0.35">
      <c r="B1167">
        <v>2000058542</v>
      </c>
      <c r="C1167" s="1">
        <v>45040</v>
      </c>
      <c r="D1167" t="s">
        <v>3121</v>
      </c>
      <c r="F1167" t="s">
        <v>32</v>
      </c>
      <c r="G1167" t="s">
        <v>1764</v>
      </c>
      <c r="H1167" t="s">
        <v>3123</v>
      </c>
      <c r="I1167" t="s">
        <v>41</v>
      </c>
      <c r="J1167">
        <v>0.98</v>
      </c>
      <c r="K1167">
        <v>3</v>
      </c>
      <c r="L1167">
        <v>1</v>
      </c>
      <c r="M1167">
        <v>0.89</v>
      </c>
      <c r="N1167" t="s">
        <v>2314</v>
      </c>
      <c r="O1167" s="1">
        <v>46136</v>
      </c>
      <c r="S1167" t="s">
        <v>915</v>
      </c>
      <c r="T1167" s="6" t="s">
        <v>946</v>
      </c>
      <c r="U1167" s="6" t="s">
        <v>935</v>
      </c>
      <c r="V1167" s="2" t="s">
        <v>955</v>
      </c>
      <c r="W1167" t="str">
        <f t="shared" si="18"/>
        <v>2000058542_20234</v>
      </c>
      <c r="X1167" s="2" t="s">
        <v>1616</v>
      </c>
    </row>
    <row r="1168" spans="1:24" hidden="1" x14ac:dyDescent="0.35">
      <c r="A1168">
        <v>125</v>
      </c>
      <c r="B1168">
        <v>2000058565</v>
      </c>
      <c r="C1168" s="1">
        <v>45565</v>
      </c>
      <c r="D1168" t="s">
        <v>3221</v>
      </c>
      <c r="E1168" t="s">
        <v>18</v>
      </c>
      <c r="F1168" t="s">
        <v>19</v>
      </c>
      <c r="G1168" t="s">
        <v>1817</v>
      </c>
      <c r="H1168" t="s">
        <v>3222</v>
      </c>
      <c r="I1168" t="s">
        <v>22</v>
      </c>
      <c r="J1168">
        <v>1</v>
      </c>
      <c r="K1168">
        <v>3</v>
      </c>
      <c r="L1168">
        <v>0</v>
      </c>
      <c r="M1168">
        <v>1</v>
      </c>
      <c r="N1168" t="s">
        <v>368</v>
      </c>
      <c r="O1168" s="1">
        <v>46660</v>
      </c>
      <c r="Q1168" t="s">
        <v>3223</v>
      </c>
      <c r="R1168" t="s">
        <v>1723</v>
      </c>
      <c r="S1168" t="s">
        <v>915</v>
      </c>
      <c r="T1168" s="5" t="s">
        <v>942</v>
      </c>
      <c r="U1168" s="5" t="s">
        <v>938</v>
      </c>
      <c r="V1168" t="s">
        <v>956</v>
      </c>
      <c r="W1168" t="str">
        <f t="shared" si="18"/>
        <v>2000058565_20249</v>
      </c>
      <c r="X1168" t="s">
        <v>1616</v>
      </c>
    </row>
    <row r="1169" spans="1:24" hidden="1" x14ac:dyDescent="0.35">
      <c r="A1169">
        <v>13</v>
      </c>
      <c r="B1169">
        <v>2000058587</v>
      </c>
      <c r="C1169" s="1">
        <v>44288</v>
      </c>
      <c r="D1169" t="s">
        <v>176</v>
      </c>
      <c r="E1169" t="s">
        <v>18</v>
      </c>
      <c r="F1169" t="s">
        <v>19</v>
      </c>
      <c r="G1169" t="s">
        <v>168</v>
      </c>
      <c r="H1169" t="s">
        <v>177</v>
      </c>
      <c r="I1169" t="s">
        <v>22</v>
      </c>
      <c r="J1169">
        <v>0.92900000000000005</v>
      </c>
      <c r="K1169">
        <v>3</v>
      </c>
      <c r="L1169">
        <v>0</v>
      </c>
      <c r="M1169">
        <v>0.79</v>
      </c>
      <c r="N1169" t="s">
        <v>368</v>
      </c>
      <c r="O1169" s="1">
        <v>45384</v>
      </c>
      <c r="Q1169" t="s">
        <v>50</v>
      </c>
      <c r="S1169" t="s">
        <v>915</v>
      </c>
      <c r="T1169" s="6" t="s">
        <v>946</v>
      </c>
      <c r="U1169" s="6" t="s">
        <v>921</v>
      </c>
      <c r="V1169" s="2" t="s">
        <v>952</v>
      </c>
      <c r="W1169" t="str">
        <f t="shared" si="18"/>
        <v>2000058587_20214</v>
      </c>
      <c r="X1169" s="2" t="s">
        <v>1615</v>
      </c>
    </row>
    <row r="1170" spans="1:24" hidden="1" x14ac:dyDescent="0.35">
      <c r="A1170">
        <v>14</v>
      </c>
      <c r="B1170">
        <v>2000058587</v>
      </c>
      <c r="C1170" s="1">
        <v>45381</v>
      </c>
      <c r="D1170" t="s">
        <v>176</v>
      </c>
      <c r="E1170" t="s">
        <v>18</v>
      </c>
      <c r="F1170" t="s">
        <v>19</v>
      </c>
      <c r="G1170" t="s">
        <v>168</v>
      </c>
      <c r="H1170" t="s">
        <v>683</v>
      </c>
      <c r="I1170" t="s">
        <v>22</v>
      </c>
      <c r="J1170">
        <v>0.91</v>
      </c>
      <c r="K1170">
        <v>3</v>
      </c>
      <c r="L1170">
        <v>0</v>
      </c>
      <c r="M1170">
        <v>0.88</v>
      </c>
      <c r="N1170" t="s">
        <v>368</v>
      </c>
      <c r="O1170" s="1">
        <v>46476</v>
      </c>
      <c r="Q1170" t="s">
        <v>684</v>
      </c>
      <c r="S1170" t="s">
        <v>915</v>
      </c>
      <c r="T1170" s="6" t="s">
        <v>941</v>
      </c>
      <c r="U1170" s="6" t="s">
        <v>938</v>
      </c>
      <c r="V1170" s="2" t="s">
        <v>956</v>
      </c>
      <c r="W1170" t="str">
        <f t="shared" si="18"/>
        <v>2000058587_20243</v>
      </c>
      <c r="X1170" s="2" t="s">
        <v>1615</v>
      </c>
    </row>
    <row r="1171" spans="1:24" hidden="1" x14ac:dyDescent="0.35">
      <c r="B1171">
        <v>2000058600</v>
      </c>
      <c r="C1171" s="1">
        <v>44147</v>
      </c>
      <c r="D1171" t="s">
        <v>3827</v>
      </c>
      <c r="F1171" t="s">
        <v>19</v>
      </c>
      <c r="G1171" t="s">
        <v>1606</v>
      </c>
      <c r="H1171" t="s">
        <v>3131</v>
      </c>
      <c r="I1171" t="s">
        <v>41</v>
      </c>
      <c r="J1171">
        <v>0.70499999999999996</v>
      </c>
      <c r="K1171">
        <v>2.2999999999999998</v>
      </c>
      <c r="L1171">
        <v>4</v>
      </c>
      <c r="M1171">
        <v>0.76</v>
      </c>
      <c r="N1171" t="s">
        <v>2310</v>
      </c>
      <c r="O1171" s="1">
        <v>44877</v>
      </c>
      <c r="S1171" t="s">
        <v>915</v>
      </c>
      <c r="T1171" s="6" t="s">
        <v>945</v>
      </c>
      <c r="U1171" s="6" t="s">
        <v>949</v>
      </c>
      <c r="V1171" s="2" t="s">
        <v>923</v>
      </c>
      <c r="W1171" t="str">
        <f t="shared" si="18"/>
        <v>2000058600_202011</v>
      </c>
      <c r="X1171" s="2" t="s">
        <v>1616</v>
      </c>
    </row>
    <row r="1172" spans="1:24" hidden="1" x14ac:dyDescent="0.35">
      <c r="B1172">
        <v>2000058600</v>
      </c>
      <c r="C1172" s="1">
        <v>44762</v>
      </c>
      <c r="D1172" t="s">
        <v>3827</v>
      </c>
      <c r="F1172" t="s">
        <v>19</v>
      </c>
      <c r="G1172" t="s">
        <v>1606</v>
      </c>
      <c r="H1172" t="s">
        <v>3132</v>
      </c>
      <c r="I1172" t="s">
        <v>41</v>
      </c>
      <c r="J1172">
        <v>0.92900000000000005</v>
      </c>
      <c r="K1172">
        <v>3</v>
      </c>
      <c r="L1172">
        <v>1</v>
      </c>
      <c r="M1172">
        <v>0.84</v>
      </c>
      <c r="N1172" t="s">
        <v>2314</v>
      </c>
      <c r="O1172" s="1">
        <v>45858</v>
      </c>
      <c r="S1172" t="s">
        <v>915</v>
      </c>
      <c r="T1172" s="6" t="s">
        <v>936</v>
      </c>
      <c r="U1172" s="6" t="s">
        <v>932</v>
      </c>
      <c r="V1172" s="2" t="s">
        <v>954</v>
      </c>
      <c r="W1172" t="str">
        <f t="shared" si="18"/>
        <v>2000058600_20227</v>
      </c>
      <c r="X1172" s="2" t="s">
        <v>1616</v>
      </c>
    </row>
    <row r="1173" spans="1:24" hidden="1" x14ac:dyDescent="0.35">
      <c r="A1173">
        <v>60</v>
      </c>
      <c r="B1173">
        <v>2000058606</v>
      </c>
      <c r="C1173" s="1">
        <v>45150</v>
      </c>
      <c r="D1173" t="s">
        <v>3853</v>
      </c>
      <c r="E1173" t="s">
        <v>18</v>
      </c>
      <c r="F1173" t="s">
        <v>39</v>
      </c>
      <c r="G1173" t="s">
        <v>168</v>
      </c>
      <c r="H1173" t="s">
        <v>342</v>
      </c>
      <c r="I1173" t="s">
        <v>41</v>
      </c>
      <c r="J1173">
        <v>0.85</v>
      </c>
      <c r="K1173">
        <v>2.7</v>
      </c>
      <c r="L1173">
        <v>2</v>
      </c>
      <c r="M1173">
        <v>0.8</v>
      </c>
      <c r="N1173" t="s">
        <v>28</v>
      </c>
      <c r="O1173" s="1">
        <v>45881</v>
      </c>
      <c r="S1173" t="s">
        <v>915</v>
      </c>
      <c r="T1173" s="6" t="s">
        <v>940</v>
      </c>
      <c r="U1173" s="6" t="s">
        <v>949</v>
      </c>
      <c r="V1173" s="2" t="s">
        <v>955</v>
      </c>
      <c r="W1173" t="str">
        <f t="shared" si="18"/>
        <v>2000058606_20238</v>
      </c>
      <c r="X1173" s="2" t="s">
        <v>1615</v>
      </c>
    </row>
    <row r="1174" spans="1:24" hidden="1" x14ac:dyDescent="0.35">
      <c r="A1174">
        <v>64</v>
      </c>
      <c r="B1174">
        <v>2000058608</v>
      </c>
      <c r="C1174" s="1">
        <v>45545</v>
      </c>
      <c r="D1174" t="s">
        <v>96</v>
      </c>
      <c r="E1174" t="s">
        <v>18</v>
      </c>
      <c r="F1174" t="s">
        <v>19</v>
      </c>
      <c r="G1174" t="s">
        <v>97</v>
      </c>
      <c r="H1174" t="s">
        <v>1643</v>
      </c>
      <c r="I1174" t="s">
        <v>19</v>
      </c>
      <c r="J1174">
        <v>0.89</v>
      </c>
      <c r="K1174">
        <v>3</v>
      </c>
      <c r="L1174">
        <v>1</v>
      </c>
      <c r="M1174">
        <v>0.85</v>
      </c>
      <c r="N1174" t="s">
        <v>28</v>
      </c>
      <c r="O1174" s="1">
        <v>46275</v>
      </c>
      <c r="S1174" t="s">
        <v>915</v>
      </c>
      <c r="T1174" s="6" t="s">
        <v>942</v>
      </c>
      <c r="U1174" s="6" t="s">
        <v>948</v>
      </c>
      <c r="V1174" s="2" t="s">
        <v>956</v>
      </c>
      <c r="W1174" t="str">
        <f t="shared" si="18"/>
        <v>2000058608_20249</v>
      </c>
      <c r="X1174" s="2" t="s">
        <v>1615</v>
      </c>
    </row>
    <row r="1175" spans="1:24" hidden="1" x14ac:dyDescent="0.35">
      <c r="A1175">
        <v>30</v>
      </c>
      <c r="B1175">
        <v>2000058608</v>
      </c>
      <c r="C1175" s="1">
        <v>44093</v>
      </c>
      <c r="D1175" t="s">
        <v>96</v>
      </c>
      <c r="E1175" t="s">
        <v>18</v>
      </c>
      <c r="F1175" t="s">
        <v>19</v>
      </c>
      <c r="G1175" t="s">
        <v>97</v>
      </c>
      <c r="H1175" t="s">
        <v>98</v>
      </c>
      <c r="I1175" t="s">
        <v>22</v>
      </c>
      <c r="J1175">
        <v>0.78200000000000003</v>
      </c>
      <c r="K1175">
        <v>2.4</v>
      </c>
      <c r="L1175">
        <v>8</v>
      </c>
      <c r="M1175">
        <v>0.56999999999999995</v>
      </c>
      <c r="N1175" t="s">
        <v>28</v>
      </c>
      <c r="O1175" s="1">
        <v>44823</v>
      </c>
      <c r="S1175" t="s">
        <v>915</v>
      </c>
      <c r="T1175" s="6" t="s">
        <v>942</v>
      </c>
      <c r="U1175" s="6" t="s">
        <v>931</v>
      </c>
      <c r="V1175" s="2" t="s">
        <v>923</v>
      </c>
      <c r="W1175" t="str">
        <f t="shared" si="18"/>
        <v>2000058608_20209</v>
      </c>
      <c r="X1175" s="2" t="s">
        <v>1615</v>
      </c>
    </row>
    <row r="1176" spans="1:24" hidden="1" x14ac:dyDescent="0.35">
      <c r="A1176">
        <v>88</v>
      </c>
      <c r="B1176">
        <v>2000058608</v>
      </c>
      <c r="C1176" s="1">
        <v>44824</v>
      </c>
      <c r="D1176" t="s">
        <v>96</v>
      </c>
      <c r="E1176" t="s">
        <v>18</v>
      </c>
      <c r="F1176" t="s">
        <v>19</v>
      </c>
      <c r="G1176" t="s">
        <v>97</v>
      </c>
      <c r="H1176" t="s">
        <v>507</v>
      </c>
      <c r="I1176" t="s">
        <v>22</v>
      </c>
      <c r="J1176">
        <v>0.90700000000000003</v>
      </c>
      <c r="K1176">
        <v>2.6</v>
      </c>
      <c r="L1176">
        <v>2</v>
      </c>
      <c r="M1176">
        <v>0.7</v>
      </c>
      <c r="N1176" t="s">
        <v>28</v>
      </c>
      <c r="O1176" s="1">
        <v>45555</v>
      </c>
      <c r="S1176" t="s">
        <v>915</v>
      </c>
      <c r="T1176" s="6" t="s">
        <v>942</v>
      </c>
      <c r="U1176" s="6" t="s">
        <v>932</v>
      </c>
      <c r="V1176" s="2" t="s">
        <v>954</v>
      </c>
      <c r="W1176" t="str">
        <f t="shared" si="18"/>
        <v>2000058608_20229</v>
      </c>
      <c r="X1176" s="2" t="s">
        <v>1615</v>
      </c>
    </row>
    <row r="1177" spans="1:24" hidden="1" x14ac:dyDescent="0.35">
      <c r="A1177">
        <v>51</v>
      </c>
      <c r="B1177">
        <v>2000058613</v>
      </c>
      <c r="C1177" s="1">
        <v>44148</v>
      </c>
      <c r="D1177" t="s">
        <v>137</v>
      </c>
      <c r="E1177" t="s">
        <v>18</v>
      </c>
      <c r="F1177" t="s">
        <v>39</v>
      </c>
      <c r="G1177" t="s">
        <v>20</v>
      </c>
      <c r="H1177" t="s">
        <v>138</v>
      </c>
      <c r="I1177" t="s">
        <v>41</v>
      </c>
      <c r="J1177">
        <v>0.82399999999999995</v>
      </c>
      <c r="K1177">
        <v>2.6</v>
      </c>
      <c r="L1177">
        <v>5</v>
      </c>
      <c r="M1177">
        <v>0.62</v>
      </c>
      <c r="N1177" t="s">
        <v>28</v>
      </c>
      <c r="O1177" s="1">
        <v>44878</v>
      </c>
      <c r="S1177" t="s">
        <v>915</v>
      </c>
      <c r="T1177" s="6" t="s">
        <v>945</v>
      </c>
      <c r="U1177" s="6" t="s">
        <v>950</v>
      </c>
      <c r="V1177" s="2" t="s">
        <v>923</v>
      </c>
      <c r="W1177" t="str">
        <f t="shared" si="18"/>
        <v>2000058613_202011</v>
      </c>
      <c r="X1177" s="2" t="s">
        <v>1615</v>
      </c>
    </row>
    <row r="1178" spans="1:24" hidden="1" x14ac:dyDescent="0.35">
      <c r="A1178">
        <v>107</v>
      </c>
      <c r="B1178">
        <v>2000058613</v>
      </c>
      <c r="C1178" s="1">
        <v>44854</v>
      </c>
      <c r="D1178" t="s">
        <v>137</v>
      </c>
      <c r="E1178" t="s">
        <v>18</v>
      </c>
      <c r="F1178" t="s">
        <v>19</v>
      </c>
      <c r="G1178" t="s">
        <v>20</v>
      </c>
      <c r="H1178" t="s">
        <v>525</v>
      </c>
      <c r="I1178" t="s">
        <v>41</v>
      </c>
      <c r="J1178">
        <v>0.87</v>
      </c>
      <c r="K1178">
        <v>2.6</v>
      </c>
      <c r="L1178">
        <v>2</v>
      </c>
      <c r="M1178">
        <v>0.8</v>
      </c>
      <c r="N1178" t="s">
        <v>28</v>
      </c>
      <c r="O1178" s="1">
        <v>45585</v>
      </c>
      <c r="Q1178" t="s">
        <v>50</v>
      </c>
      <c r="S1178" t="s">
        <v>915</v>
      </c>
      <c r="T1178" s="6" t="s">
        <v>948</v>
      </c>
      <c r="U1178" s="6" t="s">
        <v>932</v>
      </c>
      <c r="V1178" s="2" t="s">
        <v>954</v>
      </c>
      <c r="W1178" t="str">
        <f t="shared" si="18"/>
        <v>2000058613_202210</v>
      </c>
      <c r="X1178" s="2" t="s">
        <v>1615</v>
      </c>
    </row>
    <row r="1179" spans="1:24" hidden="1" x14ac:dyDescent="0.35">
      <c r="A1179">
        <v>79</v>
      </c>
      <c r="B1179">
        <v>2000058613</v>
      </c>
      <c r="C1179" s="1">
        <v>45589</v>
      </c>
      <c r="D1179" t="s">
        <v>137</v>
      </c>
      <c r="E1179" t="s">
        <v>18</v>
      </c>
      <c r="F1179" t="s">
        <v>19</v>
      </c>
      <c r="G1179" t="s">
        <v>20</v>
      </c>
      <c r="H1179" t="s">
        <v>2303</v>
      </c>
      <c r="I1179" t="s">
        <v>41</v>
      </c>
      <c r="J1179">
        <v>0.89</v>
      </c>
      <c r="K1179">
        <v>2.7</v>
      </c>
      <c r="L1179">
        <v>2</v>
      </c>
      <c r="M1179">
        <v>0.77</v>
      </c>
      <c r="N1179" t="s">
        <v>28</v>
      </c>
      <c r="O1179" s="1">
        <v>46319</v>
      </c>
      <c r="S1179" t="s">
        <v>915</v>
      </c>
      <c r="T1179" s="6" t="s">
        <v>948</v>
      </c>
      <c r="U1179" s="6" t="s">
        <v>935</v>
      </c>
      <c r="V1179" s="2" t="s">
        <v>956</v>
      </c>
      <c r="W1179" t="str">
        <f t="shared" si="18"/>
        <v>2000058613_202410</v>
      </c>
      <c r="X1179" s="2" t="s">
        <v>1615</v>
      </c>
    </row>
    <row r="1180" spans="1:24" hidden="1" x14ac:dyDescent="0.35">
      <c r="A1180">
        <v>108</v>
      </c>
      <c r="B1180">
        <v>2000058640</v>
      </c>
      <c r="C1180" s="1">
        <v>45531</v>
      </c>
      <c r="D1180" t="s">
        <v>1904</v>
      </c>
      <c r="E1180" t="s">
        <v>18</v>
      </c>
      <c r="F1180" t="s">
        <v>39</v>
      </c>
      <c r="G1180" t="s">
        <v>1606</v>
      </c>
      <c r="H1180" t="s">
        <v>1905</v>
      </c>
      <c r="I1180" t="s">
        <v>41</v>
      </c>
      <c r="J1180">
        <v>1</v>
      </c>
      <c r="K1180">
        <v>3</v>
      </c>
      <c r="L1180">
        <v>0</v>
      </c>
      <c r="M1180">
        <v>0.81</v>
      </c>
      <c r="N1180" t="s">
        <v>368</v>
      </c>
      <c r="O1180" s="1">
        <v>46626</v>
      </c>
      <c r="Q1180" t="s">
        <v>50</v>
      </c>
      <c r="S1180" t="s">
        <v>915</v>
      </c>
      <c r="T1180" s="5" t="s">
        <v>940</v>
      </c>
      <c r="U1180" s="5" t="s">
        <v>925</v>
      </c>
      <c r="V1180" t="s">
        <v>956</v>
      </c>
      <c r="W1180" t="str">
        <f t="shared" si="18"/>
        <v>2000058640_20248</v>
      </c>
      <c r="X1180" s="2" t="s">
        <v>1616</v>
      </c>
    </row>
    <row r="1181" spans="1:24" hidden="1" x14ac:dyDescent="0.35">
      <c r="B1181">
        <v>2000058645</v>
      </c>
      <c r="C1181" s="1">
        <v>45160</v>
      </c>
      <c r="D1181" t="s">
        <v>3137</v>
      </c>
      <c r="F1181" t="s">
        <v>1859</v>
      </c>
      <c r="G1181" t="s">
        <v>1606</v>
      </c>
      <c r="H1181" t="s">
        <v>3138</v>
      </c>
      <c r="I1181" t="s">
        <v>41</v>
      </c>
      <c r="J1181">
        <v>1</v>
      </c>
      <c r="K1181">
        <v>3</v>
      </c>
      <c r="M1181">
        <v>0.87</v>
      </c>
      <c r="N1181" t="s">
        <v>2314</v>
      </c>
      <c r="O1181" s="1">
        <v>46256</v>
      </c>
      <c r="S1181" t="s">
        <v>915</v>
      </c>
      <c r="T1181" s="6" t="s">
        <v>940</v>
      </c>
      <c r="U1181" s="6" t="s">
        <v>933</v>
      </c>
      <c r="V1181" s="2" t="s">
        <v>955</v>
      </c>
      <c r="W1181" t="str">
        <f t="shared" si="18"/>
        <v>2000058645_20238</v>
      </c>
      <c r="X1181" s="2" t="s">
        <v>1616</v>
      </c>
    </row>
    <row r="1182" spans="1:24" hidden="1" x14ac:dyDescent="0.35">
      <c r="A1182">
        <v>47</v>
      </c>
      <c r="B1182">
        <v>2000058646</v>
      </c>
      <c r="C1182" s="1">
        <v>45475</v>
      </c>
      <c r="D1182" t="s">
        <v>484</v>
      </c>
      <c r="E1182" t="s">
        <v>18</v>
      </c>
      <c r="F1182" t="s">
        <v>473</v>
      </c>
      <c r="G1182" t="s">
        <v>82</v>
      </c>
      <c r="H1182" t="s">
        <v>485</v>
      </c>
      <c r="I1182" t="s">
        <v>41</v>
      </c>
      <c r="J1182">
        <v>0.92900000000000005</v>
      </c>
      <c r="K1182">
        <v>2.4</v>
      </c>
      <c r="L1182">
        <v>0</v>
      </c>
      <c r="M1182">
        <v>0.78</v>
      </c>
      <c r="N1182" t="s">
        <v>28</v>
      </c>
      <c r="O1182" s="1">
        <v>46205</v>
      </c>
      <c r="S1182" t="s">
        <v>915</v>
      </c>
      <c r="T1182" s="6" t="s">
        <v>936</v>
      </c>
      <c r="U1182" s="6" t="s">
        <v>921</v>
      </c>
      <c r="V1182" s="2" t="s">
        <v>956</v>
      </c>
      <c r="W1182" t="str">
        <f t="shared" si="18"/>
        <v>2000058646_20247</v>
      </c>
      <c r="X1182" s="2" t="s">
        <v>1615</v>
      </c>
    </row>
    <row r="1183" spans="1:24" hidden="1" x14ac:dyDescent="0.35">
      <c r="A1183">
        <v>74</v>
      </c>
      <c r="B1183">
        <v>2000058646</v>
      </c>
      <c r="C1183" s="1">
        <v>44764</v>
      </c>
      <c r="D1183" t="s">
        <v>484</v>
      </c>
      <c r="E1183" t="s">
        <v>18</v>
      </c>
      <c r="F1183" t="s">
        <v>473</v>
      </c>
      <c r="G1183" t="s">
        <v>82</v>
      </c>
      <c r="H1183" t="s">
        <v>485</v>
      </c>
      <c r="I1183" t="s">
        <v>41</v>
      </c>
      <c r="J1183">
        <v>0.871</v>
      </c>
      <c r="K1183">
        <v>2.6</v>
      </c>
      <c r="L1183">
        <v>3</v>
      </c>
      <c r="M1183">
        <v>0.75</v>
      </c>
      <c r="N1183" t="s">
        <v>28</v>
      </c>
      <c r="O1183" s="1">
        <v>45495</v>
      </c>
      <c r="S1183" t="s">
        <v>915</v>
      </c>
      <c r="T1183" s="6" t="s">
        <v>936</v>
      </c>
      <c r="U1183" s="6" t="s">
        <v>933</v>
      </c>
      <c r="V1183" s="2" t="s">
        <v>954</v>
      </c>
      <c r="W1183" t="str">
        <f t="shared" si="18"/>
        <v>2000058646_20227</v>
      </c>
      <c r="X1183" s="2" t="s">
        <v>1615</v>
      </c>
    </row>
    <row r="1184" spans="1:24" hidden="1" x14ac:dyDescent="0.35">
      <c r="B1184">
        <v>2000058649</v>
      </c>
      <c r="C1184" s="1">
        <v>44756</v>
      </c>
      <c r="D1184" t="s">
        <v>3139</v>
      </c>
      <c r="F1184" t="s">
        <v>43</v>
      </c>
      <c r="G1184" t="s">
        <v>1603</v>
      </c>
      <c r="H1184" t="s">
        <v>3140</v>
      </c>
      <c r="I1184" t="s">
        <v>22</v>
      </c>
      <c r="J1184">
        <v>0.96899999999999997</v>
      </c>
      <c r="K1184">
        <v>3</v>
      </c>
      <c r="L1184">
        <v>0</v>
      </c>
      <c r="M1184">
        <v>0.98</v>
      </c>
      <c r="N1184" t="s">
        <v>2314</v>
      </c>
      <c r="O1184" s="1">
        <v>45852</v>
      </c>
      <c r="S1184" t="s">
        <v>915</v>
      </c>
      <c r="T1184" s="6" t="s">
        <v>936</v>
      </c>
      <c r="U1184" s="6" t="s">
        <v>951</v>
      </c>
      <c r="V1184" s="2" t="s">
        <v>954</v>
      </c>
      <c r="W1184" t="str">
        <f t="shared" si="18"/>
        <v>2000058649_20227</v>
      </c>
      <c r="X1184" s="2" t="s">
        <v>1616</v>
      </c>
    </row>
    <row r="1185" spans="1:24" hidden="1" x14ac:dyDescent="0.35">
      <c r="A1185">
        <v>57</v>
      </c>
      <c r="B1185">
        <v>2000056978</v>
      </c>
      <c r="C1185" s="1">
        <v>45769</v>
      </c>
      <c r="D1185" t="s">
        <v>3688</v>
      </c>
      <c r="E1185" t="s">
        <v>18</v>
      </c>
      <c r="F1185" t="s">
        <v>148</v>
      </c>
      <c r="G1185" t="s">
        <v>2685</v>
      </c>
      <c r="H1185" t="s">
        <v>3689</v>
      </c>
      <c r="I1185" t="s">
        <v>41</v>
      </c>
      <c r="J1185">
        <v>1</v>
      </c>
      <c r="K1185">
        <v>3</v>
      </c>
      <c r="L1185">
        <v>1</v>
      </c>
      <c r="M1185">
        <v>0.78</v>
      </c>
      <c r="N1185" t="s">
        <v>2314</v>
      </c>
      <c r="O1185" s="1">
        <v>46865</v>
      </c>
      <c r="S1185" t="s">
        <v>915</v>
      </c>
      <c r="T1185" s="6" t="s">
        <v>946</v>
      </c>
      <c r="U1185" s="6" t="s">
        <v>933</v>
      </c>
      <c r="V1185" s="2" t="s">
        <v>1650</v>
      </c>
      <c r="W1185" t="str">
        <f t="shared" si="18"/>
        <v>2000056978_20254</v>
      </c>
      <c r="X1185" t="s">
        <v>1616</v>
      </c>
    </row>
    <row r="1186" spans="1:24" hidden="1" x14ac:dyDescent="0.35">
      <c r="B1186">
        <v>2000058651</v>
      </c>
      <c r="C1186" s="1">
        <v>44411</v>
      </c>
      <c r="D1186" t="s">
        <v>3145</v>
      </c>
      <c r="F1186" t="s">
        <v>43</v>
      </c>
      <c r="G1186" t="s">
        <v>1720</v>
      </c>
      <c r="H1186" t="s">
        <v>3146</v>
      </c>
      <c r="I1186" t="s">
        <v>41</v>
      </c>
      <c r="J1186">
        <v>0.91</v>
      </c>
      <c r="K1186">
        <v>3</v>
      </c>
      <c r="L1186">
        <v>2</v>
      </c>
      <c r="M1186">
        <v>0.97</v>
      </c>
      <c r="N1186" t="s">
        <v>2314</v>
      </c>
      <c r="O1186" s="1">
        <v>45507</v>
      </c>
      <c r="S1186" t="s">
        <v>915</v>
      </c>
      <c r="T1186" s="6" t="s">
        <v>940</v>
      </c>
      <c r="U1186" s="6" t="s">
        <v>941</v>
      </c>
      <c r="V1186" s="2" t="s">
        <v>952</v>
      </c>
      <c r="W1186" t="str">
        <f t="shared" si="18"/>
        <v>2000058651_20218</v>
      </c>
      <c r="X1186" s="2" t="s">
        <v>1616</v>
      </c>
    </row>
    <row r="1187" spans="1:24" hidden="1" x14ac:dyDescent="0.35">
      <c r="A1187">
        <v>123</v>
      </c>
      <c r="B1187">
        <v>2000058651</v>
      </c>
      <c r="C1187" s="1">
        <v>45561</v>
      </c>
      <c r="D1187" t="s">
        <v>3145</v>
      </c>
      <c r="E1187" t="s">
        <v>18</v>
      </c>
      <c r="F1187" t="s">
        <v>43</v>
      </c>
      <c r="G1187" t="s">
        <v>1820</v>
      </c>
      <c r="H1187" t="s">
        <v>3146</v>
      </c>
      <c r="I1187" t="s">
        <v>22</v>
      </c>
      <c r="J1187">
        <v>0.98699999999999999</v>
      </c>
      <c r="K1187">
        <v>3</v>
      </c>
      <c r="L1187">
        <v>1</v>
      </c>
      <c r="M1187">
        <v>0.97</v>
      </c>
      <c r="N1187" t="s">
        <v>368</v>
      </c>
      <c r="O1187" s="1">
        <v>46656</v>
      </c>
      <c r="P1187" t="s">
        <v>3218</v>
      </c>
      <c r="R1187" t="s">
        <v>1723</v>
      </c>
      <c r="S1187" t="s">
        <v>915</v>
      </c>
      <c r="T1187" s="5" t="s">
        <v>942</v>
      </c>
      <c r="U1187" s="5" t="s">
        <v>924</v>
      </c>
      <c r="V1187" t="s">
        <v>956</v>
      </c>
      <c r="W1187" t="str">
        <f t="shared" si="18"/>
        <v>2000058651_20249</v>
      </c>
      <c r="X1187" t="s">
        <v>1616</v>
      </c>
    </row>
    <row r="1188" spans="1:24" hidden="1" x14ac:dyDescent="0.35">
      <c r="A1188">
        <v>40</v>
      </c>
      <c r="B1188">
        <v>2000058652</v>
      </c>
      <c r="C1188" s="1">
        <v>45427</v>
      </c>
      <c r="D1188" t="s">
        <v>1739</v>
      </c>
      <c r="E1188" t="s">
        <v>18</v>
      </c>
      <c r="F1188" t="s">
        <v>19</v>
      </c>
      <c r="G1188" t="s">
        <v>1740</v>
      </c>
      <c r="H1188" t="s">
        <v>1741</v>
      </c>
      <c r="I1188" t="s">
        <v>22</v>
      </c>
      <c r="J1188">
        <v>1</v>
      </c>
      <c r="K1188">
        <v>3</v>
      </c>
      <c r="L1188">
        <v>0</v>
      </c>
      <c r="M1188">
        <v>0.98</v>
      </c>
      <c r="N1188" t="s">
        <v>368</v>
      </c>
      <c r="O1188" s="1">
        <v>46522</v>
      </c>
      <c r="P1188" t="s">
        <v>1742</v>
      </c>
      <c r="Q1188" t="s">
        <v>1743</v>
      </c>
      <c r="R1188" t="s">
        <v>1723</v>
      </c>
      <c r="S1188" t="s">
        <v>915</v>
      </c>
      <c r="T1188" s="5" t="s">
        <v>947</v>
      </c>
      <c r="U1188" s="5" t="s">
        <v>943</v>
      </c>
      <c r="V1188" t="s">
        <v>956</v>
      </c>
      <c r="W1188" t="str">
        <f t="shared" si="18"/>
        <v>2000058652_20245</v>
      </c>
      <c r="X1188" s="2" t="s">
        <v>1616</v>
      </c>
    </row>
    <row r="1189" spans="1:24" hidden="1" x14ac:dyDescent="0.35">
      <c r="B1189">
        <v>2000058652</v>
      </c>
      <c r="C1189" s="1">
        <v>44483</v>
      </c>
      <c r="D1189" t="s">
        <v>1739</v>
      </c>
      <c r="F1189" t="s">
        <v>19</v>
      </c>
      <c r="G1189" t="s">
        <v>1740</v>
      </c>
      <c r="H1189" t="s">
        <v>1741</v>
      </c>
      <c r="I1189" t="s">
        <v>22</v>
      </c>
      <c r="J1189">
        <v>0.99099999999999999</v>
      </c>
      <c r="K1189">
        <v>3</v>
      </c>
      <c r="L1189">
        <v>2</v>
      </c>
      <c r="M1189">
        <v>0.98</v>
      </c>
      <c r="N1189" t="s">
        <v>2314</v>
      </c>
      <c r="O1189" s="1">
        <v>45579</v>
      </c>
      <c r="S1189" t="s">
        <v>915</v>
      </c>
      <c r="T1189" s="6" t="s">
        <v>948</v>
      </c>
      <c r="U1189" s="6" t="s">
        <v>951</v>
      </c>
      <c r="V1189" s="2" t="s">
        <v>952</v>
      </c>
      <c r="W1189" t="str">
        <f t="shared" si="18"/>
        <v>2000058652_202110</v>
      </c>
      <c r="X1189" s="2" t="s">
        <v>1616</v>
      </c>
    </row>
    <row r="1190" spans="1:24" hidden="1" x14ac:dyDescent="0.35">
      <c r="A1190">
        <v>22</v>
      </c>
      <c r="B1190">
        <v>2000063973</v>
      </c>
      <c r="C1190" s="1">
        <v>45757</v>
      </c>
      <c r="D1190" t="s">
        <v>3591</v>
      </c>
      <c r="E1190" t="s">
        <v>18</v>
      </c>
      <c r="F1190" t="s">
        <v>39</v>
      </c>
      <c r="G1190" t="s">
        <v>1027</v>
      </c>
      <c r="H1190" t="s">
        <v>3592</v>
      </c>
      <c r="I1190" t="s">
        <v>22</v>
      </c>
      <c r="J1190">
        <v>0.89400000000000002</v>
      </c>
      <c r="K1190">
        <v>2.7</v>
      </c>
      <c r="L1190">
        <v>4</v>
      </c>
      <c r="M1190">
        <v>0.85</v>
      </c>
      <c r="N1190" t="s">
        <v>28</v>
      </c>
      <c r="O1190" s="1">
        <v>46487</v>
      </c>
      <c r="S1190" t="s">
        <v>915</v>
      </c>
      <c r="T1190" s="5" t="s">
        <v>946</v>
      </c>
      <c r="U1190" s="5" t="s">
        <v>948</v>
      </c>
      <c r="V1190" t="s">
        <v>1650</v>
      </c>
      <c r="W1190" t="str">
        <f t="shared" si="18"/>
        <v>2000063973_20254</v>
      </c>
      <c r="X1190" t="s">
        <v>1615</v>
      </c>
    </row>
    <row r="1191" spans="1:24" hidden="1" x14ac:dyDescent="0.35">
      <c r="A1191">
        <v>57</v>
      </c>
      <c r="B1191">
        <v>2000058677</v>
      </c>
      <c r="C1191" s="1">
        <v>45148</v>
      </c>
      <c r="D1191" t="s">
        <v>602</v>
      </c>
      <c r="E1191" t="s">
        <v>18</v>
      </c>
      <c r="F1191" t="s">
        <v>148</v>
      </c>
      <c r="G1191" t="s">
        <v>168</v>
      </c>
      <c r="H1191" t="s">
        <v>603</v>
      </c>
      <c r="I1191" t="s">
        <v>148</v>
      </c>
      <c r="J1191">
        <v>0.73699999999999999</v>
      </c>
      <c r="K1191">
        <v>2.25</v>
      </c>
      <c r="L1191">
        <v>5</v>
      </c>
      <c r="M1191">
        <v>0.53</v>
      </c>
      <c r="N1191" t="s">
        <v>23</v>
      </c>
      <c r="O1191" s="1">
        <v>45514</v>
      </c>
      <c r="S1191" t="s">
        <v>915</v>
      </c>
      <c r="T1191" s="6" t="s">
        <v>940</v>
      </c>
      <c r="U1191" s="6" t="s">
        <v>948</v>
      </c>
      <c r="V1191" s="2" t="s">
        <v>955</v>
      </c>
      <c r="W1191" t="str">
        <f t="shared" si="18"/>
        <v>2000058677_20238</v>
      </c>
      <c r="X1191" s="2" t="s">
        <v>1615</v>
      </c>
    </row>
    <row r="1192" spans="1:24" hidden="1" x14ac:dyDescent="0.35">
      <c r="A1192">
        <v>105</v>
      </c>
      <c r="B1192">
        <v>2000058691</v>
      </c>
      <c r="C1192" s="1">
        <v>45526</v>
      </c>
      <c r="D1192" t="s">
        <v>1898</v>
      </c>
      <c r="E1192" t="s">
        <v>18</v>
      </c>
      <c r="F1192" t="s">
        <v>39</v>
      </c>
      <c r="G1192" t="s">
        <v>1606</v>
      </c>
      <c r="H1192" t="s">
        <v>1899</v>
      </c>
      <c r="I1192" t="s">
        <v>22</v>
      </c>
      <c r="J1192">
        <v>0.84599999999999997</v>
      </c>
      <c r="K1192">
        <v>3</v>
      </c>
      <c r="L1192">
        <v>5</v>
      </c>
      <c r="M1192">
        <v>0.88</v>
      </c>
      <c r="N1192" t="s">
        <v>28</v>
      </c>
      <c r="O1192" s="1">
        <v>46256</v>
      </c>
      <c r="R1192" t="s">
        <v>1655</v>
      </c>
      <c r="S1192" t="s">
        <v>915</v>
      </c>
      <c r="T1192" s="5" t="s">
        <v>940</v>
      </c>
      <c r="U1192" s="5" t="s">
        <v>933</v>
      </c>
      <c r="V1192" t="s">
        <v>956</v>
      </c>
      <c r="W1192" t="str">
        <f t="shared" si="18"/>
        <v>2000058691_20248</v>
      </c>
      <c r="X1192" s="2" t="s">
        <v>1616</v>
      </c>
    </row>
    <row r="1193" spans="1:24" hidden="1" x14ac:dyDescent="0.35">
      <c r="A1193">
        <v>79</v>
      </c>
      <c r="B1193">
        <v>2000058728</v>
      </c>
      <c r="C1193" s="1">
        <v>44479</v>
      </c>
      <c r="D1193" t="s">
        <v>302</v>
      </c>
      <c r="E1193" t="s">
        <v>18</v>
      </c>
      <c r="F1193" t="s">
        <v>39</v>
      </c>
      <c r="G1193" t="s">
        <v>20</v>
      </c>
      <c r="H1193" t="s">
        <v>303</v>
      </c>
      <c r="I1193" t="s">
        <v>41</v>
      </c>
      <c r="J1193">
        <v>0.75</v>
      </c>
      <c r="K1193">
        <v>2.5</v>
      </c>
      <c r="L1193">
        <v>7</v>
      </c>
      <c r="M1193">
        <v>0.61</v>
      </c>
      <c r="N1193" t="s">
        <v>23</v>
      </c>
      <c r="O1193" s="1">
        <v>44845</v>
      </c>
      <c r="S1193" t="s">
        <v>915</v>
      </c>
      <c r="T1193" s="6" t="s">
        <v>948</v>
      </c>
      <c r="U1193" s="6" t="s">
        <v>948</v>
      </c>
      <c r="V1193" s="2" t="s">
        <v>952</v>
      </c>
      <c r="W1193" t="str">
        <f t="shared" si="18"/>
        <v>2000058728_202110</v>
      </c>
      <c r="X1193" s="2" t="s">
        <v>1615</v>
      </c>
    </row>
    <row r="1194" spans="1:24" hidden="1" x14ac:dyDescent="0.35">
      <c r="A1194">
        <v>104</v>
      </c>
      <c r="B1194">
        <v>2000058728</v>
      </c>
      <c r="C1194" s="1">
        <v>44851</v>
      </c>
      <c r="D1194" t="s">
        <v>302</v>
      </c>
      <c r="E1194" t="s">
        <v>18</v>
      </c>
      <c r="F1194" t="s">
        <v>148</v>
      </c>
      <c r="G1194" t="s">
        <v>20</v>
      </c>
      <c r="H1194" t="s">
        <v>522</v>
      </c>
      <c r="I1194" t="s">
        <v>148</v>
      </c>
      <c r="J1194">
        <v>0.91700000000000004</v>
      </c>
      <c r="K1194">
        <v>2.7</v>
      </c>
      <c r="L1194">
        <v>2</v>
      </c>
      <c r="M1194">
        <v>0.66</v>
      </c>
      <c r="N1194" t="s">
        <v>28</v>
      </c>
      <c r="O1194" s="1">
        <v>45582</v>
      </c>
      <c r="S1194" t="s">
        <v>915</v>
      </c>
      <c r="T1194" s="6" t="s">
        <v>948</v>
      </c>
      <c r="U1194" s="6" t="s">
        <v>929</v>
      </c>
      <c r="V1194" s="2" t="s">
        <v>954</v>
      </c>
      <c r="W1194" t="str">
        <f t="shared" si="18"/>
        <v>2000058728_202210</v>
      </c>
      <c r="X1194" s="2" t="s">
        <v>1615</v>
      </c>
    </row>
    <row r="1195" spans="1:24" hidden="1" x14ac:dyDescent="0.35">
      <c r="A1195">
        <v>28</v>
      </c>
      <c r="B1195">
        <v>2000058746</v>
      </c>
      <c r="C1195" s="1">
        <v>45425</v>
      </c>
      <c r="D1195" t="s">
        <v>4161</v>
      </c>
      <c r="E1195" t="s">
        <v>18</v>
      </c>
      <c r="F1195" t="s">
        <v>373</v>
      </c>
      <c r="G1195" t="s">
        <v>20</v>
      </c>
      <c r="H1195" t="s">
        <v>701</v>
      </c>
      <c r="I1195" t="s">
        <v>41</v>
      </c>
      <c r="J1195">
        <v>0.84199999999999997</v>
      </c>
      <c r="K1195">
        <v>2.7</v>
      </c>
      <c r="L1195">
        <v>2</v>
      </c>
      <c r="M1195">
        <v>0.82</v>
      </c>
      <c r="N1195" t="s">
        <v>28</v>
      </c>
      <c r="O1195" s="1">
        <v>46155</v>
      </c>
      <c r="S1195" t="s">
        <v>915</v>
      </c>
      <c r="T1195" s="6" t="s">
        <v>947</v>
      </c>
      <c r="U1195" s="6" t="s">
        <v>950</v>
      </c>
      <c r="V1195" s="2" t="s">
        <v>956</v>
      </c>
      <c r="W1195" t="str">
        <f t="shared" si="18"/>
        <v>2000058746_20245</v>
      </c>
      <c r="X1195" s="2" t="s">
        <v>1615</v>
      </c>
    </row>
    <row r="1196" spans="1:24" hidden="1" x14ac:dyDescent="0.35">
      <c r="A1196">
        <v>43</v>
      </c>
      <c r="B1196">
        <v>2000058746</v>
      </c>
      <c r="C1196" s="1">
        <v>44692</v>
      </c>
      <c r="D1196" t="s">
        <v>4161</v>
      </c>
      <c r="E1196" t="s">
        <v>18</v>
      </c>
      <c r="F1196" t="s">
        <v>373</v>
      </c>
      <c r="G1196" t="s">
        <v>20</v>
      </c>
      <c r="H1196" t="s">
        <v>429</v>
      </c>
      <c r="I1196" t="s">
        <v>41</v>
      </c>
      <c r="J1196">
        <v>0.86499999999999999</v>
      </c>
      <c r="K1196">
        <v>2.7</v>
      </c>
      <c r="L1196">
        <v>3</v>
      </c>
      <c r="M1196">
        <v>0.81</v>
      </c>
      <c r="N1196" t="s">
        <v>28</v>
      </c>
      <c r="O1196" s="1">
        <v>45423</v>
      </c>
      <c r="S1196" t="s">
        <v>915</v>
      </c>
      <c r="T1196" s="6" t="s">
        <v>947</v>
      </c>
      <c r="U1196" s="6" t="s">
        <v>945</v>
      </c>
      <c r="V1196" s="2" t="s">
        <v>954</v>
      </c>
      <c r="W1196" t="str">
        <f t="shared" si="18"/>
        <v>2000058746_20225</v>
      </c>
      <c r="X1196" s="2" t="s">
        <v>1615</v>
      </c>
    </row>
    <row r="1197" spans="1:24" hidden="1" x14ac:dyDescent="0.35">
      <c r="A1197">
        <v>19</v>
      </c>
      <c r="B1197">
        <v>2000058804</v>
      </c>
      <c r="C1197" s="1">
        <v>45009</v>
      </c>
      <c r="D1197" t="s">
        <v>557</v>
      </c>
      <c r="E1197" t="s">
        <v>18</v>
      </c>
      <c r="F1197" t="s">
        <v>39</v>
      </c>
      <c r="G1197" t="s">
        <v>168</v>
      </c>
      <c r="H1197" t="s">
        <v>558</v>
      </c>
      <c r="I1197" t="s">
        <v>41</v>
      </c>
      <c r="J1197">
        <v>0.91700000000000004</v>
      </c>
      <c r="K1197">
        <v>2.6</v>
      </c>
      <c r="L1197">
        <v>2</v>
      </c>
      <c r="M1197">
        <v>0.78</v>
      </c>
      <c r="N1197" t="s">
        <v>28</v>
      </c>
      <c r="O1197" s="1">
        <v>45740</v>
      </c>
      <c r="S1197" t="s">
        <v>915</v>
      </c>
      <c r="T1197" s="6" t="s">
        <v>941</v>
      </c>
      <c r="U1197" s="6" t="s">
        <v>935</v>
      </c>
      <c r="V1197" s="2" t="s">
        <v>955</v>
      </c>
      <c r="W1197" t="str">
        <f t="shared" si="18"/>
        <v>2000058804_20233</v>
      </c>
      <c r="X1197" s="2" t="s">
        <v>1615</v>
      </c>
    </row>
    <row r="1198" spans="1:24" hidden="1" x14ac:dyDescent="0.35">
      <c r="A1198">
        <v>23</v>
      </c>
      <c r="B1198">
        <v>2000063711</v>
      </c>
      <c r="C1198" s="1">
        <v>45758</v>
      </c>
      <c r="D1198" t="s">
        <v>3593</v>
      </c>
      <c r="E1198" t="s">
        <v>18</v>
      </c>
      <c r="F1198" t="s">
        <v>148</v>
      </c>
      <c r="G1198" t="s">
        <v>238</v>
      </c>
      <c r="H1198" t="s">
        <v>3594</v>
      </c>
      <c r="I1198" t="s">
        <v>148</v>
      </c>
      <c r="J1198">
        <v>0.91300000000000003</v>
      </c>
      <c r="K1198">
        <v>2.4</v>
      </c>
      <c r="L1198">
        <v>5</v>
      </c>
      <c r="M1198">
        <v>0.94</v>
      </c>
      <c r="N1198" t="s">
        <v>28</v>
      </c>
      <c r="O1198" s="1">
        <v>46488</v>
      </c>
      <c r="S1198" t="s">
        <v>915</v>
      </c>
      <c r="T1198" s="5" t="s">
        <v>946</v>
      </c>
      <c r="U1198" s="5" t="s">
        <v>945</v>
      </c>
      <c r="V1198" t="s">
        <v>1650</v>
      </c>
      <c r="W1198" t="str">
        <f t="shared" si="18"/>
        <v>2000063711_20254</v>
      </c>
      <c r="X1198" t="s">
        <v>1615</v>
      </c>
    </row>
    <row r="1199" spans="1:24" hidden="1" x14ac:dyDescent="0.35">
      <c r="B1199">
        <v>2000058805</v>
      </c>
      <c r="C1199" s="1">
        <v>45203</v>
      </c>
      <c r="D1199" t="s">
        <v>3154</v>
      </c>
      <c r="F1199" t="s">
        <v>148</v>
      </c>
      <c r="G1199" t="s">
        <v>1606</v>
      </c>
      <c r="H1199" t="s">
        <v>3155</v>
      </c>
      <c r="I1199" t="s">
        <v>22</v>
      </c>
      <c r="J1199">
        <v>0.96599999999999997</v>
      </c>
      <c r="K1199">
        <v>3</v>
      </c>
      <c r="M1199">
        <v>0.87</v>
      </c>
      <c r="N1199" t="s">
        <v>2314</v>
      </c>
      <c r="O1199" s="1">
        <v>46299</v>
      </c>
      <c r="S1199" t="s">
        <v>915</v>
      </c>
      <c r="T1199" s="6" t="s">
        <v>948</v>
      </c>
      <c r="U1199" s="6" t="s">
        <v>946</v>
      </c>
      <c r="V1199" s="2" t="s">
        <v>955</v>
      </c>
      <c r="W1199" t="str">
        <f t="shared" si="18"/>
        <v>2000058805_202310</v>
      </c>
      <c r="X1199" s="2" t="s">
        <v>1616</v>
      </c>
    </row>
    <row r="1200" spans="1:24" hidden="1" x14ac:dyDescent="0.35">
      <c r="A1200">
        <v>24</v>
      </c>
      <c r="B1200">
        <v>2000060027</v>
      </c>
      <c r="C1200" s="1">
        <v>45758</v>
      </c>
      <c r="D1200" t="s">
        <v>3595</v>
      </c>
      <c r="E1200" t="s">
        <v>18</v>
      </c>
      <c r="F1200" t="s">
        <v>32</v>
      </c>
      <c r="G1200" t="s">
        <v>238</v>
      </c>
      <c r="H1200" t="s">
        <v>3596</v>
      </c>
      <c r="I1200" t="s">
        <v>41</v>
      </c>
      <c r="J1200">
        <v>0.81299999999999994</v>
      </c>
      <c r="K1200">
        <v>2.6</v>
      </c>
      <c r="L1200">
        <v>4</v>
      </c>
      <c r="M1200">
        <v>0.84</v>
      </c>
      <c r="N1200" t="s">
        <v>28</v>
      </c>
      <c r="O1200" s="1">
        <v>46488</v>
      </c>
      <c r="S1200" t="s">
        <v>915</v>
      </c>
      <c r="T1200" s="5" t="s">
        <v>946</v>
      </c>
      <c r="U1200" s="5" t="s">
        <v>945</v>
      </c>
      <c r="V1200" t="s">
        <v>1650</v>
      </c>
      <c r="W1200" t="str">
        <f t="shared" si="18"/>
        <v>2000060027_20254</v>
      </c>
      <c r="X1200" t="s">
        <v>1615</v>
      </c>
    </row>
    <row r="1201" spans="1:24" hidden="1" x14ac:dyDescent="0.35">
      <c r="A1201">
        <v>25</v>
      </c>
      <c r="B1201">
        <v>2000061040</v>
      </c>
      <c r="C1201" s="1">
        <v>45759</v>
      </c>
      <c r="D1201" t="s">
        <v>561</v>
      </c>
      <c r="E1201" t="s">
        <v>18</v>
      </c>
      <c r="F1201" t="s">
        <v>39</v>
      </c>
      <c r="G1201" t="s">
        <v>3597</v>
      </c>
      <c r="H1201" t="s">
        <v>3598</v>
      </c>
      <c r="I1201" t="s">
        <v>41</v>
      </c>
      <c r="J1201">
        <v>1</v>
      </c>
      <c r="K1201">
        <v>2.7</v>
      </c>
      <c r="L1201">
        <v>0</v>
      </c>
      <c r="M1201">
        <v>0.71</v>
      </c>
      <c r="N1201" t="s">
        <v>28</v>
      </c>
      <c r="O1201" s="1">
        <v>46489</v>
      </c>
      <c r="S1201" t="s">
        <v>915</v>
      </c>
      <c r="T1201" s="5" t="s">
        <v>946</v>
      </c>
      <c r="U1201" s="5" t="s">
        <v>949</v>
      </c>
      <c r="V1201" t="s">
        <v>1650</v>
      </c>
      <c r="W1201" t="str">
        <f t="shared" si="18"/>
        <v>2000061040_20254</v>
      </c>
      <c r="X1201" t="s">
        <v>1615</v>
      </c>
    </row>
    <row r="1202" spans="1:24" hidden="1" x14ac:dyDescent="0.35">
      <c r="B1202">
        <v>2000058810</v>
      </c>
      <c r="C1202" s="1">
        <v>45167</v>
      </c>
      <c r="D1202" t="s">
        <v>3156</v>
      </c>
      <c r="F1202" t="s">
        <v>52</v>
      </c>
      <c r="G1202" t="s">
        <v>1606</v>
      </c>
      <c r="H1202" t="s">
        <v>3157</v>
      </c>
      <c r="I1202" t="s">
        <v>41</v>
      </c>
      <c r="J1202">
        <v>0.875</v>
      </c>
      <c r="K1202">
        <v>3</v>
      </c>
      <c r="M1202">
        <v>0.83</v>
      </c>
      <c r="N1202" t="s">
        <v>2310</v>
      </c>
      <c r="O1202" s="1">
        <v>45898</v>
      </c>
      <c r="S1202" t="s">
        <v>915</v>
      </c>
      <c r="T1202" s="6" t="s">
        <v>940</v>
      </c>
      <c r="U1202" s="6" t="s">
        <v>937</v>
      </c>
      <c r="V1202" s="2" t="s">
        <v>955</v>
      </c>
      <c r="W1202" t="str">
        <f t="shared" si="18"/>
        <v>2000058810_20238</v>
      </c>
      <c r="X1202" s="2" t="s">
        <v>1616</v>
      </c>
    </row>
    <row r="1203" spans="1:24" hidden="1" x14ac:dyDescent="0.35">
      <c r="B1203">
        <v>2000058823</v>
      </c>
      <c r="C1203" s="1">
        <v>44278</v>
      </c>
      <c r="D1203" t="s">
        <v>3158</v>
      </c>
      <c r="F1203" t="s">
        <v>39</v>
      </c>
      <c r="G1203" t="s">
        <v>1603</v>
      </c>
      <c r="H1203" t="s">
        <v>3159</v>
      </c>
      <c r="I1203" t="s">
        <v>41</v>
      </c>
      <c r="J1203">
        <v>0.88</v>
      </c>
      <c r="K1203">
        <v>3</v>
      </c>
      <c r="L1203">
        <v>2</v>
      </c>
      <c r="M1203">
        <v>0.88</v>
      </c>
      <c r="N1203" t="s">
        <v>2310</v>
      </c>
      <c r="O1203" s="1">
        <v>45008</v>
      </c>
      <c r="S1203" t="s">
        <v>915</v>
      </c>
      <c r="T1203" s="6" t="s">
        <v>941</v>
      </c>
      <c r="U1203" s="6" t="s">
        <v>934</v>
      </c>
      <c r="V1203" s="2" t="s">
        <v>952</v>
      </c>
      <c r="W1203" t="str">
        <f t="shared" si="18"/>
        <v>2000058823_20213</v>
      </c>
      <c r="X1203" s="2" t="s">
        <v>1616</v>
      </c>
    </row>
    <row r="1204" spans="1:24" hidden="1" x14ac:dyDescent="0.35">
      <c r="B1204">
        <v>2000058823</v>
      </c>
      <c r="C1204" s="1">
        <v>45097</v>
      </c>
      <c r="D1204" t="s">
        <v>3158</v>
      </c>
      <c r="F1204" t="s">
        <v>39</v>
      </c>
      <c r="G1204" t="s">
        <v>1603</v>
      </c>
      <c r="H1204" t="s">
        <v>3160</v>
      </c>
      <c r="I1204" t="s">
        <v>41</v>
      </c>
      <c r="J1204">
        <v>0.94699999999999995</v>
      </c>
      <c r="K1204">
        <v>3</v>
      </c>
      <c r="L1204">
        <v>0</v>
      </c>
      <c r="M1204">
        <v>0.93</v>
      </c>
      <c r="N1204" t="s">
        <v>2314</v>
      </c>
      <c r="O1204" s="1">
        <v>46193</v>
      </c>
      <c r="S1204" t="s">
        <v>915</v>
      </c>
      <c r="T1204" s="6" t="s">
        <v>927</v>
      </c>
      <c r="U1204" s="6" t="s">
        <v>932</v>
      </c>
      <c r="V1204" s="2" t="s">
        <v>955</v>
      </c>
      <c r="W1204" t="str">
        <f t="shared" si="18"/>
        <v>2000058823_20236</v>
      </c>
      <c r="X1204" s="2" t="s">
        <v>1616</v>
      </c>
    </row>
    <row r="1205" spans="1:24" hidden="1" x14ac:dyDescent="0.35">
      <c r="A1205">
        <v>29</v>
      </c>
      <c r="B1205">
        <v>2000058827</v>
      </c>
      <c r="C1205" s="1">
        <v>45406</v>
      </c>
      <c r="D1205" t="s">
        <v>1710</v>
      </c>
      <c r="E1205" t="s">
        <v>18</v>
      </c>
      <c r="F1205" t="s">
        <v>376</v>
      </c>
      <c r="G1205" t="s">
        <v>1708</v>
      </c>
      <c r="H1205" t="s">
        <v>1711</v>
      </c>
      <c r="I1205" t="s">
        <v>22</v>
      </c>
      <c r="J1205">
        <v>0.84499999999999997</v>
      </c>
      <c r="K1205">
        <v>2.8</v>
      </c>
      <c r="L1205">
        <v>4</v>
      </c>
      <c r="M1205">
        <v>0.79</v>
      </c>
      <c r="N1205" t="s">
        <v>28</v>
      </c>
      <c r="O1205" s="1">
        <v>46136</v>
      </c>
      <c r="S1205" t="s">
        <v>915</v>
      </c>
      <c r="T1205" s="5" t="s">
        <v>946</v>
      </c>
      <c r="U1205" s="5" t="s">
        <v>935</v>
      </c>
      <c r="V1205" t="s">
        <v>956</v>
      </c>
      <c r="W1205" t="str">
        <f t="shared" si="18"/>
        <v>2000058827_20244</v>
      </c>
      <c r="X1205" s="2" t="s">
        <v>1616</v>
      </c>
    </row>
    <row r="1206" spans="1:24" hidden="1" x14ac:dyDescent="0.35">
      <c r="A1206">
        <v>73</v>
      </c>
      <c r="B1206">
        <v>2000058864</v>
      </c>
      <c r="C1206" s="1">
        <v>45579</v>
      </c>
      <c r="D1206" t="s">
        <v>312</v>
      </c>
      <c r="E1206" t="s">
        <v>18</v>
      </c>
      <c r="F1206" t="s">
        <v>19</v>
      </c>
      <c r="G1206" t="s">
        <v>82</v>
      </c>
      <c r="H1206" t="s">
        <v>314</v>
      </c>
      <c r="I1206" t="s">
        <v>22</v>
      </c>
      <c r="J1206">
        <v>0.99</v>
      </c>
      <c r="K1206">
        <v>3</v>
      </c>
      <c r="L1206">
        <v>0</v>
      </c>
      <c r="M1206">
        <v>0.95</v>
      </c>
      <c r="N1206" t="s">
        <v>368</v>
      </c>
      <c r="O1206" s="1">
        <v>46674</v>
      </c>
      <c r="P1206" t="s">
        <v>2297</v>
      </c>
      <c r="S1206" t="s">
        <v>915</v>
      </c>
      <c r="T1206" s="6" t="s">
        <v>948</v>
      </c>
      <c r="U1206" s="6" t="s">
        <v>951</v>
      </c>
      <c r="V1206" s="2" t="s">
        <v>956</v>
      </c>
      <c r="W1206" t="str">
        <f t="shared" si="18"/>
        <v>2000058864_202410</v>
      </c>
      <c r="X1206" s="2" t="s">
        <v>1615</v>
      </c>
    </row>
    <row r="1207" spans="1:24" hidden="1" x14ac:dyDescent="0.35">
      <c r="A1207">
        <v>84</v>
      </c>
      <c r="B1207">
        <v>2000058864</v>
      </c>
      <c r="C1207" s="1">
        <v>44487</v>
      </c>
      <c r="D1207" t="s">
        <v>312</v>
      </c>
      <c r="E1207" t="s">
        <v>18</v>
      </c>
      <c r="F1207" t="s">
        <v>19</v>
      </c>
      <c r="G1207" t="s">
        <v>313</v>
      </c>
      <c r="H1207" t="s">
        <v>314</v>
      </c>
      <c r="I1207" t="s">
        <v>22</v>
      </c>
      <c r="J1207">
        <v>0.94699999999999995</v>
      </c>
      <c r="K1207">
        <v>3</v>
      </c>
      <c r="L1207">
        <v>1</v>
      </c>
      <c r="M1207">
        <v>0.95</v>
      </c>
      <c r="N1207" t="s">
        <v>368</v>
      </c>
      <c r="O1207" s="1">
        <v>45583</v>
      </c>
      <c r="P1207" t="s">
        <v>279</v>
      </c>
      <c r="Q1207" t="s">
        <v>315</v>
      </c>
      <c r="S1207" t="s">
        <v>915</v>
      </c>
      <c r="T1207" s="6" t="s">
        <v>948</v>
      </c>
      <c r="U1207" s="6" t="s">
        <v>930</v>
      </c>
      <c r="V1207" s="2" t="s">
        <v>952</v>
      </c>
      <c r="W1207" t="str">
        <f t="shared" si="18"/>
        <v>2000058864_202110</v>
      </c>
      <c r="X1207" s="2" t="s">
        <v>1615</v>
      </c>
    </row>
    <row r="1208" spans="1:24" hidden="1" x14ac:dyDescent="0.35">
      <c r="B1208">
        <v>2000058914</v>
      </c>
      <c r="C1208" s="1">
        <v>44568</v>
      </c>
      <c r="D1208" t="s">
        <v>3163</v>
      </c>
      <c r="F1208" t="s">
        <v>39</v>
      </c>
      <c r="G1208" t="s">
        <v>1606</v>
      </c>
      <c r="H1208" t="s">
        <v>3164</v>
      </c>
      <c r="I1208" t="s">
        <v>41</v>
      </c>
      <c r="J1208">
        <v>0.92500000000000004</v>
      </c>
      <c r="K1208">
        <v>3</v>
      </c>
      <c r="L1208">
        <v>3</v>
      </c>
      <c r="M1208">
        <v>0.84</v>
      </c>
      <c r="N1208" t="s">
        <v>2314</v>
      </c>
      <c r="O1208" s="1">
        <v>45664</v>
      </c>
      <c r="S1208" t="s">
        <v>915</v>
      </c>
      <c r="T1208" s="6" t="s">
        <v>953</v>
      </c>
      <c r="U1208" s="6" t="s">
        <v>936</v>
      </c>
      <c r="V1208" s="2" t="s">
        <v>954</v>
      </c>
      <c r="W1208" t="str">
        <f t="shared" si="18"/>
        <v>2000058914_20221</v>
      </c>
      <c r="X1208" s="2" t="s">
        <v>1616</v>
      </c>
    </row>
    <row r="1209" spans="1:24" hidden="1" x14ac:dyDescent="0.35">
      <c r="A1209">
        <v>56</v>
      </c>
      <c r="B1209">
        <v>2000058265</v>
      </c>
      <c r="C1209" s="1">
        <v>45769</v>
      </c>
      <c r="D1209" t="s">
        <v>3061</v>
      </c>
      <c r="E1209" t="s">
        <v>18</v>
      </c>
      <c r="F1209" t="s">
        <v>52</v>
      </c>
      <c r="G1209" t="s">
        <v>2685</v>
      </c>
      <c r="H1209" t="s">
        <v>3062</v>
      </c>
      <c r="I1209" t="s">
        <v>22</v>
      </c>
      <c r="J1209">
        <v>0.92300000000000004</v>
      </c>
      <c r="K1209">
        <v>3</v>
      </c>
      <c r="L1209">
        <v>1</v>
      </c>
      <c r="M1209">
        <v>0.8</v>
      </c>
      <c r="N1209" t="s">
        <v>2314</v>
      </c>
      <c r="O1209" s="1">
        <v>46865</v>
      </c>
      <c r="R1209" t="s">
        <v>1613</v>
      </c>
      <c r="S1209" t="s">
        <v>915</v>
      </c>
      <c r="T1209" s="6" t="s">
        <v>946</v>
      </c>
      <c r="U1209" s="6" t="s">
        <v>933</v>
      </c>
      <c r="V1209" s="2" t="s">
        <v>1650</v>
      </c>
      <c r="W1209" t="str">
        <f t="shared" si="18"/>
        <v>2000058265_20254</v>
      </c>
      <c r="X1209" t="s">
        <v>1616</v>
      </c>
    </row>
    <row r="1210" spans="1:24" hidden="1" x14ac:dyDescent="0.35">
      <c r="A1210">
        <v>51</v>
      </c>
      <c r="B1210">
        <v>2000058926</v>
      </c>
      <c r="C1210" s="1">
        <v>44425</v>
      </c>
      <c r="D1210" t="s">
        <v>3886</v>
      </c>
      <c r="E1210" t="s">
        <v>18</v>
      </c>
      <c r="F1210" t="s">
        <v>32</v>
      </c>
      <c r="G1210" t="s">
        <v>20</v>
      </c>
      <c r="H1210" t="s">
        <v>251</v>
      </c>
      <c r="I1210" t="s">
        <v>41</v>
      </c>
      <c r="J1210">
        <v>0.86</v>
      </c>
      <c r="K1210">
        <v>2.2999999999999998</v>
      </c>
      <c r="L1210">
        <v>2</v>
      </c>
      <c r="M1210">
        <v>0.8</v>
      </c>
      <c r="N1210" t="s">
        <v>28</v>
      </c>
      <c r="O1210" s="1">
        <v>45155</v>
      </c>
      <c r="S1210" t="s">
        <v>915</v>
      </c>
      <c r="T1210" s="6" t="s">
        <v>940</v>
      </c>
      <c r="U1210" s="6" t="s">
        <v>929</v>
      </c>
      <c r="V1210" s="2" t="s">
        <v>952</v>
      </c>
      <c r="W1210" t="str">
        <f t="shared" si="18"/>
        <v>2000058926_20218</v>
      </c>
      <c r="X1210" s="2" t="s">
        <v>1615</v>
      </c>
    </row>
    <row r="1211" spans="1:24" hidden="1" x14ac:dyDescent="0.35">
      <c r="A1211">
        <v>65</v>
      </c>
      <c r="B1211">
        <v>2000058926</v>
      </c>
      <c r="C1211" s="1">
        <v>45187</v>
      </c>
      <c r="D1211" t="s">
        <v>3886</v>
      </c>
      <c r="E1211" t="s">
        <v>18</v>
      </c>
      <c r="F1211" t="s">
        <v>32</v>
      </c>
      <c r="G1211" t="s">
        <v>20</v>
      </c>
      <c r="H1211" t="s">
        <v>615</v>
      </c>
      <c r="I1211" t="s">
        <v>41</v>
      </c>
      <c r="J1211">
        <v>1</v>
      </c>
      <c r="K1211">
        <v>2.7</v>
      </c>
      <c r="L1211">
        <v>1</v>
      </c>
      <c r="M1211">
        <v>0.83</v>
      </c>
      <c r="N1211" t="s">
        <v>28</v>
      </c>
      <c r="O1211" s="1">
        <v>45918</v>
      </c>
      <c r="S1211" t="s">
        <v>915</v>
      </c>
      <c r="T1211" s="6" t="s">
        <v>942</v>
      </c>
      <c r="U1211" s="6" t="s">
        <v>930</v>
      </c>
      <c r="V1211" s="2" t="s">
        <v>955</v>
      </c>
      <c r="W1211" t="str">
        <f t="shared" si="18"/>
        <v>2000058926_20239</v>
      </c>
      <c r="X1211" s="2" t="s">
        <v>1615</v>
      </c>
    </row>
    <row r="1212" spans="1:24" hidden="1" x14ac:dyDescent="0.35">
      <c r="A1212">
        <v>158</v>
      </c>
      <c r="B1212">
        <v>2000058931</v>
      </c>
      <c r="C1212" s="1">
        <v>45643</v>
      </c>
      <c r="D1212" t="s">
        <v>3278</v>
      </c>
      <c r="E1212" t="s">
        <v>18</v>
      </c>
      <c r="F1212" t="s">
        <v>43</v>
      </c>
      <c r="G1212" t="s">
        <v>1606</v>
      </c>
      <c r="H1212" t="s">
        <v>3279</v>
      </c>
      <c r="I1212" t="s">
        <v>41</v>
      </c>
      <c r="J1212">
        <v>0.98499999999999999</v>
      </c>
      <c r="K1212">
        <v>3</v>
      </c>
      <c r="L1212">
        <v>2</v>
      </c>
      <c r="M1212">
        <v>0.93</v>
      </c>
      <c r="N1212" t="s">
        <v>368</v>
      </c>
      <c r="O1212" s="1">
        <v>46738</v>
      </c>
      <c r="S1212" t="s">
        <v>915</v>
      </c>
      <c r="T1212" s="5" t="s">
        <v>949</v>
      </c>
      <c r="U1212" s="5" t="s">
        <v>929</v>
      </c>
      <c r="V1212" t="s">
        <v>956</v>
      </c>
      <c r="W1212" t="str">
        <f t="shared" si="18"/>
        <v>2000058931_202412</v>
      </c>
      <c r="X1212" t="s">
        <v>1616</v>
      </c>
    </row>
    <row r="1213" spans="1:24" hidden="1" x14ac:dyDescent="0.35">
      <c r="A1213">
        <v>16</v>
      </c>
      <c r="B1213">
        <v>2000058946</v>
      </c>
      <c r="C1213" s="1">
        <v>45376</v>
      </c>
      <c r="D1213" t="s">
        <v>1678</v>
      </c>
      <c r="E1213" t="s">
        <v>18</v>
      </c>
      <c r="F1213" t="s">
        <v>1602</v>
      </c>
      <c r="G1213" t="s">
        <v>1603</v>
      </c>
      <c r="H1213" t="s">
        <v>1679</v>
      </c>
      <c r="I1213" t="s">
        <v>22</v>
      </c>
      <c r="J1213">
        <v>0.85</v>
      </c>
      <c r="K1213">
        <v>2.8</v>
      </c>
      <c r="L1213">
        <v>3</v>
      </c>
      <c r="M1213">
        <v>0.79</v>
      </c>
      <c r="N1213" t="s">
        <v>28</v>
      </c>
      <c r="O1213" s="1">
        <v>46106</v>
      </c>
      <c r="S1213" t="s">
        <v>915</v>
      </c>
      <c r="T1213" s="5" t="s">
        <v>941</v>
      </c>
      <c r="U1213" s="5" t="s">
        <v>922</v>
      </c>
      <c r="V1213" t="s">
        <v>956</v>
      </c>
      <c r="W1213" t="str">
        <f t="shared" si="18"/>
        <v>2000058946_20243</v>
      </c>
      <c r="X1213" s="2" t="s">
        <v>1616</v>
      </c>
    </row>
    <row r="1214" spans="1:24" hidden="1" x14ac:dyDescent="0.35">
      <c r="A1214">
        <v>4</v>
      </c>
      <c r="B1214">
        <v>2000058955</v>
      </c>
      <c r="C1214" s="1">
        <v>45306</v>
      </c>
      <c r="D1214" t="s">
        <v>1608</v>
      </c>
      <c r="E1214" t="s">
        <v>18</v>
      </c>
      <c r="F1214" t="s">
        <v>39</v>
      </c>
      <c r="G1214" t="s">
        <v>1609</v>
      </c>
      <c r="H1214" t="s">
        <v>1610</v>
      </c>
      <c r="I1214" t="s">
        <v>22</v>
      </c>
      <c r="J1214">
        <v>0.95499999999999996</v>
      </c>
      <c r="K1214">
        <v>3</v>
      </c>
      <c r="L1214">
        <v>1</v>
      </c>
      <c r="M1214">
        <v>0.89</v>
      </c>
      <c r="N1214" t="s">
        <v>368</v>
      </c>
      <c r="O1214" s="1">
        <v>46398</v>
      </c>
      <c r="R1214" t="s">
        <v>1613</v>
      </c>
      <c r="S1214" t="s">
        <v>915</v>
      </c>
      <c r="T1214" s="5" t="s">
        <v>953</v>
      </c>
      <c r="U1214" s="5" t="s">
        <v>943</v>
      </c>
      <c r="V1214" t="s">
        <v>956</v>
      </c>
      <c r="W1214" t="str">
        <f t="shared" si="18"/>
        <v>2000058955_20241</v>
      </c>
      <c r="X1214" s="2" t="s">
        <v>1616</v>
      </c>
    </row>
    <row r="1215" spans="1:24" hidden="1" x14ac:dyDescent="0.35">
      <c r="B1215">
        <v>2000058955</v>
      </c>
      <c r="C1215" s="1">
        <v>44574</v>
      </c>
      <c r="D1215" t="s">
        <v>1608</v>
      </c>
      <c r="F1215" t="s">
        <v>32</v>
      </c>
      <c r="G1215" t="s">
        <v>1609</v>
      </c>
      <c r="H1215" t="s">
        <v>3167</v>
      </c>
      <c r="I1215" t="s">
        <v>41</v>
      </c>
      <c r="J1215">
        <v>0.86799999999999999</v>
      </c>
      <c r="K1215">
        <v>3</v>
      </c>
      <c r="L1215">
        <v>3</v>
      </c>
      <c r="M1215">
        <v>0.77</v>
      </c>
      <c r="N1215" t="s">
        <v>2310</v>
      </c>
      <c r="O1215" s="1">
        <v>45304</v>
      </c>
      <c r="S1215" t="s">
        <v>915</v>
      </c>
      <c r="T1215" s="6" t="s">
        <v>953</v>
      </c>
      <c r="U1215" s="6" t="s">
        <v>950</v>
      </c>
      <c r="V1215" s="2" t="s">
        <v>954</v>
      </c>
      <c r="W1215" t="str">
        <f t="shared" si="18"/>
        <v>2000058955_20221</v>
      </c>
      <c r="X1215" s="2" t="s">
        <v>1616</v>
      </c>
    </row>
    <row r="1216" spans="1:24" hidden="1" x14ac:dyDescent="0.35">
      <c r="A1216">
        <v>26</v>
      </c>
      <c r="B1216">
        <v>2000058960</v>
      </c>
      <c r="C1216" s="1">
        <v>44657</v>
      </c>
      <c r="D1216" t="s">
        <v>399</v>
      </c>
      <c r="E1216" t="s">
        <v>18</v>
      </c>
      <c r="F1216" t="s">
        <v>39</v>
      </c>
      <c r="G1216" t="s">
        <v>168</v>
      </c>
      <c r="H1216" t="s">
        <v>400</v>
      </c>
      <c r="I1216" t="s">
        <v>41</v>
      </c>
      <c r="J1216">
        <v>0.88900000000000001</v>
      </c>
      <c r="K1216">
        <v>2.2999999999999998</v>
      </c>
      <c r="L1216">
        <v>2</v>
      </c>
      <c r="M1216">
        <v>0.95</v>
      </c>
      <c r="N1216" t="s">
        <v>28</v>
      </c>
      <c r="O1216" s="1">
        <v>45388</v>
      </c>
      <c r="S1216" t="s">
        <v>915</v>
      </c>
      <c r="T1216" s="6" t="s">
        <v>946</v>
      </c>
      <c r="U1216" s="6" t="s">
        <v>927</v>
      </c>
      <c r="V1216" s="2" t="s">
        <v>954</v>
      </c>
      <c r="W1216" t="str">
        <f t="shared" si="18"/>
        <v>2000058960_20224</v>
      </c>
      <c r="X1216" s="2" t="s">
        <v>1615</v>
      </c>
    </row>
    <row r="1217" spans="1:24" hidden="1" x14ac:dyDescent="0.35">
      <c r="A1217">
        <v>13</v>
      </c>
      <c r="B1217">
        <v>2000058960</v>
      </c>
      <c r="C1217" s="1">
        <v>45380</v>
      </c>
      <c r="D1217" t="s">
        <v>681</v>
      </c>
      <c r="E1217" t="s">
        <v>18</v>
      </c>
      <c r="F1217" t="s">
        <v>39</v>
      </c>
      <c r="G1217" t="s">
        <v>168</v>
      </c>
      <c r="H1217" t="s">
        <v>682</v>
      </c>
      <c r="I1217" t="s">
        <v>148</v>
      </c>
      <c r="J1217">
        <v>0.88200000000000001</v>
      </c>
      <c r="K1217">
        <v>2.7</v>
      </c>
      <c r="L1217">
        <v>3</v>
      </c>
      <c r="M1217">
        <v>0.93</v>
      </c>
      <c r="N1217" t="s">
        <v>28</v>
      </c>
      <c r="O1217" s="1">
        <v>46110</v>
      </c>
      <c r="S1217" t="s">
        <v>915</v>
      </c>
      <c r="T1217" s="6" t="s">
        <v>941</v>
      </c>
      <c r="U1217" s="6" t="s">
        <v>937</v>
      </c>
      <c r="V1217" s="2" t="s">
        <v>956</v>
      </c>
      <c r="W1217" t="str">
        <f t="shared" si="18"/>
        <v>2000058960_20243</v>
      </c>
      <c r="X1217" s="2" t="s">
        <v>1615</v>
      </c>
    </row>
    <row r="1218" spans="1:24" hidden="1" x14ac:dyDescent="0.35">
      <c r="A1218">
        <v>97</v>
      </c>
      <c r="B1218">
        <v>2000058983</v>
      </c>
      <c r="C1218" s="1">
        <v>45517</v>
      </c>
      <c r="D1218" t="s">
        <v>1879</v>
      </c>
      <c r="E1218" t="s">
        <v>18</v>
      </c>
      <c r="F1218" t="s">
        <v>43</v>
      </c>
      <c r="G1218" t="s">
        <v>1606</v>
      </c>
      <c r="H1218" t="s">
        <v>1880</v>
      </c>
      <c r="I1218" t="s">
        <v>22</v>
      </c>
      <c r="J1218">
        <v>1</v>
      </c>
      <c r="M1218">
        <v>0.96</v>
      </c>
      <c r="N1218" t="s">
        <v>23</v>
      </c>
      <c r="O1218" s="1">
        <v>45882</v>
      </c>
      <c r="P1218" t="s">
        <v>1881</v>
      </c>
      <c r="R1218" t="s">
        <v>1882</v>
      </c>
      <c r="S1218" t="s">
        <v>915</v>
      </c>
      <c r="T1218" s="5" t="s">
        <v>940</v>
      </c>
      <c r="U1218" s="5" t="s">
        <v>950</v>
      </c>
      <c r="V1218" t="s">
        <v>956</v>
      </c>
      <c r="W1218" t="str">
        <f t="shared" ref="W1218:W1281" si="19">CONCATENATE(B1218,"_",V1218,T1218)</f>
        <v>2000058983_20248</v>
      </c>
      <c r="X1218" s="2" t="s">
        <v>1616</v>
      </c>
    </row>
    <row r="1219" spans="1:24" hidden="1" x14ac:dyDescent="0.35">
      <c r="B1219">
        <v>2000058983</v>
      </c>
      <c r="C1219" s="1">
        <v>44664</v>
      </c>
      <c r="D1219" t="s">
        <v>1879</v>
      </c>
      <c r="F1219" t="s">
        <v>43</v>
      </c>
      <c r="G1219" t="s">
        <v>1606</v>
      </c>
      <c r="H1219" t="s">
        <v>3168</v>
      </c>
      <c r="I1219" t="s">
        <v>22</v>
      </c>
      <c r="J1219">
        <v>0.99199999999999999</v>
      </c>
      <c r="K1219">
        <v>3</v>
      </c>
      <c r="L1219">
        <v>1</v>
      </c>
      <c r="M1219">
        <v>0.95</v>
      </c>
      <c r="N1219" t="s">
        <v>2314</v>
      </c>
      <c r="O1219" s="1">
        <v>45760</v>
      </c>
      <c r="S1219" t="s">
        <v>915</v>
      </c>
      <c r="T1219" s="6" t="s">
        <v>946</v>
      </c>
      <c r="U1219" s="6" t="s">
        <v>950</v>
      </c>
      <c r="V1219" s="2" t="s">
        <v>954</v>
      </c>
      <c r="W1219" t="str">
        <f t="shared" si="19"/>
        <v>2000058983_20224</v>
      </c>
      <c r="X1219" s="2" t="s">
        <v>1616</v>
      </c>
    </row>
    <row r="1220" spans="1:24" hidden="1" x14ac:dyDescent="0.35">
      <c r="A1220">
        <v>57</v>
      </c>
      <c r="B1220">
        <v>2000059006</v>
      </c>
      <c r="C1220" s="1">
        <v>44433</v>
      </c>
      <c r="D1220" t="s">
        <v>258</v>
      </c>
      <c r="E1220" t="s">
        <v>18</v>
      </c>
      <c r="F1220" t="s">
        <v>52</v>
      </c>
      <c r="G1220" t="s">
        <v>20</v>
      </c>
      <c r="H1220" t="s">
        <v>259</v>
      </c>
      <c r="I1220" t="s">
        <v>41</v>
      </c>
      <c r="J1220">
        <v>0.83299999999999996</v>
      </c>
      <c r="K1220">
        <v>2.2999999999999998</v>
      </c>
      <c r="L1220">
        <v>4</v>
      </c>
      <c r="M1220">
        <v>0.95</v>
      </c>
      <c r="N1220" t="s">
        <v>28</v>
      </c>
      <c r="O1220" s="1">
        <v>45163</v>
      </c>
      <c r="S1220" t="s">
        <v>915</v>
      </c>
      <c r="T1220" s="6" t="s">
        <v>940</v>
      </c>
      <c r="U1220" s="6" t="s">
        <v>922</v>
      </c>
      <c r="V1220" s="2" t="s">
        <v>952</v>
      </c>
      <c r="W1220" t="str">
        <f t="shared" si="19"/>
        <v>2000059006_20218</v>
      </c>
      <c r="X1220" s="2" t="s">
        <v>1615</v>
      </c>
    </row>
    <row r="1221" spans="1:24" hidden="1" x14ac:dyDescent="0.35">
      <c r="A1221">
        <v>67</v>
      </c>
      <c r="B1221">
        <v>2000059006</v>
      </c>
      <c r="C1221" s="1">
        <v>45189</v>
      </c>
      <c r="D1221" t="s">
        <v>258</v>
      </c>
      <c r="E1221" t="s">
        <v>18</v>
      </c>
      <c r="F1221" t="s">
        <v>52</v>
      </c>
      <c r="G1221" t="s">
        <v>20</v>
      </c>
      <c r="H1221" t="s">
        <v>259</v>
      </c>
      <c r="I1221" t="s">
        <v>41</v>
      </c>
      <c r="J1221">
        <v>0.78900000000000003</v>
      </c>
      <c r="K1221">
        <v>2.2999999999999998</v>
      </c>
      <c r="L1221">
        <v>4</v>
      </c>
      <c r="M1221">
        <v>0.92</v>
      </c>
      <c r="N1221" t="s">
        <v>23</v>
      </c>
      <c r="O1221" s="1">
        <v>45555</v>
      </c>
      <c r="S1221" t="s">
        <v>915</v>
      </c>
      <c r="T1221" s="6" t="s">
        <v>942</v>
      </c>
      <c r="U1221" s="6" t="s">
        <v>932</v>
      </c>
      <c r="V1221" s="2" t="s">
        <v>955</v>
      </c>
      <c r="W1221" t="str">
        <f t="shared" si="19"/>
        <v>2000059006_20239</v>
      </c>
      <c r="X1221" s="2" t="s">
        <v>1615</v>
      </c>
    </row>
    <row r="1222" spans="1:24" hidden="1" x14ac:dyDescent="0.35">
      <c r="A1222">
        <v>69</v>
      </c>
      <c r="B1222">
        <v>2000059006</v>
      </c>
      <c r="C1222" s="1">
        <v>45554</v>
      </c>
      <c r="D1222" t="s">
        <v>258</v>
      </c>
      <c r="E1222" t="s">
        <v>18</v>
      </c>
      <c r="F1222" t="s">
        <v>52</v>
      </c>
      <c r="G1222" t="s">
        <v>20</v>
      </c>
      <c r="H1222" t="s">
        <v>103</v>
      </c>
      <c r="I1222" t="s">
        <v>148</v>
      </c>
      <c r="J1222">
        <v>0.97199999999999998</v>
      </c>
      <c r="K1222">
        <v>2.7</v>
      </c>
      <c r="L1222">
        <v>0</v>
      </c>
      <c r="M1222">
        <v>0.81</v>
      </c>
      <c r="N1222" t="s">
        <v>28</v>
      </c>
      <c r="O1222" s="1">
        <v>46284</v>
      </c>
      <c r="S1222" t="s">
        <v>915</v>
      </c>
      <c r="T1222" s="6" t="s">
        <v>942</v>
      </c>
      <c r="U1222" s="6" t="s">
        <v>931</v>
      </c>
      <c r="V1222" s="2" t="s">
        <v>956</v>
      </c>
      <c r="W1222" t="str">
        <f t="shared" si="19"/>
        <v>2000059006_20249</v>
      </c>
      <c r="X1222" s="2" t="s">
        <v>1615</v>
      </c>
    </row>
    <row r="1223" spans="1:24" hidden="1" x14ac:dyDescent="0.35">
      <c r="A1223">
        <v>110</v>
      </c>
      <c r="B1223">
        <v>2000059096</v>
      </c>
      <c r="C1223" s="1">
        <v>45544</v>
      </c>
      <c r="D1223" t="s">
        <v>1908</v>
      </c>
      <c r="E1223" t="s">
        <v>18</v>
      </c>
      <c r="F1223" t="s">
        <v>19</v>
      </c>
      <c r="G1223" t="s">
        <v>1717</v>
      </c>
      <c r="H1223" t="s">
        <v>1909</v>
      </c>
      <c r="I1223" t="s">
        <v>22</v>
      </c>
      <c r="J1223">
        <v>0.9</v>
      </c>
      <c r="K1223">
        <v>2.8</v>
      </c>
      <c r="L1223">
        <v>5</v>
      </c>
      <c r="M1223">
        <v>0.76</v>
      </c>
      <c r="N1223" t="s">
        <v>28</v>
      </c>
      <c r="O1223" s="1">
        <v>46274</v>
      </c>
      <c r="Q1223" t="s">
        <v>50</v>
      </c>
      <c r="S1223" t="s">
        <v>915</v>
      </c>
      <c r="T1223" s="5" t="s">
        <v>942</v>
      </c>
      <c r="U1223" s="5" t="s">
        <v>942</v>
      </c>
      <c r="V1223" t="s">
        <v>956</v>
      </c>
      <c r="W1223" t="str">
        <f t="shared" si="19"/>
        <v>2000059096_20249</v>
      </c>
      <c r="X1223" s="2" t="s">
        <v>1616</v>
      </c>
    </row>
    <row r="1224" spans="1:24" hidden="1" x14ac:dyDescent="0.35">
      <c r="B1224">
        <v>2000059096</v>
      </c>
      <c r="C1224" s="1">
        <v>44690</v>
      </c>
      <c r="D1224" t="s">
        <v>1908</v>
      </c>
      <c r="F1224" t="s">
        <v>19</v>
      </c>
      <c r="G1224" t="s">
        <v>1753</v>
      </c>
      <c r="H1224" t="s">
        <v>3171</v>
      </c>
      <c r="I1224" t="s">
        <v>22</v>
      </c>
      <c r="J1224">
        <v>0.81399999999999995</v>
      </c>
      <c r="K1224">
        <v>2.6</v>
      </c>
      <c r="L1224">
        <v>7</v>
      </c>
      <c r="M1224">
        <v>0.75</v>
      </c>
      <c r="N1224" t="s">
        <v>2310</v>
      </c>
      <c r="O1224" s="1">
        <v>45421</v>
      </c>
      <c r="S1224" t="s">
        <v>915</v>
      </c>
      <c r="T1224" s="6" t="s">
        <v>947</v>
      </c>
      <c r="U1224" s="6" t="s">
        <v>942</v>
      </c>
      <c r="V1224" s="2" t="s">
        <v>954</v>
      </c>
      <c r="W1224" t="str">
        <f t="shared" si="19"/>
        <v>2000059096_20225</v>
      </c>
      <c r="X1224" s="2" t="s">
        <v>1616</v>
      </c>
    </row>
    <row r="1225" spans="1:24" hidden="1" x14ac:dyDescent="0.35">
      <c r="A1225">
        <v>92</v>
      </c>
      <c r="B1225">
        <v>2000059104</v>
      </c>
      <c r="C1225" s="1">
        <v>44497</v>
      </c>
      <c r="D1225" t="s">
        <v>330</v>
      </c>
      <c r="E1225" t="s">
        <v>18</v>
      </c>
      <c r="F1225" t="s">
        <v>148</v>
      </c>
      <c r="G1225" t="s">
        <v>20</v>
      </c>
      <c r="H1225" t="s">
        <v>331</v>
      </c>
      <c r="I1225" t="s">
        <v>148</v>
      </c>
      <c r="J1225">
        <v>0.75</v>
      </c>
      <c r="K1225">
        <v>2</v>
      </c>
      <c r="L1225">
        <v>5</v>
      </c>
      <c r="M1225">
        <v>0.59</v>
      </c>
      <c r="N1225" t="s">
        <v>23</v>
      </c>
      <c r="O1225" s="1">
        <v>44862</v>
      </c>
      <c r="S1225" t="s">
        <v>915</v>
      </c>
      <c r="T1225" s="6" t="s">
        <v>948</v>
      </c>
      <c r="U1225" s="6" t="s">
        <v>926</v>
      </c>
      <c r="V1225" s="2" t="s">
        <v>952</v>
      </c>
      <c r="W1225" t="str">
        <f t="shared" si="19"/>
        <v>2000059104_202110</v>
      </c>
      <c r="X1225" s="2" t="s">
        <v>1615</v>
      </c>
    </row>
    <row r="1226" spans="1:24" hidden="1" x14ac:dyDescent="0.35">
      <c r="A1226">
        <v>100</v>
      </c>
      <c r="B1226">
        <v>2000059104</v>
      </c>
      <c r="C1226" s="1">
        <v>44846</v>
      </c>
      <c r="D1226" t="s">
        <v>330</v>
      </c>
      <c r="E1226" t="s">
        <v>18</v>
      </c>
      <c r="F1226" t="s">
        <v>39</v>
      </c>
      <c r="G1226" t="s">
        <v>20</v>
      </c>
      <c r="H1226" t="s">
        <v>518</v>
      </c>
      <c r="I1226" t="s">
        <v>41</v>
      </c>
      <c r="J1226">
        <v>0.95</v>
      </c>
      <c r="K1226">
        <v>2.6</v>
      </c>
      <c r="L1226">
        <v>1</v>
      </c>
      <c r="M1226">
        <v>0.81</v>
      </c>
      <c r="N1226" t="s">
        <v>28</v>
      </c>
      <c r="O1226" s="1">
        <v>45577</v>
      </c>
      <c r="S1226" t="s">
        <v>915</v>
      </c>
      <c r="T1226" s="6" t="s">
        <v>948</v>
      </c>
      <c r="U1226" s="6" t="s">
        <v>949</v>
      </c>
      <c r="V1226" s="2" t="s">
        <v>954</v>
      </c>
      <c r="W1226" t="str">
        <f t="shared" si="19"/>
        <v>2000059104_202210</v>
      </c>
      <c r="X1226" s="2" t="s">
        <v>1615</v>
      </c>
    </row>
    <row r="1227" spans="1:24" hidden="1" x14ac:dyDescent="0.35">
      <c r="A1227">
        <v>76</v>
      </c>
      <c r="B1227">
        <v>2000059104</v>
      </c>
      <c r="C1227" s="1">
        <v>45582</v>
      </c>
      <c r="D1227" t="s">
        <v>330</v>
      </c>
      <c r="E1227" t="s">
        <v>18</v>
      </c>
      <c r="F1227" t="s">
        <v>39</v>
      </c>
      <c r="G1227" t="s">
        <v>20</v>
      </c>
      <c r="H1227" t="s">
        <v>2300</v>
      </c>
      <c r="I1227" t="s">
        <v>41</v>
      </c>
      <c r="J1227">
        <v>0.97599999999999998</v>
      </c>
      <c r="K1227">
        <v>2.7</v>
      </c>
      <c r="L1227">
        <v>0</v>
      </c>
      <c r="M1227">
        <v>0.79</v>
      </c>
      <c r="N1227" t="s">
        <v>28</v>
      </c>
      <c r="O1227" s="1">
        <v>46312</v>
      </c>
      <c r="S1227" t="s">
        <v>915</v>
      </c>
      <c r="T1227" s="6" t="s">
        <v>948</v>
      </c>
      <c r="U1227" s="6" t="s">
        <v>929</v>
      </c>
      <c r="V1227" s="2" t="s">
        <v>956</v>
      </c>
      <c r="W1227" t="str">
        <f t="shared" si="19"/>
        <v>2000059104_202410</v>
      </c>
      <c r="X1227" s="2" t="s">
        <v>1615</v>
      </c>
    </row>
    <row r="1228" spans="1:24" hidden="1" x14ac:dyDescent="0.35">
      <c r="A1228">
        <v>20</v>
      </c>
      <c r="B1228">
        <v>2000059107</v>
      </c>
      <c r="C1228" s="1">
        <v>45398</v>
      </c>
      <c r="D1228" t="s">
        <v>4209</v>
      </c>
      <c r="E1228" t="s">
        <v>18</v>
      </c>
      <c r="F1228" t="s">
        <v>19</v>
      </c>
      <c r="G1228" t="s">
        <v>20</v>
      </c>
      <c r="H1228" t="s">
        <v>694</v>
      </c>
      <c r="I1228" t="s">
        <v>148</v>
      </c>
      <c r="J1228">
        <v>0.83</v>
      </c>
      <c r="K1228">
        <v>2.7</v>
      </c>
      <c r="L1228">
        <v>1</v>
      </c>
      <c r="M1228">
        <v>0.79</v>
      </c>
      <c r="N1228" t="s">
        <v>28</v>
      </c>
      <c r="O1228" s="1">
        <v>46128</v>
      </c>
      <c r="S1228" t="s">
        <v>915</v>
      </c>
      <c r="T1228" s="6" t="s">
        <v>946</v>
      </c>
      <c r="U1228" s="6" t="s">
        <v>928</v>
      </c>
      <c r="V1228" s="2" t="s">
        <v>956</v>
      </c>
      <c r="W1228" t="str">
        <f t="shared" si="19"/>
        <v>2000059107_20244</v>
      </c>
      <c r="X1228" s="2" t="s">
        <v>1615</v>
      </c>
    </row>
    <row r="1229" spans="1:24" hidden="1" x14ac:dyDescent="0.35">
      <c r="A1229">
        <v>27</v>
      </c>
      <c r="B1229">
        <v>2000059107</v>
      </c>
      <c r="C1229" s="1">
        <v>44658</v>
      </c>
      <c r="D1229" t="s">
        <v>4209</v>
      </c>
      <c r="E1229" t="s">
        <v>18</v>
      </c>
      <c r="F1229" t="s">
        <v>19</v>
      </c>
      <c r="G1229" t="s">
        <v>20</v>
      </c>
      <c r="H1229" t="s">
        <v>401</v>
      </c>
      <c r="I1229" t="s">
        <v>41</v>
      </c>
      <c r="J1229">
        <v>0.85399999999999998</v>
      </c>
      <c r="K1229">
        <v>2.2999999999999998</v>
      </c>
      <c r="L1229">
        <v>3</v>
      </c>
      <c r="M1229">
        <v>0.56999999999999995</v>
      </c>
      <c r="N1229" t="s">
        <v>28</v>
      </c>
      <c r="O1229" s="1">
        <v>45389</v>
      </c>
      <c r="S1229" t="s">
        <v>915</v>
      </c>
      <c r="T1229" s="6" t="s">
        <v>946</v>
      </c>
      <c r="U1229" s="6" t="s">
        <v>936</v>
      </c>
      <c r="V1229" s="2" t="s">
        <v>954</v>
      </c>
      <c r="W1229" t="str">
        <f t="shared" si="19"/>
        <v>2000059107_20224</v>
      </c>
      <c r="X1229" s="2" t="s">
        <v>1615</v>
      </c>
    </row>
    <row r="1230" spans="1:24" hidden="1" x14ac:dyDescent="0.35">
      <c r="A1230">
        <v>48</v>
      </c>
      <c r="B1230">
        <v>2000059108</v>
      </c>
      <c r="C1230" s="1">
        <v>44699</v>
      </c>
      <c r="D1230" t="s">
        <v>438</v>
      </c>
      <c r="E1230" t="s">
        <v>18</v>
      </c>
      <c r="F1230" t="s">
        <v>19</v>
      </c>
      <c r="G1230" t="s">
        <v>82</v>
      </c>
      <c r="H1230" t="s">
        <v>439</v>
      </c>
      <c r="I1230" t="s">
        <v>22</v>
      </c>
      <c r="J1230">
        <v>0.88500000000000001</v>
      </c>
      <c r="K1230">
        <v>2.4</v>
      </c>
      <c r="L1230">
        <v>5</v>
      </c>
      <c r="M1230">
        <v>0.93</v>
      </c>
      <c r="N1230" t="s">
        <v>28</v>
      </c>
      <c r="O1230" s="1">
        <v>45430</v>
      </c>
      <c r="P1230" t="s">
        <v>440</v>
      </c>
      <c r="Q1230" t="s">
        <v>50</v>
      </c>
      <c r="S1230" t="s">
        <v>915</v>
      </c>
      <c r="T1230" s="6" t="s">
        <v>947</v>
      </c>
      <c r="U1230" s="6" t="s">
        <v>930</v>
      </c>
      <c r="V1230" s="2" t="s">
        <v>954</v>
      </c>
      <c r="W1230" t="str">
        <f t="shared" si="19"/>
        <v>2000059108_20225</v>
      </c>
      <c r="X1230" s="2" t="s">
        <v>1615</v>
      </c>
    </row>
    <row r="1231" spans="1:24" hidden="1" x14ac:dyDescent="0.35">
      <c r="A1231">
        <v>29</v>
      </c>
      <c r="B1231">
        <v>2000059112</v>
      </c>
      <c r="C1231" s="1">
        <v>45426</v>
      </c>
      <c r="D1231" t="s">
        <v>425</v>
      </c>
      <c r="E1231" t="s">
        <v>18</v>
      </c>
      <c r="F1231" t="s">
        <v>39</v>
      </c>
      <c r="G1231" t="s">
        <v>20</v>
      </c>
      <c r="H1231" t="s">
        <v>426</v>
      </c>
      <c r="I1231" t="s">
        <v>41</v>
      </c>
      <c r="J1231">
        <v>0.80600000000000005</v>
      </c>
      <c r="K1231">
        <v>2.7</v>
      </c>
      <c r="L1231">
        <v>3</v>
      </c>
      <c r="M1231">
        <v>0.74</v>
      </c>
      <c r="N1231" t="s">
        <v>28</v>
      </c>
      <c r="O1231" s="1">
        <v>46156</v>
      </c>
      <c r="S1231" t="s">
        <v>915</v>
      </c>
      <c r="T1231" s="6" t="s">
        <v>947</v>
      </c>
      <c r="U1231" s="6" t="s">
        <v>951</v>
      </c>
      <c r="V1231" s="2" t="s">
        <v>956</v>
      </c>
      <c r="W1231" t="str">
        <f t="shared" si="19"/>
        <v>2000059112_20245</v>
      </c>
      <c r="X1231" s="2" t="s">
        <v>1615</v>
      </c>
    </row>
    <row r="1232" spans="1:24" hidden="1" x14ac:dyDescent="0.35">
      <c r="A1232">
        <v>41</v>
      </c>
      <c r="B1232">
        <v>2000059112</v>
      </c>
      <c r="C1232" s="1">
        <v>44691</v>
      </c>
      <c r="D1232" t="s">
        <v>425</v>
      </c>
      <c r="E1232" t="s">
        <v>18</v>
      </c>
      <c r="F1232" t="s">
        <v>39</v>
      </c>
      <c r="G1232" t="s">
        <v>20</v>
      </c>
      <c r="H1232" t="s">
        <v>426</v>
      </c>
      <c r="I1232" t="s">
        <v>41</v>
      </c>
      <c r="J1232">
        <v>0.81299999999999994</v>
      </c>
      <c r="K1232">
        <v>2.7</v>
      </c>
      <c r="L1232">
        <v>4</v>
      </c>
      <c r="M1232">
        <v>0.74</v>
      </c>
      <c r="N1232" t="s">
        <v>28</v>
      </c>
      <c r="O1232" s="1">
        <v>45422</v>
      </c>
      <c r="S1232" t="s">
        <v>915</v>
      </c>
      <c r="T1232" s="6" t="s">
        <v>947</v>
      </c>
      <c r="U1232" s="6" t="s">
        <v>948</v>
      </c>
      <c r="V1232" s="2" t="s">
        <v>954</v>
      </c>
      <c r="W1232" t="str">
        <f t="shared" si="19"/>
        <v>2000059112_20225</v>
      </c>
      <c r="X1232" s="2" t="s">
        <v>1615</v>
      </c>
    </row>
    <row r="1233" spans="1:24" hidden="1" x14ac:dyDescent="0.35">
      <c r="A1233">
        <v>141</v>
      </c>
      <c r="B1233">
        <v>2000059119</v>
      </c>
      <c r="C1233" s="1">
        <v>45594</v>
      </c>
      <c r="D1233" t="s">
        <v>3250</v>
      </c>
      <c r="E1233" t="s">
        <v>18</v>
      </c>
      <c r="F1233" t="s">
        <v>148</v>
      </c>
      <c r="G1233" t="s">
        <v>1606</v>
      </c>
      <c r="H1233" t="s">
        <v>3251</v>
      </c>
      <c r="I1233" t="s">
        <v>148</v>
      </c>
      <c r="J1233">
        <v>0.9</v>
      </c>
      <c r="K1233">
        <v>3</v>
      </c>
      <c r="L1233">
        <v>4</v>
      </c>
      <c r="M1233">
        <v>0.8</v>
      </c>
      <c r="N1233" t="s">
        <v>368</v>
      </c>
      <c r="O1233" s="1">
        <v>46689</v>
      </c>
      <c r="S1233" t="s">
        <v>915</v>
      </c>
      <c r="T1233" s="5" t="s">
        <v>948</v>
      </c>
      <c r="U1233" s="5" t="s">
        <v>937</v>
      </c>
      <c r="V1233" t="s">
        <v>956</v>
      </c>
      <c r="W1233" t="str">
        <f t="shared" si="19"/>
        <v>2000059119_202410</v>
      </c>
      <c r="X1233" t="s">
        <v>1616</v>
      </c>
    </row>
    <row r="1234" spans="1:24" hidden="1" x14ac:dyDescent="0.35">
      <c r="A1234">
        <v>58</v>
      </c>
      <c r="B1234">
        <v>2000059128</v>
      </c>
      <c r="C1234" s="1">
        <v>45455</v>
      </c>
      <c r="D1234" t="s">
        <v>1787</v>
      </c>
      <c r="E1234" t="s">
        <v>18</v>
      </c>
      <c r="F1234" t="s">
        <v>19</v>
      </c>
      <c r="G1234" t="s">
        <v>1609</v>
      </c>
      <c r="H1234" t="s">
        <v>1788</v>
      </c>
      <c r="I1234" t="s">
        <v>22</v>
      </c>
      <c r="J1234">
        <v>0.89700000000000002</v>
      </c>
      <c r="K1234">
        <v>3</v>
      </c>
      <c r="L1234">
        <v>2</v>
      </c>
      <c r="M1234">
        <v>0.94</v>
      </c>
      <c r="N1234" t="s">
        <v>28</v>
      </c>
      <c r="O1234" s="1">
        <v>46185</v>
      </c>
      <c r="Q1234" t="s">
        <v>50</v>
      </c>
      <c r="R1234" t="s">
        <v>1613</v>
      </c>
      <c r="S1234" t="s">
        <v>915</v>
      </c>
      <c r="T1234" s="5" t="s">
        <v>927</v>
      </c>
      <c r="U1234" s="5" t="s">
        <v>949</v>
      </c>
      <c r="V1234" t="s">
        <v>956</v>
      </c>
      <c r="W1234" t="str">
        <f t="shared" si="19"/>
        <v>2000059128_20246</v>
      </c>
      <c r="X1234" s="2" t="s">
        <v>1616</v>
      </c>
    </row>
    <row r="1235" spans="1:24" hidden="1" x14ac:dyDescent="0.35">
      <c r="B1235">
        <v>2000059128</v>
      </c>
      <c r="C1235" s="1">
        <v>44741</v>
      </c>
      <c r="D1235" t="s">
        <v>1787</v>
      </c>
      <c r="F1235" t="s">
        <v>19</v>
      </c>
      <c r="G1235" t="s">
        <v>1609</v>
      </c>
      <c r="H1235" t="s">
        <v>2309</v>
      </c>
      <c r="I1235" t="s">
        <v>22</v>
      </c>
      <c r="J1235">
        <v>0.92100000000000004</v>
      </c>
      <c r="K1235">
        <v>2.6</v>
      </c>
      <c r="L1235">
        <v>2</v>
      </c>
      <c r="M1235">
        <v>0.74</v>
      </c>
      <c r="N1235" t="s">
        <v>2310</v>
      </c>
      <c r="O1235" s="1">
        <v>45472</v>
      </c>
      <c r="S1235" t="s">
        <v>915</v>
      </c>
      <c r="T1235" s="6" t="s">
        <v>927</v>
      </c>
      <c r="U1235" s="6" t="s">
        <v>937</v>
      </c>
      <c r="V1235" s="2" t="s">
        <v>954</v>
      </c>
      <c r="W1235" t="str">
        <f t="shared" si="19"/>
        <v>2000059128_20226</v>
      </c>
      <c r="X1235" s="2" t="s">
        <v>1616</v>
      </c>
    </row>
    <row r="1236" spans="1:24" hidden="1" x14ac:dyDescent="0.35">
      <c r="A1236">
        <v>84</v>
      </c>
      <c r="B1236">
        <v>2000059132</v>
      </c>
      <c r="C1236" s="1">
        <v>44803</v>
      </c>
      <c r="D1236" t="s">
        <v>500</v>
      </c>
      <c r="E1236" t="s">
        <v>18</v>
      </c>
      <c r="F1236" t="s">
        <v>39</v>
      </c>
      <c r="G1236" t="s">
        <v>238</v>
      </c>
      <c r="H1236" t="s">
        <v>501</v>
      </c>
      <c r="I1236" t="s">
        <v>41</v>
      </c>
      <c r="J1236">
        <v>0.8</v>
      </c>
      <c r="K1236">
        <v>2.6</v>
      </c>
      <c r="L1236">
        <v>5</v>
      </c>
      <c r="M1236">
        <v>0.71</v>
      </c>
      <c r="N1236" t="s">
        <v>28</v>
      </c>
      <c r="O1236" s="1">
        <v>45534</v>
      </c>
      <c r="S1236" t="s">
        <v>915</v>
      </c>
      <c r="T1236" s="6" t="s">
        <v>940</v>
      </c>
      <c r="U1236" s="6" t="s">
        <v>938</v>
      </c>
      <c r="V1236" s="2" t="s">
        <v>954</v>
      </c>
      <c r="W1236" t="str">
        <f t="shared" si="19"/>
        <v>2000059132_20228</v>
      </c>
      <c r="X1236" s="2" t="s">
        <v>1615</v>
      </c>
    </row>
    <row r="1237" spans="1:24" hidden="1" x14ac:dyDescent="0.35">
      <c r="A1237">
        <v>63</v>
      </c>
      <c r="B1237">
        <v>2000059132</v>
      </c>
      <c r="C1237" s="1">
        <v>45524</v>
      </c>
      <c r="D1237" t="s">
        <v>500</v>
      </c>
      <c r="E1237" t="s">
        <v>18</v>
      </c>
      <c r="F1237" t="s">
        <v>39</v>
      </c>
      <c r="G1237" t="s">
        <v>238</v>
      </c>
      <c r="H1237" t="s">
        <v>501</v>
      </c>
      <c r="I1237" t="s">
        <v>41</v>
      </c>
      <c r="J1237">
        <v>0.92500000000000004</v>
      </c>
      <c r="K1237">
        <v>2.7</v>
      </c>
      <c r="L1237">
        <v>3</v>
      </c>
      <c r="M1237">
        <v>0.74</v>
      </c>
      <c r="N1237" t="s">
        <v>28</v>
      </c>
      <c r="O1237" s="1">
        <v>46254</v>
      </c>
      <c r="S1237" t="s">
        <v>915</v>
      </c>
      <c r="T1237" s="6" t="s">
        <v>940</v>
      </c>
      <c r="U1237" s="6" t="s">
        <v>932</v>
      </c>
      <c r="V1237" s="2" t="s">
        <v>956</v>
      </c>
      <c r="W1237" t="str">
        <f t="shared" si="19"/>
        <v>2000059132_20248</v>
      </c>
      <c r="X1237" s="2" t="s">
        <v>1615</v>
      </c>
    </row>
    <row r="1238" spans="1:24" hidden="1" x14ac:dyDescent="0.35">
      <c r="A1238">
        <v>53</v>
      </c>
      <c r="B1238">
        <v>2000059182</v>
      </c>
      <c r="C1238" s="1">
        <v>45447</v>
      </c>
      <c r="D1238" t="s">
        <v>1776</v>
      </c>
      <c r="E1238" t="s">
        <v>18</v>
      </c>
      <c r="F1238" t="s">
        <v>19</v>
      </c>
      <c r="G1238" t="s">
        <v>1606</v>
      </c>
      <c r="H1238" t="s">
        <v>1777</v>
      </c>
      <c r="I1238" t="s">
        <v>22</v>
      </c>
      <c r="J1238">
        <v>0.96699999999999997</v>
      </c>
      <c r="K1238">
        <v>3</v>
      </c>
      <c r="L1238">
        <v>1</v>
      </c>
      <c r="M1238">
        <v>0.88</v>
      </c>
      <c r="N1238" t="s">
        <v>368</v>
      </c>
      <c r="O1238" s="1">
        <v>46542</v>
      </c>
      <c r="P1238" t="s">
        <v>566</v>
      </c>
      <c r="Q1238" t="s">
        <v>1778</v>
      </c>
      <c r="R1238" t="s">
        <v>1613</v>
      </c>
      <c r="S1238" t="s">
        <v>915</v>
      </c>
      <c r="T1238" s="5" t="s">
        <v>927</v>
      </c>
      <c r="U1238" s="5" t="s">
        <v>946</v>
      </c>
      <c r="V1238" t="s">
        <v>956</v>
      </c>
      <c r="W1238" t="str">
        <f t="shared" si="19"/>
        <v>2000059182_20246</v>
      </c>
      <c r="X1238" s="2" t="s">
        <v>1616</v>
      </c>
    </row>
    <row r="1239" spans="1:24" hidden="1" x14ac:dyDescent="0.35">
      <c r="A1239">
        <v>59</v>
      </c>
      <c r="B1239">
        <v>2000056147</v>
      </c>
      <c r="C1239" s="1">
        <v>45770</v>
      </c>
      <c r="D1239" t="s">
        <v>3690</v>
      </c>
      <c r="E1239" t="s">
        <v>18</v>
      </c>
      <c r="F1239" t="s">
        <v>43</v>
      </c>
      <c r="G1239" t="s">
        <v>2685</v>
      </c>
      <c r="H1239" t="s">
        <v>2600</v>
      </c>
      <c r="I1239" t="s">
        <v>41</v>
      </c>
      <c r="J1239">
        <v>0.96399999999999997</v>
      </c>
      <c r="K1239">
        <v>3</v>
      </c>
      <c r="L1239">
        <v>1</v>
      </c>
      <c r="M1239">
        <v>0.67</v>
      </c>
      <c r="N1239" t="s">
        <v>2314</v>
      </c>
      <c r="O1239" s="1">
        <v>46866</v>
      </c>
      <c r="R1239" t="s">
        <v>1613</v>
      </c>
      <c r="S1239" t="s">
        <v>915</v>
      </c>
      <c r="T1239" s="6" t="s">
        <v>946</v>
      </c>
      <c r="U1239" s="6" t="s">
        <v>934</v>
      </c>
      <c r="V1239" s="2" t="s">
        <v>1650</v>
      </c>
      <c r="W1239" t="str">
        <f t="shared" si="19"/>
        <v>2000056147_20254</v>
      </c>
      <c r="X1239" t="s">
        <v>1616</v>
      </c>
    </row>
    <row r="1240" spans="1:24" hidden="1" x14ac:dyDescent="0.35">
      <c r="A1240">
        <v>74</v>
      </c>
      <c r="B1240">
        <v>2000059201</v>
      </c>
      <c r="C1240" s="1">
        <v>45484</v>
      </c>
      <c r="D1240" t="s">
        <v>1824</v>
      </c>
      <c r="E1240" t="s">
        <v>18</v>
      </c>
      <c r="F1240" t="s">
        <v>43</v>
      </c>
      <c r="G1240" t="s">
        <v>1606</v>
      </c>
      <c r="H1240" t="s">
        <v>1825</v>
      </c>
      <c r="I1240" t="s">
        <v>41</v>
      </c>
      <c r="J1240">
        <v>0.96699999999999997</v>
      </c>
      <c r="K1240">
        <v>3</v>
      </c>
      <c r="L1240">
        <v>0</v>
      </c>
      <c r="M1240">
        <v>0.84</v>
      </c>
      <c r="N1240" t="s">
        <v>23</v>
      </c>
      <c r="O1240" s="1">
        <v>45849</v>
      </c>
      <c r="R1240" t="s">
        <v>1826</v>
      </c>
      <c r="S1240" t="s">
        <v>915</v>
      </c>
      <c r="T1240" s="5" t="s">
        <v>936</v>
      </c>
      <c r="U1240" s="5" t="s">
        <v>945</v>
      </c>
      <c r="V1240" t="s">
        <v>956</v>
      </c>
      <c r="W1240" t="str">
        <f t="shared" si="19"/>
        <v>2000059201_20247</v>
      </c>
      <c r="X1240" s="2" t="s">
        <v>1616</v>
      </c>
    </row>
    <row r="1241" spans="1:24" hidden="1" x14ac:dyDescent="0.35">
      <c r="B1241">
        <v>2000059216</v>
      </c>
      <c r="C1241" s="1">
        <v>44727</v>
      </c>
      <c r="D1241" t="s">
        <v>3177</v>
      </c>
      <c r="F1241" t="s">
        <v>43</v>
      </c>
      <c r="G1241" t="s">
        <v>1609</v>
      </c>
      <c r="H1241" t="s">
        <v>3178</v>
      </c>
      <c r="I1241" t="s">
        <v>41</v>
      </c>
      <c r="J1241">
        <v>0.92900000000000005</v>
      </c>
      <c r="K1241">
        <v>3</v>
      </c>
      <c r="L1241">
        <v>4</v>
      </c>
      <c r="M1241">
        <v>0.89</v>
      </c>
      <c r="N1241" t="s">
        <v>2314</v>
      </c>
      <c r="O1241" s="1">
        <v>45823</v>
      </c>
      <c r="S1241" t="s">
        <v>915</v>
      </c>
      <c r="T1241" s="6" t="s">
        <v>927</v>
      </c>
      <c r="U1241" s="6" t="s">
        <v>943</v>
      </c>
      <c r="V1241" s="2" t="s">
        <v>954</v>
      </c>
      <c r="W1241" t="str">
        <f t="shared" si="19"/>
        <v>2000059216_20226</v>
      </c>
      <c r="X1241" s="2" t="s">
        <v>1616</v>
      </c>
    </row>
    <row r="1242" spans="1:24" hidden="1" x14ac:dyDescent="0.35">
      <c r="A1242">
        <v>58</v>
      </c>
      <c r="B1242">
        <v>2000056802</v>
      </c>
      <c r="C1242" s="1">
        <v>45770</v>
      </c>
      <c r="D1242" t="s">
        <v>2737</v>
      </c>
      <c r="E1242" t="s">
        <v>18</v>
      </c>
      <c r="F1242" t="s">
        <v>19</v>
      </c>
      <c r="G1242" t="s">
        <v>2685</v>
      </c>
      <c r="H1242" t="s">
        <v>2738</v>
      </c>
      <c r="I1242" t="s">
        <v>22</v>
      </c>
      <c r="J1242">
        <v>0.90800000000000003</v>
      </c>
      <c r="K1242">
        <v>3</v>
      </c>
      <c r="L1242">
        <v>3</v>
      </c>
      <c r="M1242">
        <v>0.89</v>
      </c>
      <c r="N1242" t="s">
        <v>2314</v>
      </c>
      <c r="O1242" s="1">
        <v>46866</v>
      </c>
      <c r="R1242" t="s">
        <v>1613</v>
      </c>
      <c r="S1242" t="s">
        <v>915</v>
      </c>
      <c r="T1242" s="6" t="s">
        <v>946</v>
      </c>
      <c r="U1242" s="6" t="s">
        <v>934</v>
      </c>
      <c r="V1242" s="2" t="s">
        <v>1650</v>
      </c>
      <c r="W1242" t="str">
        <f t="shared" si="19"/>
        <v>2000056802_20254</v>
      </c>
      <c r="X1242" t="s">
        <v>1616</v>
      </c>
    </row>
    <row r="1243" spans="1:24" hidden="1" x14ac:dyDescent="0.35">
      <c r="A1243">
        <v>38</v>
      </c>
      <c r="B1243">
        <v>2000059270</v>
      </c>
      <c r="C1243" s="1">
        <v>45063</v>
      </c>
      <c r="D1243" t="s">
        <v>427</v>
      </c>
      <c r="E1243" t="s">
        <v>18</v>
      </c>
      <c r="F1243" t="s">
        <v>148</v>
      </c>
      <c r="G1243" t="s">
        <v>20</v>
      </c>
      <c r="H1243" t="s">
        <v>576</v>
      </c>
      <c r="I1243" t="s">
        <v>148</v>
      </c>
      <c r="J1243">
        <v>0.76200000000000001</v>
      </c>
      <c r="K1243">
        <v>2</v>
      </c>
      <c r="L1243">
        <v>7</v>
      </c>
      <c r="M1243">
        <v>0.53</v>
      </c>
      <c r="N1243" t="s">
        <v>23</v>
      </c>
      <c r="O1243" s="1">
        <v>45429</v>
      </c>
      <c r="S1243" t="s">
        <v>915</v>
      </c>
      <c r="T1243" s="6" t="s">
        <v>947</v>
      </c>
      <c r="U1243" s="6" t="s">
        <v>929</v>
      </c>
      <c r="V1243" s="2" t="s">
        <v>955</v>
      </c>
      <c r="W1243" t="str">
        <f t="shared" si="19"/>
        <v>2000059270_20235</v>
      </c>
      <c r="X1243" s="2" t="s">
        <v>1615</v>
      </c>
    </row>
    <row r="1244" spans="1:24" hidden="1" x14ac:dyDescent="0.35">
      <c r="A1244">
        <v>42</v>
      </c>
      <c r="B1244">
        <v>2000059270</v>
      </c>
      <c r="C1244" s="1">
        <v>44691</v>
      </c>
      <c r="D1244" t="s">
        <v>427</v>
      </c>
      <c r="E1244" t="s">
        <v>18</v>
      </c>
      <c r="F1244" t="s">
        <v>148</v>
      </c>
      <c r="G1244" t="s">
        <v>20</v>
      </c>
      <c r="H1244" t="s">
        <v>428</v>
      </c>
      <c r="I1244" t="s">
        <v>148</v>
      </c>
      <c r="J1244">
        <v>0.7</v>
      </c>
      <c r="K1244">
        <v>2.2999999999999998</v>
      </c>
      <c r="L1244">
        <v>6</v>
      </c>
      <c r="M1244">
        <v>0.53</v>
      </c>
      <c r="N1244" t="s">
        <v>23</v>
      </c>
      <c r="O1244" s="1">
        <v>45056</v>
      </c>
      <c r="S1244" t="s">
        <v>915</v>
      </c>
      <c r="T1244" s="6" t="s">
        <v>947</v>
      </c>
      <c r="U1244" s="6" t="s">
        <v>948</v>
      </c>
      <c r="V1244" s="2" t="s">
        <v>954</v>
      </c>
      <c r="W1244" t="str">
        <f t="shared" si="19"/>
        <v>2000059270_20225</v>
      </c>
      <c r="X1244" s="2" t="s">
        <v>1615</v>
      </c>
    </row>
    <row r="1245" spans="1:24" hidden="1" x14ac:dyDescent="0.35">
      <c r="A1245">
        <v>82</v>
      </c>
      <c r="B1245">
        <v>2000059276</v>
      </c>
      <c r="C1245" s="1">
        <v>45226</v>
      </c>
      <c r="D1245" t="s">
        <v>332</v>
      </c>
      <c r="E1245" t="s">
        <v>18</v>
      </c>
      <c r="F1245" t="s">
        <v>148</v>
      </c>
      <c r="G1245" t="s">
        <v>33</v>
      </c>
      <c r="H1245" t="s">
        <v>628</v>
      </c>
      <c r="I1245" t="s">
        <v>148</v>
      </c>
      <c r="J1245">
        <v>0.97399999999999998</v>
      </c>
      <c r="K1245">
        <v>2.75</v>
      </c>
      <c r="L1245">
        <v>1</v>
      </c>
      <c r="M1245">
        <v>0.66</v>
      </c>
      <c r="N1245" t="s">
        <v>28</v>
      </c>
      <c r="O1245" s="1">
        <v>45957</v>
      </c>
      <c r="S1245" t="s">
        <v>915</v>
      </c>
      <c r="T1245" s="6" t="s">
        <v>948</v>
      </c>
      <c r="U1245" s="6" t="s">
        <v>925</v>
      </c>
      <c r="V1245" s="2" t="s">
        <v>955</v>
      </c>
      <c r="W1245" t="str">
        <f t="shared" si="19"/>
        <v>2000059276_202310</v>
      </c>
      <c r="X1245" s="2" t="s">
        <v>1615</v>
      </c>
    </row>
    <row r="1246" spans="1:24" hidden="1" x14ac:dyDescent="0.35">
      <c r="A1246">
        <v>93</v>
      </c>
      <c r="B1246">
        <v>2000059276</v>
      </c>
      <c r="C1246" s="1">
        <v>44498</v>
      </c>
      <c r="D1246" t="s">
        <v>332</v>
      </c>
      <c r="E1246" t="s">
        <v>18</v>
      </c>
      <c r="F1246" t="s">
        <v>148</v>
      </c>
      <c r="G1246" t="s">
        <v>20</v>
      </c>
      <c r="H1246" t="s">
        <v>333</v>
      </c>
      <c r="I1246" t="s">
        <v>148</v>
      </c>
      <c r="J1246">
        <v>0.83299999999999996</v>
      </c>
      <c r="K1246">
        <v>2.5</v>
      </c>
      <c r="L1246">
        <v>3</v>
      </c>
      <c r="M1246">
        <v>0.68</v>
      </c>
      <c r="N1246" t="s">
        <v>28</v>
      </c>
      <c r="O1246" s="1">
        <v>45228</v>
      </c>
      <c r="S1246" t="s">
        <v>915</v>
      </c>
      <c r="T1246" s="6" t="s">
        <v>948</v>
      </c>
      <c r="U1246" s="6" t="s">
        <v>937</v>
      </c>
      <c r="V1246" s="2" t="s">
        <v>952</v>
      </c>
      <c r="W1246" t="str">
        <f t="shared" si="19"/>
        <v>2000059276_202110</v>
      </c>
      <c r="X1246" s="2" t="s">
        <v>1615</v>
      </c>
    </row>
    <row r="1247" spans="1:24" hidden="1" x14ac:dyDescent="0.35">
      <c r="A1247">
        <v>69</v>
      </c>
      <c r="B1247">
        <v>2000059283</v>
      </c>
      <c r="C1247" s="1">
        <v>45475</v>
      </c>
      <c r="D1247" t="s">
        <v>1811</v>
      </c>
      <c r="E1247" t="s">
        <v>18</v>
      </c>
      <c r="F1247" t="s">
        <v>39</v>
      </c>
      <c r="G1247" t="s">
        <v>1687</v>
      </c>
      <c r="H1247" t="s">
        <v>1812</v>
      </c>
      <c r="I1247" t="s">
        <v>41</v>
      </c>
      <c r="J1247">
        <v>0.94699999999999995</v>
      </c>
      <c r="K1247">
        <v>3</v>
      </c>
      <c r="L1247">
        <v>1</v>
      </c>
      <c r="M1247">
        <v>0.8</v>
      </c>
      <c r="N1247" t="s">
        <v>368</v>
      </c>
      <c r="O1247" s="1">
        <v>46570</v>
      </c>
      <c r="S1247" t="s">
        <v>915</v>
      </c>
      <c r="T1247" s="5" t="s">
        <v>936</v>
      </c>
      <c r="U1247" s="5" t="s">
        <v>921</v>
      </c>
      <c r="V1247" t="s">
        <v>956</v>
      </c>
      <c r="W1247" t="str">
        <f t="shared" si="19"/>
        <v>2000059283_20247</v>
      </c>
      <c r="X1247" s="2" t="s">
        <v>1616</v>
      </c>
    </row>
    <row r="1248" spans="1:24" hidden="1" x14ac:dyDescent="0.35">
      <c r="B1248">
        <v>2000059293</v>
      </c>
      <c r="C1248" s="1">
        <v>45183</v>
      </c>
      <c r="D1248" t="s">
        <v>3181</v>
      </c>
      <c r="F1248" t="s">
        <v>39</v>
      </c>
      <c r="G1248" t="s">
        <v>1817</v>
      </c>
      <c r="H1248" t="s">
        <v>3182</v>
      </c>
      <c r="I1248" t="s">
        <v>41</v>
      </c>
      <c r="J1248">
        <v>0.93500000000000005</v>
      </c>
      <c r="K1248">
        <v>3</v>
      </c>
      <c r="M1248">
        <v>0.77</v>
      </c>
      <c r="N1248" t="s">
        <v>2314</v>
      </c>
      <c r="O1248" s="1">
        <v>46279</v>
      </c>
      <c r="S1248" t="s">
        <v>915</v>
      </c>
      <c r="T1248" s="6" t="s">
        <v>942</v>
      </c>
      <c r="U1248" s="6" t="s">
        <v>951</v>
      </c>
      <c r="V1248" s="2" t="s">
        <v>955</v>
      </c>
      <c r="W1248" t="str">
        <f t="shared" si="19"/>
        <v>2000059293_20239</v>
      </c>
      <c r="X1248" s="2" t="s">
        <v>1616</v>
      </c>
    </row>
    <row r="1249" spans="1:24" hidden="1" x14ac:dyDescent="0.35">
      <c r="B1249">
        <v>2000059294</v>
      </c>
      <c r="C1249" s="1">
        <v>44853</v>
      </c>
      <c r="D1249" t="s">
        <v>3837</v>
      </c>
      <c r="F1249" t="s">
        <v>1859</v>
      </c>
      <c r="G1249" t="s">
        <v>1606</v>
      </c>
      <c r="H1249" t="s">
        <v>3183</v>
      </c>
      <c r="I1249" t="s">
        <v>22</v>
      </c>
      <c r="J1249">
        <v>0.97899999999999998</v>
      </c>
      <c r="K1249">
        <v>3</v>
      </c>
      <c r="L1249">
        <v>0</v>
      </c>
      <c r="M1249">
        <v>0.92</v>
      </c>
      <c r="N1249" t="s">
        <v>2314</v>
      </c>
      <c r="O1249" s="1">
        <v>45949</v>
      </c>
      <c r="S1249" t="s">
        <v>915</v>
      </c>
      <c r="T1249" s="6" t="s">
        <v>948</v>
      </c>
      <c r="U1249" s="6" t="s">
        <v>931</v>
      </c>
      <c r="V1249" s="2" t="s">
        <v>954</v>
      </c>
      <c r="W1249" t="str">
        <f t="shared" si="19"/>
        <v>2000059294_202210</v>
      </c>
      <c r="X1249" s="2" t="s">
        <v>1616</v>
      </c>
    </row>
    <row r="1250" spans="1:24" hidden="1" x14ac:dyDescent="0.35">
      <c r="A1250">
        <v>35</v>
      </c>
      <c r="B1250">
        <v>2000059300</v>
      </c>
      <c r="C1250" s="1">
        <v>44677</v>
      </c>
      <c r="D1250" t="s">
        <v>413</v>
      </c>
      <c r="E1250" t="s">
        <v>18</v>
      </c>
      <c r="F1250" t="s">
        <v>39</v>
      </c>
      <c r="G1250" t="s">
        <v>116</v>
      </c>
      <c r="H1250" t="s">
        <v>414</v>
      </c>
      <c r="I1250" t="s">
        <v>22</v>
      </c>
      <c r="J1250">
        <v>0.71699999999999997</v>
      </c>
      <c r="K1250">
        <v>2.6</v>
      </c>
      <c r="L1250">
        <v>5</v>
      </c>
      <c r="M1250">
        <v>0.74</v>
      </c>
      <c r="N1250" t="s">
        <v>23</v>
      </c>
      <c r="O1250" s="1">
        <v>45042</v>
      </c>
      <c r="S1250" t="s">
        <v>915</v>
      </c>
      <c r="T1250" s="6" t="s">
        <v>946</v>
      </c>
      <c r="U1250" s="6" t="s">
        <v>924</v>
      </c>
      <c r="V1250" s="2" t="s">
        <v>954</v>
      </c>
      <c r="W1250" t="str">
        <f t="shared" si="19"/>
        <v>2000059300_20224</v>
      </c>
      <c r="X1250" s="2" t="s">
        <v>1615</v>
      </c>
    </row>
    <row r="1251" spans="1:24" hidden="1" x14ac:dyDescent="0.35">
      <c r="A1251">
        <v>36</v>
      </c>
      <c r="B1251">
        <v>2000059300</v>
      </c>
      <c r="C1251" s="1">
        <v>45037</v>
      </c>
      <c r="D1251" t="s">
        <v>413</v>
      </c>
      <c r="E1251" t="s">
        <v>18</v>
      </c>
      <c r="F1251" t="s">
        <v>39</v>
      </c>
      <c r="G1251" t="s">
        <v>116</v>
      </c>
      <c r="H1251" t="s">
        <v>414</v>
      </c>
      <c r="I1251" t="s">
        <v>148</v>
      </c>
      <c r="J1251">
        <v>0.72899999999999998</v>
      </c>
      <c r="K1251">
        <v>2.4500000000000002</v>
      </c>
      <c r="L1251">
        <v>2</v>
      </c>
      <c r="M1251">
        <v>0.73</v>
      </c>
      <c r="N1251" t="s">
        <v>23</v>
      </c>
      <c r="O1251" s="1">
        <v>45403</v>
      </c>
      <c r="S1251" t="s">
        <v>915</v>
      </c>
      <c r="T1251" s="6" t="s">
        <v>946</v>
      </c>
      <c r="U1251" s="6" t="s">
        <v>944</v>
      </c>
      <c r="V1251" s="2" t="s">
        <v>955</v>
      </c>
      <c r="W1251" t="str">
        <f t="shared" si="19"/>
        <v>2000059300_20234</v>
      </c>
      <c r="X1251" s="2" t="s">
        <v>1615</v>
      </c>
    </row>
    <row r="1252" spans="1:24" hidden="1" x14ac:dyDescent="0.35">
      <c r="A1252">
        <v>27</v>
      </c>
      <c r="B1252">
        <v>2000059300</v>
      </c>
      <c r="C1252" s="1">
        <v>45408</v>
      </c>
      <c r="D1252" t="s">
        <v>413</v>
      </c>
      <c r="E1252" t="s">
        <v>18</v>
      </c>
      <c r="F1252" t="s">
        <v>39</v>
      </c>
      <c r="G1252" t="s">
        <v>116</v>
      </c>
      <c r="H1252" t="s">
        <v>700</v>
      </c>
      <c r="I1252" t="s">
        <v>148</v>
      </c>
      <c r="J1252">
        <v>0.86099999999999999</v>
      </c>
      <c r="K1252">
        <v>3</v>
      </c>
      <c r="L1252">
        <v>0</v>
      </c>
      <c r="M1252">
        <v>0.6</v>
      </c>
      <c r="N1252" t="s">
        <v>28</v>
      </c>
      <c r="O1252" s="1">
        <v>46138</v>
      </c>
      <c r="S1252" t="s">
        <v>915</v>
      </c>
      <c r="T1252" s="6" t="s">
        <v>946</v>
      </c>
      <c r="U1252" s="6" t="s">
        <v>924</v>
      </c>
      <c r="V1252" s="2" t="s">
        <v>956</v>
      </c>
      <c r="W1252" t="str">
        <f t="shared" si="19"/>
        <v>2000059300_20244</v>
      </c>
      <c r="X1252" s="2" t="s">
        <v>1615</v>
      </c>
    </row>
    <row r="1253" spans="1:24" hidden="1" x14ac:dyDescent="0.35">
      <c r="B1253">
        <v>2000059520</v>
      </c>
      <c r="C1253" s="1">
        <v>45148</v>
      </c>
      <c r="D1253" t="s">
        <v>3186</v>
      </c>
      <c r="F1253" t="s">
        <v>43</v>
      </c>
      <c r="G1253" t="s">
        <v>1606</v>
      </c>
      <c r="H1253" t="s">
        <v>3187</v>
      </c>
      <c r="I1253" t="s">
        <v>41</v>
      </c>
      <c r="J1253">
        <v>0.96599999999999997</v>
      </c>
      <c r="K1253">
        <v>3</v>
      </c>
      <c r="M1253">
        <v>0.85</v>
      </c>
      <c r="N1253" t="s">
        <v>2314</v>
      </c>
      <c r="O1253" s="1">
        <v>46244</v>
      </c>
      <c r="S1253" t="s">
        <v>915</v>
      </c>
      <c r="T1253" s="6" t="s">
        <v>940</v>
      </c>
      <c r="U1253" s="6" t="s">
        <v>948</v>
      </c>
      <c r="V1253" s="2" t="s">
        <v>955</v>
      </c>
      <c r="W1253" t="str">
        <f t="shared" si="19"/>
        <v>2000059520_20238</v>
      </c>
      <c r="X1253" s="2" t="s">
        <v>1616</v>
      </c>
    </row>
    <row r="1254" spans="1:24" hidden="1" x14ac:dyDescent="0.35">
      <c r="A1254">
        <v>45</v>
      </c>
      <c r="B1254">
        <v>2000059540</v>
      </c>
      <c r="C1254" s="1">
        <v>45456</v>
      </c>
      <c r="D1254" t="s">
        <v>475</v>
      </c>
      <c r="E1254" t="s">
        <v>18</v>
      </c>
      <c r="F1254" t="s">
        <v>19</v>
      </c>
      <c r="G1254" t="s">
        <v>20</v>
      </c>
      <c r="H1254" t="s">
        <v>589</v>
      </c>
      <c r="I1254" t="s">
        <v>41</v>
      </c>
      <c r="J1254">
        <v>0.82</v>
      </c>
      <c r="K1254">
        <v>2.7</v>
      </c>
      <c r="L1254">
        <v>2</v>
      </c>
      <c r="M1254">
        <v>0.84</v>
      </c>
      <c r="N1254" t="s">
        <v>28</v>
      </c>
      <c r="O1254" s="1">
        <v>46186</v>
      </c>
      <c r="P1254" t="s">
        <v>470</v>
      </c>
      <c r="S1254" t="s">
        <v>915</v>
      </c>
      <c r="T1254" s="6" t="s">
        <v>927</v>
      </c>
      <c r="U1254" s="6" t="s">
        <v>950</v>
      </c>
      <c r="V1254" s="2" t="s">
        <v>956</v>
      </c>
      <c r="W1254" t="str">
        <f t="shared" si="19"/>
        <v>2000059540_20246</v>
      </c>
      <c r="X1254" s="2" t="s">
        <v>1615</v>
      </c>
    </row>
    <row r="1255" spans="1:24" hidden="1" x14ac:dyDescent="0.35">
      <c r="A1255">
        <v>46</v>
      </c>
      <c r="B1255">
        <v>2000059540</v>
      </c>
      <c r="C1255" s="1">
        <v>45104</v>
      </c>
      <c r="D1255" t="s">
        <v>475</v>
      </c>
      <c r="E1255" t="s">
        <v>18</v>
      </c>
      <c r="F1255" t="s">
        <v>43</v>
      </c>
      <c r="G1255" t="s">
        <v>20</v>
      </c>
      <c r="H1255" t="s">
        <v>589</v>
      </c>
      <c r="I1255" t="s">
        <v>41</v>
      </c>
      <c r="J1255">
        <v>0.77900000000000003</v>
      </c>
      <c r="K1255">
        <v>2.2999999999999998</v>
      </c>
      <c r="L1255">
        <v>4</v>
      </c>
      <c r="M1255">
        <v>0.72</v>
      </c>
      <c r="N1255" t="s">
        <v>23</v>
      </c>
      <c r="O1255" s="1">
        <v>45470</v>
      </c>
      <c r="P1255" t="s">
        <v>566</v>
      </c>
      <c r="S1255" t="s">
        <v>915</v>
      </c>
      <c r="T1255" s="6" t="s">
        <v>927</v>
      </c>
      <c r="U1255" s="6" t="s">
        <v>925</v>
      </c>
      <c r="V1255" s="2" t="s">
        <v>955</v>
      </c>
      <c r="W1255" t="str">
        <f t="shared" si="19"/>
        <v>2000059540_20236</v>
      </c>
      <c r="X1255" s="2" t="s">
        <v>1615</v>
      </c>
    </row>
    <row r="1256" spans="1:24" hidden="1" x14ac:dyDescent="0.35">
      <c r="A1256">
        <v>69</v>
      </c>
      <c r="B1256">
        <v>2000059540</v>
      </c>
      <c r="C1256" s="1">
        <v>44736</v>
      </c>
      <c r="D1256" t="s">
        <v>475</v>
      </c>
      <c r="E1256" t="s">
        <v>18</v>
      </c>
      <c r="F1256" t="s">
        <v>43</v>
      </c>
      <c r="G1256" t="s">
        <v>20</v>
      </c>
      <c r="H1256" t="s">
        <v>476</v>
      </c>
      <c r="I1256" t="s">
        <v>41</v>
      </c>
      <c r="J1256">
        <v>0.70199999999999996</v>
      </c>
      <c r="K1256">
        <v>2.2999999999999998</v>
      </c>
      <c r="L1256">
        <v>5</v>
      </c>
      <c r="M1256">
        <v>0.64</v>
      </c>
      <c r="N1256" t="s">
        <v>23</v>
      </c>
      <c r="O1256" s="1">
        <v>45101</v>
      </c>
      <c r="S1256" t="s">
        <v>915</v>
      </c>
      <c r="T1256" s="6" t="s">
        <v>927</v>
      </c>
      <c r="U1256" s="6" t="s">
        <v>935</v>
      </c>
      <c r="V1256" s="2" t="s">
        <v>954</v>
      </c>
      <c r="W1256" t="str">
        <f t="shared" si="19"/>
        <v>2000059540_20226</v>
      </c>
      <c r="X1256" s="2" t="s">
        <v>1615</v>
      </c>
    </row>
    <row r="1257" spans="1:24" hidden="1" x14ac:dyDescent="0.35">
      <c r="A1257">
        <v>3</v>
      </c>
      <c r="B1257">
        <v>2000059541</v>
      </c>
      <c r="C1257" s="1">
        <v>44978</v>
      </c>
      <c r="D1257" t="s">
        <v>537</v>
      </c>
      <c r="E1257" t="s">
        <v>18</v>
      </c>
      <c r="F1257" t="s">
        <v>39</v>
      </c>
      <c r="G1257" t="s">
        <v>538</v>
      </c>
      <c r="H1257" t="s">
        <v>539</v>
      </c>
      <c r="I1257" t="s">
        <v>41</v>
      </c>
      <c r="J1257">
        <v>0.80800000000000005</v>
      </c>
      <c r="K1257">
        <v>2.4</v>
      </c>
      <c r="L1257">
        <v>4</v>
      </c>
      <c r="M1257">
        <v>0.68</v>
      </c>
      <c r="N1257" t="s">
        <v>28</v>
      </c>
      <c r="O1257" s="1">
        <v>45709</v>
      </c>
      <c r="S1257" t="s">
        <v>915</v>
      </c>
      <c r="T1257" s="6" t="s">
        <v>921</v>
      </c>
      <c r="U1257" s="6" t="s">
        <v>944</v>
      </c>
      <c r="V1257" s="2" t="s">
        <v>955</v>
      </c>
      <c r="W1257" t="str">
        <f t="shared" si="19"/>
        <v>2000059541_20232</v>
      </c>
      <c r="X1257" s="2" t="s">
        <v>1615</v>
      </c>
    </row>
    <row r="1258" spans="1:24" hidden="1" x14ac:dyDescent="0.35">
      <c r="A1258">
        <v>26</v>
      </c>
      <c r="B1258">
        <v>2000056277</v>
      </c>
      <c r="C1258" s="1">
        <v>45759</v>
      </c>
      <c r="D1258" t="s">
        <v>381</v>
      </c>
      <c r="E1258" t="s">
        <v>18</v>
      </c>
      <c r="F1258" t="s">
        <v>39</v>
      </c>
      <c r="G1258" t="s">
        <v>3597</v>
      </c>
      <c r="H1258" t="s">
        <v>3599</v>
      </c>
      <c r="I1258" t="s">
        <v>41</v>
      </c>
      <c r="J1258">
        <v>0.97399999999999998</v>
      </c>
      <c r="K1258">
        <v>2.7</v>
      </c>
      <c r="L1258">
        <v>1</v>
      </c>
      <c r="M1258">
        <v>0.81</v>
      </c>
      <c r="N1258" t="s">
        <v>28</v>
      </c>
      <c r="O1258" s="1">
        <v>46489</v>
      </c>
      <c r="S1258" t="s">
        <v>915</v>
      </c>
      <c r="T1258" s="5" t="s">
        <v>946</v>
      </c>
      <c r="U1258" s="5" t="s">
        <v>949</v>
      </c>
      <c r="V1258" t="s">
        <v>1650</v>
      </c>
      <c r="W1258" t="str">
        <f t="shared" si="19"/>
        <v>2000056277_20254</v>
      </c>
      <c r="X1258" t="s">
        <v>1615</v>
      </c>
    </row>
    <row r="1259" spans="1:24" hidden="1" x14ac:dyDescent="0.35">
      <c r="A1259">
        <v>27</v>
      </c>
      <c r="B1259">
        <v>2000062458</v>
      </c>
      <c r="C1259" s="1">
        <v>45761</v>
      </c>
      <c r="D1259" t="s">
        <v>3600</v>
      </c>
      <c r="E1259" t="s">
        <v>18</v>
      </c>
      <c r="F1259" t="s">
        <v>39</v>
      </c>
      <c r="G1259" t="s">
        <v>3601</v>
      </c>
      <c r="H1259" t="s">
        <v>3602</v>
      </c>
      <c r="I1259" t="s">
        <v>41</v>
      </c>
      <c r="J1259">
        <v>0.89500000000000002</v>
      </c>
      <c r="K1259">
        <v>3</v>
      </c>
      <c r="L1259">
        <v>4</v>
      </c>
      <c r="M1259">
        <v>0.8</v>
      </c>
      <c r="N1259" t="s">
        <v>28</v>
      </c>
      <c r="O1259" s="1">
        <v>46491</v>
      </c>
      <c r="S1259" t="s">
        <v>915</v>
      </c>
      <c r="T1259" s="5" t="s">
        <v>946</v>
      </c>
      <c r="U1259" s="5" t="s">
        <v>951</v>
      </c>
      <c r="V1259" t="s">
        <v>1650</v>
      </c>
      <c r="W1259" t="str">
        <f t="shared" si="19"/>
        <v>2000062458_20254</v>
      </c>
      <c r="X1259" t="s">
        <v>1615</v>
      </c>
    </row>
    <row r="1260" spans="1:24" hidden="1" x14ac:dyDescent="0.35">
      <c r="A1260">
        <v>139</v>
      </c>
      <c r="B1260">
        <v>2000059576</v>
      </c>
      <c r="C1260" s="1">
        <v>45590</v>
      </c>
      <c r="D1260" t="s">
        <v>3246</v>
      </c>
      <c r="E1260" t="s">
        <v>18</v>
      </c>
      <c r="F1260" t="s">
        <v>39</v>
      </c>
      <c r="G1260" t="s">
        <v>1606</v>
      </c>
      <c r="H1260" t="s">
        <v>3247</v>
      </c>
      <c r="I1260" t="s">
        <v>41</v>
      </c>
      <c r="J1260">
        <v>0.95499999999999996</v>
      </c>
      <c r="K1260">
        <v>3</v>
      </c>
      <c r="L1260">
        <v>1</v>
      </c>
      <c r="M1260">
        <v>0.83</v>
      </c>
      <c r="N1260" t="s">
        <v>368</v>
      </c>
      <c r="O1260" s="1">
        <v>46685</v>
      </c>
      <c r="S1260" t="s">
        <v>915</v>
      </c>
      <c r="T1260" s="5" t="s">
        <v>948</v>
      </c>
      <c r="U1260" s="5" t="s">
        <v>922</v>
      </c>
      <c r="V1260" t="s">
        <v>956</v>
      </c>
      <c r="W1260" t="str">
        <f t="shared" si="19"/>
        <v>2000059576_202410</v>
      </c>
      <c r="X1260" t="s">
        <v>1616</v>
      </c>
    </row>
    <row r="1261" spans="1:24" hidden="1" x14ac:dyDescent="0.35">
      <c r="A1261">
        <v>28</v>
      </c>
      <c r="B1261">
        <v>2000035666</v>
      </c>
      <c r="C1261" s="1">
        <v>45761</v>
      </c>
      <c r="D1261" t="s">
        <v>676</v>
      </c>
      <c r="E1261" t="s">
        <v>18</v>
      </c>
      <c r="F1261" t="s">
        <v>148</v>
      </c>
      <c r="G1261" t="s">
        <v>3601</v>
      </c>
      <c r="H1261" t="s">
        <v>677</v>
      </c>
      <c r="I1261" t="s">
        <v>148</v>
      </c>
      <c r="J1261">
        <v>0.9</v>
      </c>
      <c r="K1261">
        <v>2.4500000000000002</v>
      </c>
      <c r="L1261">
        <v>3</v>
      </c>
      <c r="M1261">
        <v>0.69</v>
      </c>
      <c r="N1261" t="s">
        <v>28</v>
      </c>
      <c r="O1261" s="1">
        <v>46491</v>
      </c>
      <c r="S1261" t="s">
        <v>915</v>
      </c>
      <c r="T1261" s="5" t="s">
        <v>946</v>
      </c>
      <c r="U1261" s="5" t="s">
        <v>951</v>
      </c>
      <c r="V1261" t="s">
        <v>1650</v>
      </c>
      <c r="W1261" t="str">
        <f t="shared" si="19"/>
        <v>2000035666_20254</v>
      </c>
      <c r="X1261" t="s">
        <v>1615</v>
      </c>
    </row>
    <row r="1262" spans="1:24" hidden="1" x14ac:dyDescent="0.35">
      <c r="A1262">
        <v>60</v>
      </c>
      <c r="B1262">
        <v>2000057508</v>
      </c>
      <c r="C1262" s="1">
        <v>45771</v>
      </c>
      <c r="D1262" t="s">
        <v>2857</v>
      </c>
      <c r="E1262" t="s">
        <v>18</v>
      </c>
      <c r="F1262" t="s">
        <v>43</v>
      </c>
      <c r="G1262" t="s">
        <v>1708</v>
      </c>
      <c r="H1262" t="s">
        <v>2859</v>
      </c>
      <c r="I1262" t="s">
        <v>22</v>
      </c>
      <c r="J1262">
        <v>0.92600000000000005</v>
      </c>
      <c r="K1262">
        <v>2.2000000000000002</v>
      </c>
      <c r="L1262">
        <v>5</v>
      </c>
      <c r="M1262">
        <v>0.85</v>
      </c>
      <c r="N1262" t="s">
        <v>2310</v>
      </c>
      <c r="O1262" s="1">
        <v>46501</v>
      </c>
      <c r="P1262" t="s">
        <v>3701</v>
      </c>
      <c r="R1262" t="s">
        <v>3693</v>
      </c>
      <c r="S1262" t="s">
        <v>915</v>
      </c>
      <c r="T1262" s="6" t="s">
        <v>946</v>
      </c>
      <c r="U1262" s="6" t="s">
        <v>935</v>
      </c>
      <c r="V1262" s="2" t="s">
        <v>1650</v>
      </c>
      <c r="W1262" t="str">
        <f t="shared" si="19"/>
        <v>2000057508_20254</v>
      </c>
      <c r="X1262" t="s">
        <v>1616</v>
      </c>
    </row>
    <row r="1263" spans="1:24" hidden="1" x14ac:dyDescent="0.35">
      <c r="B1263">
        <v>2000059823</v>
      </c>
      <c r="C1263" s="1">
        <v>44636</v>
      </c>
      <c r="D1263" t="s">
        <v>3189</v>
      </c>
      <c r="F1263" t="s">
        <v>43</v>
      </c>
      <c r="G1263" t="s">
        <v>1606</v>
      </c>
      <c r="H1263" t="s">
        <v>3190</v>
      </c>
      <c r="I1263" t="s">
        <v>41</v>
      </c>
      <c r="J1263">
        <v>1</v>
      </c>
      <c r="K1263">
        <v>3</v>
      </c>
      <c r="L1263">
        <v>1</v>
      </c>
      <c r="M1263">
        <v>0.94</v>
      </c>
      <c r="N1263" t="s">
        <v>2314</v>
      </c>
      <c r="O1263" s="1">
        <v>45732</v>
      </c>
      <c r="S1263" t="s">
        <v>915</v>
      </c>
      <c r="T1263" s="6" t="s">
        <v>941</v>
      </c>
      <c r="U1263" s="6" t="s">
        <v>928</v>
      </c>
      <c r="V1263" s="2" t="s">
        <v>954</v>
      </c>
      <c r="W1263" t="str">
        <f t="shared" si="19"/>
        <v>2000059823_20223</v>
      </c>
      <c r="X1263" s="2" t="s">
        <v>1616</v>
      </c>
    </row>
    <row r="1264" spans="1:24" hidden="1" x14ac:dyDescent="0.35">
      <c r="A1264">
        <v>62</v>
      </c>
      <c r="B1264">
        <v>2000055432</v>
      </c>
      <c r="C1264" s="1">
        <v>45772</v>
      </c>
      <c r="D1264" t="s">
        <v>2437</v>
      </c>
      <c r="E1264" t="s">
        <v>18</v>
      </c>
      <c r="F1264" t="s">
        <v>39</v>
      </c>
      <c r="G1264" t="s">
        <v>1708</v>
      </c>
      <c r="H1264" t="s">
        <v>2439</v>
      </c>
      <c r="I1264" t="s">
        <v>22</v>
      </c>
      <c r="J1264">
        <v>0.95699999999999996</v>
      </c>
      <c r="K1264">
        <v>3</v>
      </c>
      <c r="L1264">
        <v>1</v>
      </c>
      <c r="M1264">
        <v>0.75</v>
      </c>
      <c r="N1264" t="s">
        <v>2314</v>
      </c>
      <c r="O1264" s="1">
        <v>46868</v>
      </c>
      <c r="R1264" t="s">
        <v>1613</v>
      </c>
      <c r="S1264" t="s">
        <v>915</v>
      </c>
      <c r="T1264" s="6" t="s">
        <v>946</v>
      </c>
      <c r="U1264" s="6" t="s">
        <v>922</v>
      </c>
      <c r="V1264" s="2" t="s">
        <v>1650</v>
      </c>
      <c r="W1264" t="str">
        <f t="shared" si="19"/>
        <v>2000055432_20254</v>
      </c>
      <c r="X1264" t="s">
        <v>1616</v>
      </c>
    </row>
    <row r="1265" spans="1:24" hidden="1" x14ac:dyDescent="0.35">
      <c r="A1265">
        <v>15</v>
      </c>
      <c r="B1265">
        <v>2000059915</v>
      </c>
      <c r="C1265" s="1">
        <v>45383</v>
      </c>
      <c r="D1265" t="s">
        <v>685</v>
      </c>
      <c r="E1265" t="s">
        <v>18</v>
      </c>
      <c r="F1265" t="s">
        <v>148</v>
      </c>
      <c r="G1265" t="s">
        <v>553</v>
      </c>
      <c r="H1265" t="s">
        <v>686</v>
      </c>
      <c r="I1265" t="s">
        <v>22</v>
      </c>
      <c r="J1265">
        <v>0.81599999999999995</v>
      </c>
      <c r="K1265">
        <v>2.75</v>
      </c>
      <c r="L1265">
        <v>3</v>
      </c>
      <c r="M1265">
        <v>0.77</v>
      </c>
      <c r="N1265" t="s">
        <v>28</v>
      </c>
      <c r="O1265" s="1">
        <v>46113</v>
      </c>
      <c r="Q1265" t="s">
        <v>687</v>
      </c>
      <c r="S1265" t="s">
        <v>915</v>
      </c>
      <c r="T1265" s="6" t="s">
        <v>946</v>
      </c>
      <c r="U1265" s="6" t="s">
        <v>953</v>
      </c>
      <c r="V1265" s="2" t="s">
        <v>956</v>
      </c>
      <c r="W1265" t="str">
        <f t="shared" si="19"/>
        <v>2000059915_20244</v>
      </c>
      <c r="X1265" s="2" t="s">
        <v>1615</v>
      </c>
    </row>
    <row r="1266" spans="1:24" hidden="1" x14ac:dyDescent="0.35">
      <c r="A1266">
        <v>13</v>
      </c>
      <c r="B1266">
        <v>2000059915</v>
      </c>
      <c r="C1266" s="1">
        <v>45005</v>
      </c>
      <c r="D1266" t="s">
        <v>685</v>
      </c>
      <c r="E1266" t="s">
        <v>18</v>
      </c>
      <c r="F1266" t="s">
        <v>148</v>
      </c>
      <c r="G1266" t="s">
        <v>553</v>
      </c>
      <c r="H1266" t="s">
        <v>554</v>
      </c>
      <c r="I1266" t="s">
        <v>148</v>
      </c>
      <c r="J1266">
        <v>0.52500000000000002</v>
      </c>
      <c r="K1266">
        <v>2.25</v>
      </c>
      <c r="L1266">
        <v>9</v>
      </c>
      <c r="M1266">
        <v>0.52</v>
      </c>
      <c r="N1266" t="s">
        <v>23</v>
      </c>
      <c r="O1266" s="1">
        <v>45371</v>
      </c>
      <c r="S1266" t="s">
        <v>915</v>
      </c>
      <c r="T1266" s="6" t="s">
        <v>941</v>
      </c>
      <c r="U1266" s="6" t="s">
        <v>932</v>
      </c>
      <c r="V1266" s="2" t="s">
        <v>955</v>
      </c>
      <c r="W1266" t="str">
        <f t="shared" si="19"/>
        <v>2000059915_20233</v>
      </c>
      <c r="X1266" s="2" t="s">
        <v>1615</v>
      </c>
    </row>
    <row r="1267" spans="1:24" hidden="1" x14ac:dyDescent="0.35">
      <c r="A1267">
        <v>29</v>
      </c>
      <c r="B1267">
        <v>2000058240</v>
      </c>
      <c r="C1267" s="1">
        <v>45762</v>
      </c>
      <c r="D1267" t="s">
        <v>151</v>
      </c>
      <c r="E1267" t="s">
        <v>18</v>
      </c>
      <c r="F1267" t="s">
        <v>148</v>
      </c>
      <c r="G1267" t="s">
        <v>3601</v>
      </c>
      <c r="H1267" t="s">
        <v>3603</v>
      </c>
      <c r="I1267" t="s">
        <v>148</v>
      </c>
      <c r="J1267">
        <v>0.85699999999999998</v>
      </c>
      <c r="K1267">
        <v>2.75</v>
      </c>
      <c r="L1267">
        <v>1</v>
      </c>
      <c r="M1267">
        <v>0.67</v>
      </c>
      <c r="N1267" t="s">
        <v>28</v>
      </c>
      <c r="O1267" s="1">
        <v>46492</v>
      </c>
      <c r="S1267" t="s">
        <v>915</v>
      </c>
      <c r="T1267" s="5" t="s">
        <v>946</v>
      </c>
      <c r="U1267" s="5" t="s">
        <v>943</v>
      </c>
      <c r="V1267" t="s">
        <v>1650</v>
      </c>
      <c r="W1267" t="str">
        <f t="shared" si="19"/>
        <v>2000058240_20254</v>
      </c>
      <c r="X1267" t="s">
        <v>1615</v>
      </c>
    </row>
    <row r="1268" spans="1:24" hidden="1" x14ac:dyDescent="0.35">
      <c r="A1268">
        <v>30</v>
      </c>
      <c r="B1268">
        <v>2000057162</v>
      </c>
      <c r="C1268" s="1">
        <v>45762</v>
      </c>
      <c r="D1268" t="s">
        <v>160</v>
      </c>
      <c r="E1268" t="s">
        <v>18</v>
      </c>
      <c r="F1268" t="s">
        <v>19</v>
      </c>
      <c r="G1268" t="s">
        <v>3601</v>
      </c>
      <c r="H1268" t="s">
        <v>161</v>
      </c>
      <c r="I1268" t="s">
        <v>22</v>
      </c>
      <c r="J1268">
        <v>0.96899999999999997</v>
      </c>
      <c r="K1268">
        <v>3</v>
      </c>
      <c r="L1268">
        <v>1</v>
      </c>
      <c r="M1268">
        <v>0.71</v>
      </c>
      <c r="N1268" t="s">
        <v>368</v>
      </c>
      <c r="O1268" s="1">
        <v>46858</v>
      </c>
      <c r="S1268" t="s">
        <v>915</v>
      </c>
      <c r="T1268" s="5" t="s">
        <v>946</v>
      </c>
      <c r="U1268" s="5" t="s">
        <v>943</v>
      </c>
      <c r="V1268" t="s">
        <v>1650</v>
      </c>
      <c r="W1268" t="str">
        <f t="shared" si="19"/>
        <v>2000057162_20254</v>
      </c>
      <c r="X1268" t="s">
        <v>1615</v>
      </c>
    </row>
    <row r="1269" spans="1:24" hidden="1" x14ac:dyDescent="0.35">
      <c r="A1269">
        <v>44</v>
      </c>
      <c r="B1269">
        <v>2000060214</v>
      </c>
      <c r="C1269" s="1">
        <v>45455</v>
      </c>
      <c r="D1269" t="s">
        <v>472</v>
      </c>
      <c r="E1269" t="s">
        <v>18</v>
      </c>
      <c r="F1269" t="s">
        <v>473</v>
      </c>
      <c r="G1269" t="s">
        <v>20</v>
      </c>
      <c r="H1269" t="s">
        <v>713</v>
      </c>
      <c r="I1269" t="s">
        <v>41</v>
      </c>
      <c r="J1269">
        <v>0.86099999999999999</v>
      </c>
      <c r="K1269">
        <v>2.7</v>
      </c>
      <c r="L1269">
        <v>2</v>
      </c>
      <c r="M1269">
        <v>0.94</v>
      </c>
      <c r="N1269" t="s">
        <v>28</v>
      </c>
      <c r="O1269" s="1">
        <v>46185</v>
      </c>
      <c r="S1269" t="s">
        <v>915</v>
      </c>
      <c r="T1269" s="6" t="s">
        <v>927</v>
      </c>
      <c r="U1269" s="6" t="s">
        <v>949</v>
      </c>
      <c r="V1269" s="2" t="s">
        <v>956</v>
      </c>
      <c r="W1269" t="str">
        <f t="shared" si="19"/>
        <v>2000060214_20246</v>
      </c>
      <c r="X1269" s="2" t="s">
        <v>1615</v>
      </c>
    </row>
    <row r="1270" spans="1:24" hidden="1" x14ac:dyDescent="0.35">
      <c r="A1270">
        <v>68</v>
      </c>
      <c r="B1270">
        <v>2000060214</v>
      </c>
      <c r="C1270" s="1">
        <v>44735</v>
      </c>
      <c r="D1270" t="s">
        <v>472</v>
      </c>
      <c r="E1270" t="s">
        <v>18</v>
      </c>
      <c r="F1270" t="s">
        <v>473</v>
      </c>
      <c r="G1270" t="s">
        <v>20</v>
      </c>
      <c r="H1270" t="s">
        <v>474</v>
      </c>
      <c r="I1270" t="s">
        <v>41</v>
      </c>
      <c r="J1270">
        <v>0.87</v>
      </c>
      <c r="K1270">
        <v>2.6</v>
      </c>
      <c r="L1270">
        <v>4</v>
      </c>
      <c r="M1270">
        <v>0.86</v>
      </c>
      <c r="N1270" t="s">
        <v>28</v>
      </c>
      <c r="O1270" s="1">
        <v>45466</v>
      </c>
      <c r="S1270" t="s">
        <v>915</v>
      </c>
      <c r="T1270" s="6" t="s">
        <v>927</v>
      </c>
      <c r="U1270" s="6" t="s">
        <v>934</v>
      </c>
      <c r="V1270" s="2" t="s">
        <v>954</v>
      </c>
      <c r="W1270" t="str">
        <f t="shared" si="19"/>
        <v>2000060214_20226</v>
      </c>
      <c r="X1270" s="2" t="s">
        <v>1615</v>
      </c>
    </row>
    <row r="1271" spans="1:24" hidden="1" x14ac:dyDescent="0.35">
      <c r="A1271">
        <v>65</v>
      </c>
      <c r="B1271">
        <v>2000060219</v>
      </c>
      <c r="C1271" s="1">
        <v>44729</v>
      </c>
      <c r="D1271" t="s">
        <v>466</v>
      </c>
      <c r="E1271" t="s">
        <v>18</v>
      </c>
      <c r="F1271" t="s">
        <v>148</v>
      </c>
      <c r="G1271" t="s">
        <v>20</v>
      </c>
      <c r="H1271" t="s">
        <v>467</v>
      </c>
      <c r="I1271" t="s">
        <v>148</v>
      </c>
      <c r="J1271">
        <v>0.96</v>
      </c>
      <c r="K1271">
        <v>2.7</v>
      </c>
      <c r="L1271">
        <v>1</v>
      </c>
      <c r="M1271">
        <v>0.67</v>
      </c>
      <c r="N1271" t="s">
        <v>28</v>
      </c>
      <c r="O1271" s="1">
        <v>45460</v>
      </c>
      <c r="S1271" t="s">
        <v>915</v>
      </c>
      <c r="T1271" s="6" t="s">
        <v>927</v>
      </c>
      <c r="U1271" s="6" t="s">
        <v>929</v>
      </c>
      <c r="V1271" s="2" t="s">
        <v>954</v>
      </c>
      <c r="W1271" t="str">
        <f t="shared" si="19"/>
        <v>2000060219_20226</v>
      </c>
      <c r="X1271" s="2" t="s">
        <v>1615</v>
      </c>
    </row>
    <row r="1272" spans="1:24" hidden="1" x14ac:dyDescent="0.35">
      <c r="A1272">
        <v>19</v>
      </c>
      <c r="B1272">
        <v>2000060220</v>
      </c>
      <c r="C1272" s="1">
        <v>45397</v>
      </c>
      <c r="D1272" t="s">
        <v>4178</v>
      </c>
      <c r="E1272" t="s">
        <v>18</v>
      </c>
      <c r="F1272" t="s">
        <v>148</v>
      </c>
      <c r="G1272" t="s">
        <v>116</v>
      </c>
      <c r="H1272" t="s">
        <v>693</v>
      </c>
      <c r="I1272" t="s">
        <v>148</v>
      </c>
      <c r="J1272">
        <v>0.82399999999999995</v>
      </c>
      <c r="K1272">
        <v>2.8</v>
      </c>
      <c r="L1272">
        <v>2</v>
      </c>
      <c r="M1272">
        <v>0.73</v>
      </c>
      <c r="N1272" t="s">
        <v>28</v>
      </c>
      <c r="O1272" s="1">
        <v>46127</v>
      </c>
      <c r="S1272" t="s">
        <v>915</v>
      </c>
      <c r="T1272" s="6" t="s">
        <v>946</v>
      </c>
      <c r="U1272" s="6" t="s">
        <v>943</v>
      </c>
      <c r="V1272" s="2" t="s">
        <v>956</v>
      </c>
      <c r="W1272" t="str">
        <f t="shared" si="19"/>
        <v>2000060220_20244</v>
      </c>
      <c r="X1272" s="2" t="s">
        <v>1615</v>
      </c>
    </row>
    <row r="1273" spans="1:24" hidden="1" x14ac:dyDescent="0.35">
      <c r="A1273">
        <v>30</v>
      </c>
      <c r="B1273">
        <v>2000060220</v>
      </c>
      <c r="C1273" s="1">
        <v>45029</v>
      </c>
      <c r="D1273" t="s">
        <v>4178</v>
      </c>
      <c r="E1273" t="s">
        <v>18</v>
      </c>
      <c r="F1273" t="s">
        <v>148</v>
      </c>
      <c r="G1273" t="s">
        <v>116</v>
      </c>
      <c r="H1273" t="s">
        <v>570</v>
      </c>
      <c r="I1273" t="s">
        <v>148</v>
      </c>
      <c r="J1273">
        <v>0.79200000000000004</v>
      </c>
      <c r="K1273">
        <v>2.7</v>
      </c>
      <c r="L1273">
        <v>4</v>
      </c>
      <c r="M1273">
        <v>0.66</v>
      </c>
      <c r="N1273" t="s">
        <v>23</v>
      </c>
      <c r="O1273" s="1">
        <v>45395</v>
      </c>
      <c r="S1273" t="s">
        <v>915</v>
      </c>
      <c r="T1273" s="6" t="s">
        <v>946</v>
      </c>
      <c r="U1273" s="6" t="s">
        <v>950</v>
      </c>
      <c r="V1273" s="2" t="s">
        <v>955</v>
      </c>
      <c r="W1273" t="str">
        <f t="shared" si="19"/>
        <v>2000060220_20234</v>
      </c>
      <c r="X1273" s="2" t="s">
        <v>1615</v>
      </c>
    </row>
    <row r="1274" spans="1:24" hidden="1" x14ac:dyDescent="0.35">
      <c r="A1274">
        <v>34</v>
      </c>
      <c r="B1274">
        <v>2000060220</v>
      </c>
      <c r="C1274" s="1">
        <v>44673</v>
      </c>
      <c r="D1274" t="s">
        <v>4178</v>
      </c>
      <c r="E1274" t="s">
        <v>18</v>
      </c>
      <c r="F1274" t="s">
        <v>148</v>
      </c>
      <c r="G1274" t="s">
        <v>116</v>
      </c>
      <c r="H1274" t="s">
        <v>412</v>
      </c>
      <c r="I1274" t="s">
        <v>148</v>
      </c>
      <c r="J1274">
        <v>0.73099999999999998</v>
      </c>
      <c r="K1274">
        <v>2.2999999999999998</v>
      </c>
      <c r="L1274">
        <v>5</v>
      </c>
      <c r="M1274">
        <v>0.61</v>
      </c>
      <c r="N1274" t="s">
        <v>23</v>
      </c>
      <c r="O1274" s="1">
        <v>45038</v>
      </c>
      <c r="S1274" t="s">
        <v>915</v>
      </c>
      <c r="T1274" s="6" t="s">
        <v>946</v>
      </c>
      <c r="U1274" s="6" t="s">
        <v>933</v>
      </c>
      <c r="V1274" s="2" t="s">
        <v>954</v>
      </c>
      <c r="W1274" t="str">
        <f t="shared" si="19"/>
        <v>2000060220_20224</v>
      </c>
      <c r="X1274" s="2" t="s">
        <v>1615</v>
      </c>
    </row>
    <row r="1275" spans="1:24" hidden="1" x14ac:dyDescent="0.35">
      <c r="A1275">
        <v>160</v>
      </c>
      <c r="B1275">
        <v>2000060309</v>
      </c>
      <c r="C1275" s="1">
        <v>45653</v>
      </c>
      <c r="D1275" t="s">
        <v>3282</v>
      </c>
      <c r="E1275" t="s">
        <v>18</v>
      </c>
      <c r="F1275" t="s">
        <v>43</v>
      </c>
      <c r="G1275" t="s">
        <v>1606</v>
      </c>
      <c r="H1275" t="s">
        <v>3283</v>
      </c>
      <c r="I1275" t="s">
        <v>41</v>
      </c>
      <c r="J1275">
        <v>1</v>
      </c>
      <c r="K1275">
        <v>3</v>
      </c>
      <c r="L1275">
        <v>0</v>
      </c>
      <c r="M1275">
        <v>0.84</v>
      </c>
      <c r="N1275" t="s">
        <v>368</v>
      </c>
      <c r="O1275" s="1">
        <v>46748</v>
      </c>
      <c r="S1275" t="s">
        <v>915</v>
      </c>
      <c r="T1275" s="5" t="s">
        <v>949</v>
      </c>
      <c r="U1275" s="5" t="s">
        <v>925</v>
      </c>
      <c r="V1275" t="s">
        <v>956</v>
      </c>
      <c r="W1275" t="str">
        <f t="shared" si="19"/>
        <v>2000060309_202412</v>
      </c>
      <c r="X1275" t="s">
        <v>1616</v>
      </c>
    </row>
    <row r="1276" spans="1:24" hidden="1" x14ac:dyDescent="0.35">
      <c r="A1276">
        <v>30</v>
      </c>
      <c r="B1276">
        <v>2000060590</v>
      </c>
      <c r="C1276" s="1">
        <v>45426</v>
      </c>
      <c r="D1276" t="s">
        <v>580</v>
      </c>
      <c r="E1276" t="s">
        <v>18</v>
      </c>
      <c r="F1276" t="s">
        <v>43</v>
      </c>
      <c r="G1276" t="s">
        <v>20</v>
      </c>
      <c r="H1276" t="s">
        <v>581</v>
      </c>
      <c r="I1276" t="s">
        <v>22</v>
      </c>
      <c r="J1276">
        <v>0.86</v>
      </c>
      <c r="K1276">
        <v>2.6</v>
      </c>
      <c r="L1276">
        <v>1</v>
      </c>
      <c r="M1276">
        <v>0.79</v>
      </c>
      <c r="N1276" t="s">
        <v>28</v>
      </c>
      <c r="O1276" s="1">
        <v>46156</v>
      </c>
      <c r="Q1276" t="s">
        <v>702</v>
      </c>
      <c r="S1276" t="s">
        <v>915</v>
      </c>
      <c r="T1276" s="6" t="s">
        <v>947</v>
      </c>
      <c r="U1276" s="6" t="s">
        <v>951</v>
      </c>
      <c r="V1276" s="2" t="s">
        <v>956</v>
      </c>
      <c r="W1276" t="str">
        <f t="shared" si="19"/>
        <v>2000060590_20245</v>
      </c>
      <c r="X1276" s="2" t="s">
        <v>1615</v>
      </c>
    </row>
    <row r="1277" spans="1:24" hidden="1" x14ac:dyDescent="0.35">
      <c r="A1277">
        <v>41</v>
      </c>
      <c r="B1277">
        <v>2000060590</v>
      </c>
      <c r="C1277" s="1">
        <v>45069</v>
      </c>
      <c r="D1277" t="s">
        <v>580</v>
      </c>
      <c r="E1277" t="s">
        <v>18</v>
      </c>
      <c r="F1277" t="s">
        <v>43</v>
      </c>
      <c r="G1277" t="s">
        <v>20</v>
      </c>
      <c r="H1277" t="s">
        <v>581</v>
      </c>
      <c r="I1277" t="s">
        <v>22</v>
      </c>
      <c r="J1277">
        <v>0.78400000000000003</v>
      </c>
      <c r="K1277">
        <v>2.4</v>
      </c>
      <c r="L1277">
        <v>5</v>
      </c>
      <c r="M1277">
        <v>0.77</v>
      </c>
      <c r="N1277" t="s">
        <v>23</v>
      </c>
      <c r="O1277" s="1">
        <v>45435</v>
      </c>
      <c r="S1277" t="s">
        <v>915</v>
      </c>
      <c r="T1277" s="6" t="s">
        <v>947</v>
      </c>
      <c r="U1277" s="6" t="s">
        <v>934</v>
      </c>
      <c r="V1277" s="2" t="s">
        <v>955</v>
      </c>
      <c r="W1277" t="str">
        <f t="shared" si="19"/>
        <v>2000060590_20235</v>
      </c>
      <c r="X1277" s="2" t="s">
        <v>1615</v>
      </c>
    </row>
    <row r="1278" spans="1:24" hidden="1" x14ac:dyDescent="0.35">
      <c r="A1278">
        <v>83</v>
      </c>
      <c r="B1278">
        <v>2000060592</v>
      </c>
      <c r="C1278" s="1">
        <v>44802</v>
      </c>
      <c r="D1278" t="s">
        <v>498</v>
      </c>
      <c r="E1278" t="s">
        <v>18</v>
      </c>
      <c r="F1278" t="s">
        <v>148</v>
      </c>
      <c r="G1278" t="s">
        <v>245</v>
      </c>
      <c r="H1278" t="s">
        <v>499</v>
      </c>
      <c r="I1278" t="s">
        <v>148</v>
      </c>
      <c r="J1278">
        <v>0.90500000000000003</v>
      </c>
      <c r="K1278">
        <v>2.7</v>
      </c>
      <c r="L1278">
        <v>4</v>
      </c>
      <c r="M1278">
        <v>0.65</v>
      </c>
      <c r="N1278" t="s">
        <v>28</v>
      </c>
      <c r="O1278" s="1">
        <v>45533</v>
      </c>
      <c r="S1278" t="s">
        <v>915</v>
      </c>
      <c r="T1278" s="6" t="s">
        <v>940</v>
      </c>
      <c r="U1278" s="6" t="s">
        <v>937</v>
      </c>
      <c r="V1278" s="2" t="s">
        <v>954</v>
      </c>
      <c r="W1278" t="str">
        <f t="shared" si="19"/>
        <v>2000060592_20228</v>
      </c>
      <c r="X1278" s="2" t="s">
        <v>1615</v>
      </c>
    </row>
    <row r="1279" spans="1:24" hidden="1" x14ac:dyDescent="0.35">
      <c r="A1279">
        <v>62</v>
      </c>
      <c r="B1279">
        <v>2000060592</v>
      </c>
      <c r="C1279" s="1">
        <v>45524</v>
      </c>
      <c r="D1279" t="s">
        <v>498</v>
      </c>
      <c r="E1279" t="s">
        <v>18</v>
      </c>
      <c r="F1279" t="s">
        <v>148</v>
      </c>
      <c r="G1279" t="s">
        <v>245</v>
      </c>
      <c r="H1279" t="s">
        <v>499</v>
      </c>
      <c r="I1279" t="s">
        <v>148</v>
      </c>
      <c r="J1279">
        <v>0.94399999999999995</v>
      </c>
      <c r="K1279">
        <v>2.8</v>
      </c>
      <c r="L1279">
        <v>0</v>
      </c>
      <c r="M1279">
        <v>0.72</v>
      </c>
      <c r="N1279" t="s">
        <v>28</v>
      </c>
      <c r="O1279" s="1">
        <v>46254</v>
      </c>
      <c r="S1279" t="s">
        <v>915</v>
      </c>
      <c r="T1279" s="6" t="s">
        <v>940</v>
      </c>
      <c r="U1279" s="6" t="s">
        <v>932</v>
      </c>
      <c r="V1279" s="2" t="s">
        <v>956</v>
      </c>
      <c r="W1279" t="str">
        <f t="shared" si="19"/>
        <v>2000060592_20248</v>
      </c>
      <c r="X1279" s="2" t="s">
        <v>1615</v>
      </c>
    </row>
    <row r="1280" spans="1:24" hidden="1" x14ac:dyDescent="0.35">
      <c r="A1280">
        <v>31</v>
      </c>
      <c r="B1280">
        <v>2000058804</v>
      </c>
      <c r="C1280" s="1">
        <v>45763</v>
      </c>
      <c r="D1280" t="s">
        <v>557</v>
      </c>
      <c r="E1280" t="s">
        <v>18</v>
      </c>
      <c r="F1280" t="s">
        <v>39</v>
      </c>
      <c r="G1280" t="s">
        <v>168</v>
      </c>
      <c r="H1280" t="s">
        <v>3604</v>
      </c>
      <c r="I1280" t="s">
        <v>41</v>
      </c>
      <c r="J1280">
        <v>0.94099999999999995</v>
      </c>
      <c r="K1280">
        <v>3</v>
      </c>
      <c r="L1280">
        <v>1</v>
      </c>
      <c r="M1280">
        <v>0.84</v>
      </c>
      <c r="N1280" t="s">
        <v>368</v>
      </c>
      <c r="O1280" s="1">
        <v>46859</v>
      </c>
      <c r="S1280" t="s">
        <v>915</v>
      </c>
      <c r="T1280" s="5" t="s">
        <v>946</v>
      </c>
      <c r="U1280" s="5" t="s">
        <v>928</v>
      </c>
      <c r="V1280" t="s">
        <v>1650</v>
      </c>
      <c r="W1280" t="str">
        <f t="shared" si="19"/>
        <v>2000058804_20254</v>
      </c>
      <c r="X1280" t="s">
        <v>1615</v>
      </c>
    </row>
    <row r="1281" spans="1:24" hidden="1" x14ac:dyDescent="0.35">
      <c r="A1281">
        <v>6</v>
      </c>
      <c r="B1281">
        <v>2000060730</v>
      </c>
      <c r="C1281" s="1">
        <v>45309</v>
      </c>
      <c r="D1281" t="s">
        <v>1651</v>
      </c>
      <c r="E1281" t="s">
        <v>18</v>
      </c>
      <c r="F1281" t="s">
        <v>39</v>
      </c>
      <c r="G1281" t="s">
        <v>1606</v>
      </c>
      <c r="H1281" t="s">
        <v>1652</v>
      </c>
      <c r="I1281" t="s">
        <v>41</v>
      </c>
      <c r="J1281">
        <v>0.93799999999999994</v>
      </c>
      <c r="K1281">
        <v>3</v>
      </c>
      <c r="L1281">
        <v>1</v>
      </c>
      <c r="M1281">
        <v>0.79</v>
      </c>
      <c r="N1281" t="s">
        <v>368</v>
      </c>
      <c r="O1281" s="1">
        <v>46439</v>
      </c>
      <c r="S1281" t="s">
        <v>915</v>
      </c>
      <c r="T1281" s="5" t="s">
        <v>953</v>
      </c>
      <c r="U1281" s="5" t="s">
        <v>930</v>
      </c>
      <c r="V1281" t="s">
        <v>956</v>
      </c>
      <c r="W1281" t="str">
        <f t="shared" si="19"/>
        <v>2000060730_20241</v>
      </c>
      <c r="X1281" s="2" t="s">
        <v>1616</v>
      </c>
    </row>
    <row r="1282" spans="1:24" hidden="1" x14ac:dyDescent="0.35">
      <c r="A1282">
        <v>89</v>
      </c>
      <c r="B1282">
        <v>2000060741</v>
      </c>
      <c r="C1282" s="1">
        <v>45502</v>
      </c>
      <c r="D1282" t="s">
        <v>1858</v>
      </c>
      <c r="E1282" t="s">
        <v>18</v>
      </c>
      <c r="F1282" t="s">
        <v>1859</v>
      </c>
      <c r="G1282" t="s">
        <v>1820</v>
      </c>
      <c r="H1282" t="s">
        <v>1860</v>
      </c>
      <c r="I1282" t="s">
        <v>41</v>
      </c>
      <c r="J1282">
        <v>1</v>
      </c>
      <c r="K1282">
        <v>3</v>
      </c>
      <c r="L1282">
        <v>0</v>
      </c>
      <c r="M1282">
        <v>0.97</v>
      </c>
      <c r="N1282" t="s">
        <v>368</v>
      </c>
      <c r="O1282" s="1">
        <v>46597</v>
      </c>
      <c r="S1282" t="s">
        <v>915</v>
      </c>
      <c r="T1282" s="5" t="s">
        <v>936</v>
      </c>
      <c r="U1282" s="5" t="s">
        <v>937</v>
      </c>
      <c r="V1282" t="s">
        <v>956</v>
      </c>
      <c r="W1282" t="str">
        <f t="shared" ref="W1282:W1345" si="20">CONCATENATE(B1282,"_",V1282,T1282)</f>
        <v>2000060741_20247</v>
      </c>
      <c r="X1282" s="2" t="s">
        <v>1616</v>
      </c>
    </row>
    <row r="1283" spans="1:24" hidden="1" x14ac:dyDescent="0.35">
      <c r="A1283">
        <v>27</v>
      </c>
      <c r="B1283">
        <v>2000060752</v>
      </c>
      <c r="C1283" s="1">
        <v>45026</v>
      </c>
      <c r="D1283" t="s">
        <v>4210</v>
      </c>
      <c r="E1283" t="s">
        <v>18</v>
      </c>
      <c r="F1283" t="s">
        <v>43</v>
      </c>
      <c r="G1283" t="s">
        <v>26</v>
      </c>
      <c r="H1283" t="s">
        <v>565</v>
      </c>
      <c r="I1283" t="s">
        <v>41</v>
      </c>
      <c r="J1283">
        <v>0.95</v>
      </c>
      <c r="K1283">
        <v>3</v>
      </c>
      <c r="L1283">
        <v>0</v>
      </c>
      <c r="M1283">
        <v>0.88</v>
      </c>
      <c r="N1283" t="s">
        <v>368</v>
      </c>
      <c r="O1283" s="1">
        <v>46122</v>
      </c>
      <c r="P1283" t="s">
        <v>566</v>
      </c>
      <c r="S1283" t="s">
        <v>915</v>
      </c>
      <c r="T1283" s="6" t="s">
        <v>946</v>
      </c>
      <c r="U1283" s="6" t="s">
        <v>948</v>
      </c>
      <c r="V1283" s="2" t="s">
        <v>955</v>
      </c>
      <c r="W1283" t="str">
        <f t="shared" si="20"/>
        <v>2000060752_20234</v>
      </c>
      <c r="X1283" s="2" t="s">
        <v>1615</v>
      </c>
    </row>
    <row r="1284" spans="1:24" hidden="1" x14ac:dyDescent="0.35">
      <c r="A1284">
        <v>93</v>
      </c>
      <c r="B1284">
        <v>2000060771</v>
      </c>
      <c r="C1284" s="1">
        <v>45506</v>
      </c>
      <c r="D1284" t="s">
        <v>1867</v>
      </c>
      <c r="E1284" t="s">
        <v>18</v>
      </c>
      <c r="F1284" t="s">
        <v>19</v>
      </c>
      <c r="G1284" t="s">
        <v>1817</v>
      </c>
      <c r="H1284" t="s">
        <v>1868</v>
      </c>
      <c r="I1284" t="s">
        <v>22</v>
      </c>
      <c r="J1284">
        <v>1</v>
      </c>
      <c r="K1284">
        <v>3</v>
      </c>
      <c r="L1284">
        <v>0</v>
      </c>
      <c r="M1284">
        <v>0.97</v>
      </c>
      <c r="N1284" t="s">
        <v>23</v>
      </c>
      <c r="O1284" s="1">
        <v>45871</v>
      </c>
      <c r="Q1284" t="s">
        <v>1869</v>
      </c>
      <c r="R1284" t="s">
        <v>1870</v>
      </c>
      <c r="S1284" t="s">
        <v>915</v>
      </c>
      <c r="T1284" s="5" t="s">
        <v>940</v>
      </c>
      <c r="U1284" s="5" t="s">
        <v>921</v>
      </c>
      <c r="V1284" t="s">
        <v>956</v>
      </c>
      <c r="W1284" t="str">
        <f t="shared" si="20"/>
        <v>2000060771_20248</v>
      </c>
      <c r="X1284" s="2" t="s">
        <v>1616</v>
      </c>
    </row>
    <row r="1285" spans="1:24" hidden="1" x14ac:dyDescent="0.35">
      <c r="A1285">
        <v>94</v>
      </c>
      <c r="B1285">
        <v>2000060800</v>
      </c>
      <c r="C1285" s="1">
        <v>45509</v>
      </c>
      <c r="D1285" t="s">
        <v>1871</v>
      </c>
      <c r="E1285" t="s">
        <v>18</v>
      </c>
      <c r="F1285" t="s">
        <v>19</v>
      </c>
      <c r="G1285" t="s">
        <v>1687</v>
      </c>
      <c r="H1285" t="s">
        <v>1872</v>
      </c>
      <c r="I1285" t="s">
        <v>22</v>
      </c>
      <c r="J1285">
        <v>0.92400000000000004</v>
      </c>
      <c r="K1285">
        <v>3</v>
      </c>
      <c r="L1285">
        <v>3</v>
      </c>
      <c r="M1285">
        <v>0.97</v>
      </c>
      <c r="N1285" t="s">
        <v>368</v>
      </c>
      <c r="O1285" s="1">
        <v>46604</v>
      </c>
      <c r="Q1285" t="s">
        <v>1873</v>
      </c>
      <c r="S1285" t="s">
        <v>915</v>
      </c>
      <c r="T1285" s="5" t="s">
        <v>940</v>
      </c>
      <c r="U1285" s="5" t="s">
        <v>947</v>
      </c>
      <c r="V1285" t="s">
        <v>956</v>
      </c>
      <c r="W1285" t="str">
        <f t="shared" si="20"/>
        <v>2000060800_20248</v>
      </c>
      <c r="X1285" s="2" t="s">
        <v>1616</v>
      </c>
    </row>
    <row r="1286" spans="1:24" hidden="1" x14ac:dyDescent="0.35">
      <c r="A1286">
        <v>95</v>
      </c>
      <c r="B1286">
        <v>2000060801</v>
      </c>
      <c r="C1286" s="1">
        <v>45272</v>
      </c>
      <c r="D1286" t="s">
        <v>653</v>
      </c>
      <c r="E1286" t="s">
        <v>18</v>
      </c>
      <c r="F1286" t="s">
        <v>39</v>
      </c>
      <c r="G1286" t="s">
        <v>20</v>
      </c>
      <c r="H1286" t="s">
        <v>654</v>
      </c>
      <c r="I1286" t="s">
        <v>41</v>
      </c>
      <c r="J1286">
        <v>0.88200000000000001</v>
      </c>
      <c r="K1286">
        <v>2.6</v>
      </c>
      <c r="L1286">
        <v>2</v>
      </c>
      <c r="M1286">
        <v>0.74</v>
      </c>
      <c r="N1286" t="s">
        <v>28</v>
      </c>
      <c r="O1286" s="1">
        <v>46003</v>
      </c>
      <c r="S1286" t="s">
        <v>915</v>
      </c>
      <c r="T1286" s="6" t="s">
        <v>949</v>
      </c>
      <c r="U1286" s="6" t="s">
        <v>949</v>
      </c>
      <c r="V1286" s="2" t="s">
        <v>955</v>
      </c>
      <c r="W1286" t="str">
        <f t="shared" si="20"/>
        <v>2000060801_202312</v>
      </c>
      <c r="X1286" s="2" t="s">
        <v>1615</v>
      </c>
    </row>
    <row r="1287" spans="1:24" hidden="1" x14ac:dyDescent="0.35">
      <c r="A1287">
        <v>23</v>
      </c>
      <c r="B1287">
        <v>2000061040</v>
      </c>
      <c r="C1287" s="1">
        <v>45014</v>
      </c>
      <c r="D1287" t="s">
        <v>561</v>
      </c>
      <c r="E1287" t="s">
        <v>18</v>
      </c>
      <c r="F1287" t="s">
        <v>148</v>
      </c>
      <c r="G1287" t="s">
        <v>245</v>
      </c>
      <c r="H1287" t="s">
        <v>562</v>
      </c>
      <c r="I1287" t="s">
        <v>148</v>
      </c>
      <c r="J1287">
        <v>0.83299999999999996</v>
      </c>
      <c r="K1287">
        <v>2.6</v>
      </c>
      <c r="L1287">
        <v>3</v>
      </c>
      <c r="M1287">
        <v>0.71</v>
      </c>
      <c r="N1287" t="s">
        <v>28</v>
      </c>
      <c r="O1287" s="1">
        <v>45745</v>
      </c>
      <c r="S1287" t="s">
        <v>915</v>
      </c>
      <c r="T1287" s="6" t="s">
        <v>941</v>
      </c>
      <c r="U1287" s="6" t="s">
        <v>937</v>
      </c>
      <c r="V1287" s="2" t="s">
        <v>955</v>
      </c>
      <c r="W1287" t="str">
        <f t="shared" si="20"/>
        <v>2000061040_20233</v>
      </c>
      <c r="X1287" s="2" t="s">
        <v>1615</v>
      </c>
    </row>
    <row r="1288" spans="1:24" hidden="1" x14ac:dyDescent="0.35">
      <c r="A1288">
        <v>32</v>
      </c>
      <c r="B1288">
        <v>2000056515</v>
      </c>
      <c r="C1288" s="1">
        <v>45763</v>
      </c>
      <c r="D1288" t="s">
        <v>3605</v>
      </c>
      <c r="E1288" t="s">
        <v>18</v>
      </c>
      <c r="F1288" t="s">
        <v>473</v>
      </c>
      <c r="G1288" t="s">
        <v>33</v>
      </c>
      <c r="H1288" t="s">
        <v>3606</v>
      </c>
      <c r="I1288" t="s">
        <v>41</v>
      </c>
      <c r="J1288">
        <v>0.94099999999999995</v>
      </c>
      <c r="K1288">
        <v>3</v>
      </c>
      <c r="L1288">
        <v>1</v>
      </c>
      <c r="M1288">
        <v>0.82</v>
      </c>
      <c r="N1288" t="s">
        <v>368</v>
      </c>
      <c r="O1288" s="1">
        <v>46859</v>
      </c>
      <c r="S1288" t="s">
        <v>915</v>
      </c>
      <c r="T1288" s="5" t="s">
        <v>946</v>
      </c>
      <c r="U1288" s="5" t="s">
        <v>928</v>
      </c>
      <c r="V1288" t="s">
        <v>1650</v>
      </c>
      <c r="W1288" t="str">
        <f t="shared" si="20"/>
        <v>2000056515_20254</v>
      </c>
      <c r="X1288" t="s">
        <v>1615</v>
      </c>
    </row>
    <row r="1289" spans="1:24" hidden="1" x14ac:dyDescent="0.35">
      <c r="A1289">
        <v>21</v>
      </c>
      <c r="B1289">
        <v>2000061047</v>
      </c>
      <c r="C1289" s="1">
        <v>45012</v>
      </c>
      <c r="D1289" t="s">
        <v>559</v>
      </c>
      <c r="E1289" t="s">
        <v>18</v>
      </c>
      <c r="F1289" t="s">
        <v>148</v>
      </c>
      <c r="G1289" t="s">
        <v>245</v>
      </c>
      <c r="H1289" t="s">
        <v>560</v>
      </c>
      <c r="I1289" t="s">
        <v>148</v>
      </c>
      <c r="J1289">
        <v>0.95499999999999996</v>
      </c>
      <c r="K1289">
        <v>2.7</v>
      </c>
      <c r="L1289">
        <v>1</v>
      </c>
      <c r="M1289">
        <v>0.61</v>
      </c>
      <c r="N1289" t="s">
        <v>28</v>
      </c>
      <c r="O1289" s="1">
        <v>45743</v>
      </c>
      <c r="S1289" t="s">
        <v>915</v>
      </c>
      <c r="T1289" s="6" t="s">
        <v>941</v>
      </c>
      <c r="U1289" s="6" t="s">
        <v>925</v>
      </c>
      <c r="V1289" s="2" t="s">
        <v>955</v>
      </c>
      <c r="W1289" t="str">
        <f t="shared" si="20"/>
        <v>2000061047_20233</v>
      </c>
      <c r="X1289" s="2" t="s">
        <v>1615</v>
      </c>
    </row>
    <row r="1290" spans="1:24" hidden="1" x14ac:dyDescent="0.35">
      <c r="A1290">
        <v>33</v>
      </c>
      <c r="B1290">
        <v>2000060701</v>
      </c>
      <c r="C1290" s="1">
        <v>45764</v>
      </c>
      <c r="D1290" t="s">
        <v>3607</v>
      </c>
      <c r="E1290" t="s">
        <v>18</v>
      </c>
      <c r="F1290" t="s">
        <v>19</v>
      </c>
      <c r="G1290" t="s">
        <v>553</v>
      </c>
      <c r="H1290" t="s">
        <v>3608</v>
      </c>
      <c r="I1290" t="s">
        <v>22</v>
      </c>
      <c r="J1290">
        <v>0.91</v>
      </c>
      <c r="K1290">
        <v>3</v>
      </c>
      <c r="L1290">
        <v>3</v>
      </c>
      <c r="M1290">
        <v>0.75</v>
      </c>
      <c r="N1290" t="s">
        <v>368</v>
      </c>
      <c r="O1290" s="1">
        <v>46860</v>
      </c>
      <c r="Q1290" t="s">
        <v>587</v>
      </c>
      <c r="S1290" t="s">
        <v>915</v>
      </c>
      <c r="T1290" s="5" t="s">
        <v>946</v>
      </c>
      <c r="U1290" s="5" t="s">
        <v>929</v>
      </c>
      <c r="V1290" t="s">
        <v>1650</v>
      </c>
      <c r="W1290" t="str">
        <f t="shared" si="20"/>
        <v>2000060701_20254</v>
      </c>
      <c r="X1290" t="s">
        <v>1615</v>
      </c>
    </row>
    <row r="1291" spans="1:24" hidden="1" x14ac:dyDescent="0.35">
      <c r="A1291">
        <v>2</v>
      </c>
      <c r="B1291">
        <v>2000061048</v>
      </c>
      <c r="C1291" s="1">
        <v>44931</v>
      </c>
      <c r="D1291" t="s">
        <v>535</v>
      </c>
      <c r="E1291" t="s">
        <v>18</v>
      </c>
      <c r="F1291" t="s">
        <v>148</v>
      </c>
      <c r="G1291" t="s">
        <v>116</v>
      </c>
      <c r="H1291" t="s">
        <v>536</v>
      </c>
      <c r="I1291" t="s">
        <v>148</v>
      </c>
      <c r="J1291">
        <v>0.87</v>
      </c>
      <c r="K1291">
        <v>2.5</v>
      </c>
      <c r="L1291">
        <v>3</v>
      </c>
      <c r="M1291">
        <v>0.53</v>
      </c>
      <c r="N1291" t="s">
        <v>28</v>
      </c>
      <c r="O1291" s="1">
        <v>45662</v>
      </c>
      <c r="S1291" t="s">
        <v>915</v>
      </c>
      <c r="T1291" s="6" t="s">
        <v>953</v>
      </c>
      <c r="U1291" s="6" t="s">
        <v>947</v>
      </c>
      <c r="V1291" s="2" t="s">
        <v>955</v>
      </c>
      <c r="W1291" t="str">
        <f t="shared" si="20"/>
        <v>2000061048_20231</v>
      </c>
      <c r="X1291" s="2" t="s">
        <v>1615</v>
      </c>
    </row>
    <row r="1292" spans="1:24" hidden="1" x14ac:dyDescent="0.35">
      <c r="A1292">
        <v>34</v>
      </c>
      <c r="B1292">
        <v>2000055754</v>
      </c>
      <c r="C1292" s="1">
        <v>45765</v>
      </c>
      <c r="D1292" t="s">
        <v>378</v>
      </c>
      <c r="E1292" t="s">
        <v>18</v>
      </c>
      <c r="F1292" t="s">
        <v>39</v>
      </c>
      <c r="G1292" t="s">
        <v>168</v>
      </c>
      <c r="H1292" t="s">
        <v>379</v>
      </c>
      <c r="I1292" t="s">
        <v>22</v>
      </c>
      <c r="J1292">
        <v>0.90600000000000003</v>
      </c>
      <c r="K1292">
        <v>2.6</v>
      </c>
      <c r="L1292">
        <v>2</v>
      </c>
      <c r="M1292">
        <v>0.68</v>
      </c>
      <c r="N1292" t="s">
        <v>28</v>
      </c>
      <c r="O1292" s="1">
        <v>46495</v>
      </c>
      <c r="S1292" t="s">
        <v>915</v>
      </c>
      <c r="T1292" s="5" t="s">
        <v>946</v>
      </c>
      <c r="U1292" s="5" t="s">
        <v>930</v>
      </c>
      <c r="V1292" t="s">
        <v>1650</v>
      </c>
      <c r="W1292" t="str">
        <f t="shared" si="20"/>
        <v>2000055754_20254</v>
      </c>
      <c r="X1292" t="s">
        <v>1615</v>
      </c>
    </row>
    <row r="1293" spans="1:24" hidden="1" x14ac:dyDescent="0.35">
      <c r="B1293">
        <v>2000061301</v>
      </c>
      <c r="C1293" s="1">
        <v>45099</v>
      </c>
      <c r="D1293" t="s">
        <v>3191</v>
      </c>
      <c r="F1293" t="s">
        <v>148</v>
      </c>
      <c r="G1293" t="s">
        <v>1603</v>
      </c>
      <c r="H1293" t="s">
        <v>3192</v>
      </c>
      <c r="I1293" t="s">
        <v>148</v>
      </c>
      <c r="J1293">
        <v>0.92900000000000005</v>
      </c>
      <c r="K1293">
        <v>3</v>
      </c>
      <c r="L1293">
        <v>2</v>
      </c>
      <c r="M1293">
        <v>0.82</v>
      </c>
      <c r="N1293" t="s">
        <v>2314</v>
      </c>
      <c r="O1293" s="1">
        <v>46195</v>
      </c>
      <c r="S1293" t="s">
        <v>915</v>
      </c>
      <c r="T1293" s="6" t="s">
        <v>927</v>
      </c>
      <c r="U1293" s="6" t="s">
        <v>933</v>
      </c>
      <c r="V1293" s="2" t="s">
        <v>955</v>
      </c>
      <c r="W1293" t="str">
        <f t="shared" si="20"/>
        <v>2000061301_20236</v>
      </c>
      <c r="X1293" s="2" t="s">
        <v>1616</v>
      </c>
    </row>
    <row r="1294" spans="1:24" hidden="1" x14ac:dyDescent="0.35">
      <c r="A1294">
        <v>32</v>
      </c>
      <c r="B1294">
        <v>2000061325</v>
      </c>
      <c r="C1294" s="1">
        <v>45408</v>
      </c>
      <c r="D1294" t="s">
        <v>1716</v>
      </c>
      <c r="E1294" t="s">
        <v>18</v>
      </c>
      <c r="F1294" t="s">
        <v>1602</v>
      </c>
      <c r="G1294" t="s">
        <v>1717</v>
      </c>
      <c r="H1294" t="s">
        <v>1718</v>
      </c>
      <c r="I1294" t="s">
        <v>41</v>
      </c>
      <c r="J1294">
        <v>0.97199999999999998</v>
      </c>
      <c r="K1294">
        <v>3</v>
      </c>
      <c r="L1294">
        <v>0</v>
      </c>
      <c r="M1294">
        <v>0.77</v>
      </c>
      <c r="N1294" t="s">
        <v>368</v>
      </c>
      <c r="O1294" s="1">
        <v>46503</v>
      </c>
      <c r="S1294" t="s">
        <v>915</v>
      </c>
      <c r="T1294" s="5" t="s">
        <v>946</v>
      </c>
      <c r="U1294" s="5" t="s">
        <v>924</v>
      </c>
      <c r="V1294" t="s">
        <v>956</v>
      </c>
      <c r="W1294" t="str">
        <f t="shared" si="20"/>
        <v>2000061325_20244</v>
      </c>
      <c r="X1294" s="2" t="s">
        <v>1616</v>
      </c>
    </row>
    <row r="1295" spans="1:24" hidden="1" x14ac:dyDescent="0.35">
      <c r="A1295">
        <v>61</v>
      </c>
      <c r="B1295">
        <v>2000055492</v>
      </c>
      <c r="C1295" s="1">
        <v>45772</v>
      </c>
      <c r="D1295" t="s">
        <v>2509</v>
      </c>
      <c r="E1295" t="s">
        <v>18</v>
      </c>
      <c r="F1295" t="s">
        <v>19</v>
      </c>
      <c r="G1295" t="s">
        <v>1708</v>
      </c>
      <c r="H1295" t="s">
        <v>2510</v>
      </c>
      <c r="I1295" t="s">
        <v>22</v>
      </c>
      <c r="J1295">
        <v>0.98899999999999999</v>
      </c>
      <c r="K1295">
        <v>3</v>
      </c>
      <c r="L1295">
        <v>1</v>
      </c>
      <c r="M1295">
        <v>0.88</v>
      </c>
      <c r="N1295" t="s">
        <v>2314</v>
      </c>
      <c r="O1295" s="1">
        <v>46868</v>
      </c>
      <c r="R1295" t="s">
        <v>1613</v>
      </c>
      <c r="S1295" t="s">
        <v>915</v>
      </c>
      <c r="T1295" s="6" t="s">
        <v>946</v>
      </c>
      <c r="U1295" s="6" t="s">
        <v>922</v>
      </c>
      <c r="V1295" s="2" t="s">
        <v>1650</v>
      </c>
      <c r="W1295" t="str">
        <f t="shared" si="20"/>
        <v>2000055492_20254</v>
      </c>
      <c r="X1295" t="s">
        <v>1616</v>
      </c>
    </row>
    <row r="1296" spans="1:24" hidden="1" x14ac:dyDescent="0.35">
      <c r="A1296">
        <v>35</v>
      </c>
      <c r="B1296">
        <v>2000056572</v>
      </c>
      <c r="C1296" s="1">
        <v>45768</v>
      </c>
      <c r="D1296" t="s">
        <v>402</v>
      </c>
      <c r="E1296" t="s">
        <v>18</v>
      </c>
      <c r="F1296" t="s">
        <v>52</v>
      </c>
      <c r="G1296" t="s">
        <v>3601</v>
      </c>
      <c r="H1296" t="s">
        <v>3609</v>
      </c>
      <c r="I1296" t="s">
        <v>41</v>
      </c>
      <c r="J1296">
        <v>0.81599999999999995</v>
      </c>
      <c r="K1296">
        <v>2.2999999999999998</v>
      </c>
      <c r="L1296">
        <v>6</v>
      </c>
      <c r="M1296">
        <v>0.82</v>
      </c>
      <c r="N1296" t="s">
        <v>28</v>
      </c>
      <c r="O1296" s="1">
        <v>46498</v>
      </c>
      <c r="S1296" t="s">
        <v>915</v>
      </c>
      <c r="T1296" s="5" t="s">
        <v>946</v>
      </c>
      <c r="U1296" s="5" t="s">
        <v>944</v>
      </c>
      <c r="V1296" t="s">
        <v>1650</v>
      </c>
      <c r="W1296" t="str">
        <f t="shared" si="20"/>
        <v>2000056572_20254</v>
      </c>
      <c r="X1296" t="s">
        <v>1615</v>
      </c>
    </row>
    <row r="1297" spans="1:24" hidden="1" x14ac:dyDescent="0.35">
      <c r="B1297">
        <v>2000061495</v>
      </c>
      <c r="C1297" s="1">
        <v>43754</v>
      </c>
      <c r="D1297" t="s">
        <v>3959</v>
      </c>
      <c r="F1297" t="s">
        <v>39</v>
      </c>
      <c r="G1297" t="s">
        <v>1606</v>
      </c>
      <c r="H1297" t="s">
        <v>2433</v>
      </c>
      <c r="I1297" t="s">
        <v>41</v>
      </c>
      <c r="J1297">
        <v>0.88600000000000001</v>
      </c>
      <c r="K1297">
        <v>2.4</v>
      </c>
      <c r="L1297">
        <v>4</v>
      </c>
      <c r="N1297" t="s">
        <v>2310</v>
      </c>
      <c r="O1297" s="1">
        <v>44485</v>
      </c>
      <c r="S1297" t="s">
        <v>915</v>
      </c>
      <c r="T1297" s="6" t="s">
        <v>948</v>
      </c>
      <c r="U1297" s="6" t="s">
        <v>928</v>
      </c>
      <c r="V1297" s="2" t="s">
        <v>1618</v>
      </c>
      <c r="W1297" t="str">
        <f t="shared" si="20"/>
        <v>2000061495_201910</v>
      </c>
      <c r="X1297" s="2" t="s">
        <v>1616</v>
      </c>
    </row>
    <row r="1298" spans="1:24" hidden="1" x14ac:dyDescent="0.35">
      <c r="B1298">
        <v>2000061495</v>
      </c>
      <c r="C1298" s="1">
        <v>44517</v>
      </c>
      <c r="D1298" t="s">
        <v>3959</v>
      </c>
      <c r="F1298" t="s">
        <v>39</v>
      </c>
      <c r="G1298" t="s">
        <v>1606</v>
      </c>
      <c r="H1298" t="s">
        <v>2434</v>
      </c>
      <c r="I1298" t="s">
        <v>41</v>
      </c>
      <c r="J1298">
        <v>0.85699999999999998</v>
      </c>
      <c r="K1298">
        <v>2.7</v>
      </c>
      <c r="L1298">
        <v>2</v>
      </c>
      <c r="M1298">
        <v>0.94</v>
      </c>
      <c r="N1298" t="s">
        <v>2310</v>
      </c>
      <c r="O1298" s="1">
        <v>45247</v>
      </c>
      <c r="S1298" t="s">
        <v>915</v>
      </c>
      <c r="T1298" s="6" t="s">
        <v>945</v>
      </c>
      <c r="U1298" s="6" t="s">
        <v>929</v>
      </c>
      <c r="V1298" s="2" t="s">
        <v>952</v>
      </c>
      <c r="W1298" t="str">
        <f t="shared" si="20"/>
        <v>2000061495_202111</v>
      </c>
      <c r="X1298" s="2" t="s">
        <v>1616</v>
      </c>
    </row>
    <row r="1299" spans="1:24" hidden="1" x14ac:dyDescent="0.35">
      <c r="B1299">
        <v>2000061495</v>
      </c>
      <c r="C1299" s="1">
        <v>45140</v>
      </c>
      <c r="D1299" t="s">
        <v>3959</v>
      </c>
      <c r="F1299" t="s">
        <v>39</v>
      </c>
      <c r="G1299" t="s">
        <v>1606</v>
      </c>
      <c r="H1299" t="s">
        <v>2434</v>
      </c>
      <c r="I1299" t="s">
        <v>41</v>
      </c>
      <c r="J1299">
        <v>0.9</v>
      </c>
      <c r="K1299">
        <v>2.6</v>
      </c>
      <c r="M1299">
        <v>0.91</v>
      </c>
      <c r="N1299" t="s">
        <v>2310</v>
      </c>
      <c r="O1299" s="1">
        <v>45871</v>
      </c>
      <c r="S1299" t="s">
        <v>915</v>
      </c>
      <c r="T1299" s="6" t="s">
        <v>940</v>
      </c>
      <c r="U1299" s="6" t="s">
        <v>921</v>
      </c>
      <c r="V1299" s="2" t="s">
        <v>955</v>
      </c>
      <c r="W1299" t="str">
        <f t="shared" si="20"/>
        <v>2000061495_20238</v>
      </c>
      <c r="X1299" s="2" t="s">
        <v>1616</v>
      </c>
    </row>
    <row r="1300" spans="1:24" hidden="1" x14ac:dyDescent="0.35">
      <c r="A1300">
        <v>11</v>
      </c>
      <c r="B1300">
        <v>2000061570</v>
      </c>
      <c r="C1300" s="1">
        <v>45370</v>
      </c>
      <c r="D1300" t="s">
        <v>1663</v>
      </c>
      <c r="E1300" t="s">
        <v>18</v>
      </c>
      <c r="F1300" t="s">
        <v>376</v>
      </c>
      <c r="G1300" t="s">
        <v>1657</v>
      </c>
      <c r="H1300" t="s">
        <v>1664</v>
      </c>
      <c r="I1300" t="s">
        <v>41</v>
      </c>
      <c r="J1300">
        <v>0.9</v>
      </c>
      <c r="K1300">
        <v>3</v>
      </c>
      <c r="L1300">
        <v>2</v>
      </c>
      <c r="M1300">
        <v>0.82</v>
      </c>
      <c r="N1300" t="s">
        <v>368</v>
      </c>
      <c r="O1300" s="1">
        <v>46465</v>
      </c>
      <c r="S1300" t="s">
        <v>915</v>
      </c>
      <c r="T1300" s="5" t="s">
        <v>941</v>
      </c>
      <c r="U1300" s="5" t="s">
        <v>931</v>
      </c>
      <c r="V1300" t="s">
        <v>956</v>
      </c>
      <c r="W1300" t="str">
        <f t="shared" si="20"/>
        <v>2000061570_20243</v>
      </c>
      <c r="X1300" s="2" t="s">
        <v>1616</v>
      </c>
    </row>
    <row r="1301" spans="1:24" hidden="1" x14ac:dyDescent="0.35">
      <c r="A1301">
        <v>9</v>
      </c>
      <c r="B1301">
        <v>2000061665</v>
      </c>
      <c r="C1301" s="1">
        <v>45369</v>
      </c>
      <c r="D1301" t="s">
        <v>1659</v>
      </c>
      <c r="E1301" t="s">
        <v>18</v>
      </c>
      <c r="F1301" t="s">
        <v>32</v>
      </c>
      <c r="G1301" t="s">
        <v>1657</v>
      </c>
      <c r="H1301" t="s">
        <v>1660</v>
      </c>
      <c r="I1301" t="s">
        <v>41</v>
      </c>
      <c r="J1301">
        <v>1</v>
      </c>
      <c r="K1301">
        <v>3</v>
      </c>
      <c r="L1301">
        <v>0</v>
      </c>
      <c r="M1301">
        <v>0.88</v>
      </c>
      <c r="N1301" t="s">
        <v>368</v>
      </c>
      <c r="O1301" s="1">
        <v>46464</v>
      </c>
      <c r="S1301" t="s">
        <v>915</v>
      </c>
      <c r="T1301" s="5" t="s">
        <v>941</v>
      </c>
      <c r="U1301" s="5" t="s">
        <v>930</v>
      </c>
      <c r="V1301" t="s">
        <v>956</v>
      </c>
      <c r="W1301" t="str">
        <f t="shared" si="20"/>
        <v>2000061665_20243</v>
      </c>
      <c r="X1301" s="2" t="s">
        <v>1616</v>
      </c>
    </row>
    <row r="1302" spans="1:24" hidden="1" x14ac:dyDescent="0.35">
      <c r="A1302">
        <v>62</v>
      </c>
      <c r="B1302">
        <v>2000057783</v>
      </c>
      <c r="C1302" s="1">
        <v>45789</v>
      </c>
      <c r="D1302" t="s">
        <v>2934</v>
      </c>
      <c r="E1302" t="s">
        <v>18</v>
      </c>
      <c r="F1302" t="s">
        <v>148</v>
      </c>
      <c r="G1302" t="s">
        <v>1603</v>
      </c>
      <c r="H1302" t="s">
        <v>2935</v>
      </c>
      <c r="I1302" t="s">
        <v>974</v>
      </c>
      <c r="J1302">
        <v>0.91700000000000004</v>
      </c>
      <c r="K1302">
        <v>3</v>
      </c>
      <c r="L1302">
        <v>4</v>
      </c>
      <c r="M1302">
        <v>0.79</v>
      </c>
      <c r="N1302" t="s">
        <v>2314</v>
      </c>
      <c r="O1302" s="1">
        <v>46885</v>
      </c>
      <c r="R1302" t="s">
        <v>3719</v>
      </c>
      <c r="S1302" t="s">
        <v>915</v>
      </c>
      <c r="T1302" s="5">
        <v>5</v>
      </c>
      <c r="U1302" s="5">
        <v>12</v>
      </c>
      <c r="V1302">
        <v>2025</v>
      </c>
      <c r="W1302" t="str">
        <f t="shared" si="20"/>
        <v>2000057783_20255</v>
      </c>
      <c r="X1302" t="s">
        <v>1616</v>
      </c>
    </row>
    <row r="1303" spans="1:24" hidden="1" x14ac:dyDescent="0.35">
      <c r="A1303">
        <v>35</v>
      </c>
      <c r="B1303">
        <v>2000061831</v>
      </c>
      <c r="C1303" s="1">
        <v>45036</v>
      </c>
      <c r="D1303" t="s">
        <v>574</v>
      </c>
      <c r="E1303" t="s">
        <v>18</v>
      </c>
      <c r="F1303" t="s">
        <v>39</v>
      </c>
      <c r="G1303" t="s">
        <v>20</v>
      </c>
      <c r="H1303" t="s">
        <v>575</v>
      </c>
      <c r="I1303" t="s">
        <v>41</v>
      </c>
      <c r="J1303">
        <v>0.84599999999999997</v>
      </c>
      <c r="K1303">
        <v>2.6</v>
      </c>
      <c r="L1303">
        <v>3</v>
      </c>
      <c r="M1303">
        <v>0.73</v>
      </c>
      <c r="N1303" t="s">
        <v>28</v>
      </c>
      <c r="O1303" s="1">
        <v>45767</v>
      </c>
      <c r="S1303" t="s">
        <v>915</v>
      </c>
      <c r="T1303" s="6" t="s">
        <v>946</v>
      </c>
      <c r="U1303" s="6" t="s">
        <v>932</v>
      </c>
      <c r="V1303" s="2" t="s">
        <v>955</v>
      </c>
      <c r="W1303" t="str">
        <f t="shared" si="20"/>
        <v>2000061831_20234</v>
      </c>
      <c r="X1303" s="2" t="s">
        <v>1615</v>
      </c>
    </row>
    <row r="1304" spans="1:24" hidden="1" x14ac:dyDescent="0.35">
      <c r="A1304">
        <v>36</v>
      </c>
      <c r="B1304">
        <v>2000062831</v>
      </c>
      <c r="C1304" s="1">
        <v>45768</v>
      </c>
      <c r="D1304" t="s">
        <v>688</v>
      </c>
      <c r="E1304" t="s">
        <v>18</v>
      </c>
      <c r="F1304" t="s">
        <v>148</v>
      </c>
      <c r="G1304" t="s">
        <v>3597</v>
      </c>
      <c r="H1304" t="s">
        <v>689</v>
      </c>
      <c r="I1304" t="s">
        <v>148</v>
      </c>
      <c r="J1304">
        <v>0.95799999999999996</v>
      </c>
      <c r="K1304">
        <v>3</v>
      </c>
      <c r="L1304">
        <v>1</v>
      </c>
      <c r="M1304">
        <v>0.75</v>
      </c>
      <c r="N1304" t="s">
        <v>368</v>
      </c>
      <c r="O1304" s="1">
        <v>46864</v>
      </c>
      <c r="S1304" t="s">
        <v>915</v>
      </c>
      <c r="T1304" s="5" t="s">
        <v>946</v>
      </c>
      <c r="U1304" s="5" t="s">
        <v>944</v>
      </c>
      <c r="V1304" t="s">
        <v>1650</v>
      </c>
      <c r="W1304" t="str">
        <f t="shared" si="20"/>
        <v>2000062831_20254</v>
      </c>
      <c r="X1304" t="s">
        <v>1615</v>
      </c>
    </row>
    <row r="1305" spans="1:24" hidden="1" x14ac:dyDescent="0.35">
      <c r="B1305">
        <v>2000061840</v>
      </c>
      <c r="C1305" s="1">
        <v>45056</v>
      </c>
      <c r="D1305" t="s">
        <v>3193</v>
      </c>
      <c r="F1305" t="s">
        <v>19</v>
      </c>
      <c r="G1305" t="s">
        <v>1606</v>
      </c>
      <c r="H1305" t="s">
        <v>3194</v>
      </c>
      <c r="I1305" t="s">
        <v>41</v>
      </c>
      <c r="J1305">
        <v>1</v>
      </c>
      <c r="K1305">
        <v>3</v>
      </c>
      <c r="L1305">
        <v>0</v>
      </c>
      <c r="M1305">
        <v>0.93</v>
      </c>
      <c r="N1305" t="s">
        <v>2314</v>
      </c>
      <c r="O1305" s="1">
        <v>46152</v>
      </c>
      <c r="S1305" t="s">
        <v>915</v>
      </c>
      <c r="T1305" s="6" t="s">
        <v>947</v>
      </c>
      <c r="U1305" s="6" t="s">
        <v>948</v>
      </c>
      <c r="V1305" s="2" t="s">
        <v>955</v>
      </c>
      <c r="W1305" t="str">
        <f t="shared" si="20"/>
        <v>2000061840_20235</v>
      </c>
      <c r="X1305" s="2" t="s">
        <v>1616</v>
      </c>
    </row>
    <row r="1306" spans="1:24" hidden="1" x14ac:dyDescent="0.35">
      <c r="A1306">
        <v>62</v>
      </c>
      <c r="B1306">
        <v>2000061855</v>
      </c>
      <c r="C1306" s="1">
        <v>45463</v>
      </c>
      <c r="D1306" t="s">
        <v>1796</v>
      </c>
      <c r="E1306" t="s">
        <v>18</v>
      </c>
      <c r="F1306" t="s">
        <v>19</v>
      </c>
      <c r="G1306" t="s">
        <v>1720</v>
      </c>
      <c r="H1306" t="s">
        <v>1797</v>
      </c>
      <c r="I1306" t="s">
        <v>22</v>
      </c>
      <c r="J1306">
        <v>1</v>
      </c>
      <c r="K1306">
        <v>3</v>
      </c>
      <c r="L1306">
        <v>0</v>
      </c>
      <c r="M1306">
        <v>0.98</v>
      </c>
      <c r="N1306" t="s">
        <v>368</v>
      </c>
      <c r="O1306" s="1">
        <v>46558</v>
      </c>
      <c r="Q1306" t="s">
        <v>1798</v>
      </c>
      <c r="R1306" t="s">
        <v>1613</v>
      </c>
      <c r="S1306" t="s">
        <v>915</v>
      </c>
      <c r="T1306" s="5" t="s">
        <v>927</v>
      </c>
      <c r="U1306" s="5" t="s">
        <v>932</v>
      </c>
      <c r="V1306" t="s">
        <v>956</v>
      </c>
      <c r="W1306" t="str">
        <f t="shared" si="20"/>
        <v>2000061855_20246</v>
      </c>
      <c r="X1306" s="2" t="s">
        <v>1616</v>
      </c>
    </row>
    <row r="1307" spans="1:24" hidden="1" x14ac:dyDescent="0.35">
      <c r="B1307">
        <v>2000061856</v>
      </c>
      <c r="C1307" s="1">
        <v>43398</v>
      </c>
      <c r="D1307" t="s">
        <v>2860</v>
      </c>
      <c r="F1307" t="s">
        <v>19</v>
      </c>
      <c r="G1307" t="s">
        <v>1820</v>
      </c>
      <c r="H1307" t="s">
        <v>2861</v>
      </c>
      <c r="I1307" t="s">
        <v>22</v>
      </c>
      <c r="J1307">
        <v>0.52</v>
      </c>
      <c r="K1307">
        <v>1.6</v>
      </c>
      <c r="L1307">
        <v>11</v>
      </c>
      <c r="N1307" t="str">
        <f>IF(K1307&gt;=2.1,"2 years",IF(K1307&gt;=1.1,"1 Year","06 Months"))</f>
        <v>1 Year</v>
      </c>
      <c r="O1307" s="1">
        <f>C1307+(365*1)</f>
        <v>43763</v>
      </c>
      <c r="S1307" t="s">
        <v>915</v>
      </c>
      <c r="T1307" s="6" t="s">
        <v>948</v>
      </c>
      <c r="U1307" s="6" t="s">
        <v>922</v>
      </c>
      <c r="V1307" s="2" t="s">
        <v>2475</v>
      </c>
      <c r="W1307" t="str">
        <f t="shared" si="20"/>
        <v>2000061856_201810</v>
      </c>
      <c r="X1307" s="2" t="s">
        <v>1616</v>
      </c>
    </row>
    <row r="1308" spans="1:24" hidden="1" x14ac:dyDescent="0.35">
      <c r="B1308">
        <v>2000061856</v>
      </c>
      <c r="C1308" s="1">
        <v>43726</v>
      </c>
      <c r="D1308" t="s">
        <v>2860</v>
      </c>
      <c r="F1308" t="s">
        <v>19</v>
      </c>
      <c r="G1308" t="s">
        <v>1820</v>
      </c>
      <c r="H1308" t="s">
        <v>2862</v>
      </c>
      <c r="I1308" t="s">
        <v>22</v>
      </c>
      <c r="J1308">
        <v>0.53200000000000003</v>
      </c>
      <c r="K1308">
        <v>2</v>
      </c>
      <c r="L1308">
        <v>13</v>
      </c>
      <c r="N1308" t="s">
        <v>23</v>
      </c>
      <c r="O1308" s="1">
        <v>44092</v>
      </c>
      <c r="S1308" t="s">
        <v>915</v>
      </c>
      <c r="T1308" s="6" t="s">
        <v>942</v>
      </c>
      <c r="U1308" s="6" t="s">
        <v>930</v>
      </c>
      <c r="V1308" s="2" t="s">
        <v>1618</v>
      </c>
      <c r="W1308" t="str">
        <f t="shared" si="20"/>
        <v>2000061856_20199</v>
      </c>
      <c r="X1308" s="2" t="s">
        <v>1616</v>
      </c>
    </row>
    <row r="1309" spans="1:24" hidden="1" x14ac:dyDescent="0.35">
      <c r="B1309">
        <v>2000061856</v>
      </c>
      <c r="C1309" s="1">
        <v>44092</v>
      </c>
      <c r="D1309" t="s">
        <v>2860</v>
      </c>
      <c r="F1309" t="s">
        <v>19</v>
      </c>
      <c r="G1309" t="s">
        <v>1720</v>
      </c>
      <c r="H1309" t="s">
        <v>2863</v>
      </c>
      <c r="I1309" t="s">
        <v>22</v>
      </c>
      <c r="J1309">
        <v>0.627</v>
      </c>
      <c r="K1309">
        <v>2.6</v>
      </c>
      <c r="L1309">
        <v>6</v>
      </c>
      <c r="M1309">
        <v>0.75</v>
      </c>
      <c r="N1309" t="s">
        <v>23</v>
      </c>
      <c r="O1309" s="1">
        <v>44457</v>
      </c>
      <c r="S1309" t="s">
        <v>915</v>
      </c>
      <c r="T1309" s="6" t="s">
        <v>942</v>
      </c>
      <c r="U1309" s="6" t="s">
        <v>930</v>
      </c>
      <c r="V1309" s="2" t="s">
        <v>923</v>
      </c>
      <c r="W1309" t="str">
        <f t="shared" si="20"/>
        <v>2000061856_20209</v>
      </c>
      <c r="X1309" s="2" t="s">
        <v>1616</v>
      </c>
    </row>
    <row r="1310" spans="1:24" hidden="1" x14ac:dyDescent="0.35">
      <c r="B1310">
        <v>2000061856</v>
      </c>
      <c r="C1310" s="1">
        <v>44531</v>
      </c>
      <c r="D1310" t="s">
        <v>2860</v>
      </c>
      <c r="F1310" t="s">
        <v>19</v>
      </c>
      <c r="G1310" t="s">
        <v>1720</v>
      </c>
      <c r="H1310" t="s">
        <v>2864</v>
      </c>
      <c r="I1310" t="s">
        <v>22</v>
      </c>
      <c r="J1310">
        <v>0.78700000000000003</v>
      </c>
      <c r="K1310">
        <v>2.4</v>
      </c>
      <c r="L1310">
        <v>7</v>
      </c>
      <c r="M1310">
        <v>0.66</v>
      </c>
      <c r="N1310" t="s">
        <v>2361</v>
      </c>
      <c r="O1310" s="1">
        <v>44896</v>
      </c>
      <c r="S1310" t="s">
        <v>915</v>
      </c>
      <c r="T1310" s="6" t="s">
        <v>949</v>
      </c>
      <c r="U1310" s="6" t="s">
        <v>953</v>
      </c>
      <c r="V1310" s="2" t="s">
        <v>952</v>
      </c>
      <c r="W1310" t="str">
        <f t="shared" si="20"/>
        <v>2000061856_202112</v>
      </c>
      <c r="X1310" s="2" t="s">
        <v>1616</v>
      </c>
    </row>
    <row r="1311" spans="1:24" hidden="1" x14ac:dyDescent="0.35">
      <c r="B1311">
        <v>2000061856</v>
      </c>
      <c r="C1311" s="1">
        <v>45124</v>
      </c>
      <c r="D1311" t="s">
        <v>2860</v>
      </c>
      <c r="F1311" t="s">
        <v>19</v>
      </c>
      <c r="G1311" t="s">
        <v>1820</v>
      </c>
      <c r="H1311" t="s">
        <v>2865</v>
      </c>
      <c r="I1311" t="s">
        <v>22</v>
      </c>
      <c r="J1311">
        <v>0.80400000000000005</v>
      </c>
      <c r="K1311">
        <v>2.6</v>
      </c>
      <c r="L1311">
        <v>4</v>
      </c>
      <c r="M1311">
        <v>0.79</v>
      </c>
      <c r="N1311" t="s">
        <v>2310</v>
      </c>
      <c r="O1311" s="1">
        <v>45855</v>
      </c>
      <c r="S1311" t="s">
        <v>915</v>
      </c>
      <c r="T1311" s="6" t="s">
        <v>936</v>
      </c>
      <c r="U1311" s="6" t="s">
        <v>929</v>
      </c>
      <c r="V1311" s="2" t="s">
        <v>955</v>
      </c>
      <c r="W1311" t="str">
        <f t="shared" si="20"/>
        <v>2000061856_20237</v>
      </c>
      <c r="X1311" s="2" t="s">
        <v>1616</v>
      </c>
    </row>
    <row r="1312" spans="1:24" hidden="1" x14ac:dyDescent="0.35">
      <c r="B1312">
        <v>2000061856</v>
      </c>
      <c r="C1312" s="1">
        <v>44687</v>
      </c>
      <c r="D1312" t="s">
        <v>2860</v>
      </c>
      <c r="F1312" t="s">
        <v>19</v>
      </c>
      <c r="G1312" t="s">
        <v>1720</v>
      </c>
      <c r="H1312" t="s">
        <v>3198</v>
      </c>
      <c r="I1312" t="s">
        <v>22</v>
      </c>
      <c r="J1312">
        <v>0.66</v>
      </c>
      <c r="K1312">
        <v>2</v>
      </c>
      <c r="L1312">
        <v>10</v>
      </c>
      <c r="M1312">
        <v>0.72</v>
      </c>
      <c r="N1312" t="s">
        <v>3199</v>
      </c>
      <c r="O1312" s="1">
        <v>44901</v>
      </c>
      <c r="S1312" t="s">
        <v>915</v>
      </c>
      <c r="T1312" s="6" t="s">
        <v>947</v>
      </c>
      <c r="U1312" s="6" t="s">
        <v>927</v>
      </c>
      <c r="V1312" s="2" t="s">
        <v>954</v>
      </c>
      <c r="W1312" t="str">
        <f t="shared" si="20"/>
        <v>2000061856_20225</v>
      </c>
      <c r="X1312" s="2" t="s">
        <v>1616</v>
      </c>
    </row>
    <row r="1313" spans="1:24" hidden="1" x14ac:dyDescent="0.35">
      <c r="A1313">
        <v>63</v>
      </c>
      <c r="B1313">
        <v>2000058386</v>
      </c>
      <c r="C1313" s="1">
        <v>45790</v>
      </c>
      <c r="D1313" t="s">
        <v>3720</v>
      </c>
      <c r="E1313" t="s">
        <v>18</v>
      </c>
      <c r="F1313" t="s">
        <v>32</v>
      </c>
      <c r="G1313" t="s">
        <v>1606</v>
      </c>
      <c r="H1313" t="s">
        <v>3721</v>
      </c>
      <c r="I1313" t="s">
        <v>41</v>
      </c>
      <c r="J1313">
        <v>0.96899999999999997</v>
      </c>
      <c r="K1313">
        <v>3</v>
      </c>
      <c r="L1313">
        <v>0</v>
      </c>
      <c r="M1313">
        <v>0.77</v>
      </c>
      <c r="N1313" t="s">
        <v>2314</v>
      </c>
      <c r="O1313" s="1">
        <v>46886</v>
      </c>
      <c r="R1313" t="s">
        <v>3722</v>
      </c>
      <c r="S1313" t="s">
        <v>915</v>
      </c>
      <c r="T1313" s="5">
        <v>5</v>
      </c>
      <c r="U1313" s="5">
        <v>13</v>
      </c>
      <c r="V1313">
        <v>2025</v>
      </c>
      <c r="W1313" t="str">
        <f t="shared" si="20"/>
        <v>2000058386_20255</v>
      </c>
      <c r="X1313" t="s">
        <v>1616</v>
      </c>
    </row>
    <row r="1314" spans="1:24" hidden="1" x14ac:dyDescent="0.35">
      <c r="A1314">
        <v>39</v>
      </c>
      <c r="B1314">
        <v>2000061975</v>
      </c>
      <c r="C1314" s="1">
        <v>45064</v>
      </c>
      <c r="D1314" t="s">
        <v>577</v>
      </c>
      <c r="E1314" t="s">
        <v>18</v>
      </c>
      <c r="F1314" t="s">
        <v>43</v>
      </c>
      <c r="G1314" t="s">
        <v>20</v>
      </c>
      <c r="H1314" t="s">
        <v>578</v>
      </c>
      <c r="I1314" t="s">
        <v>41</v>
      </c>
      <c r="J1314">
        <v>0.85</v>
      </c>
      <c r="K1314">
        <v>2.6</v>
      </c>
      <c r="L1314">
        <v>3</v>
      </c>
      <c r="M1314">
        <v>0.67</v>
      </c>
      <c r="N1314" t="s">
        <v>28</v>
      </c>
      <c r="O1314" s="1">
        <v>45795</v>
      </c>
      <c r="S1314" t="s">
        <v>915</v>
      </c>
      <c r="T1314" s="6" t="s">
        <v>947</v>
      </c>
      <c r="U1314" s="6" t="s">
        <v>930</v>
      </c>
      <c r="V1314" s="2" t="s">
        <v>955</v>
      </c>
      <c r="W1314" t="str">
        <f t="shared" si="20"/>
        <v>2000061975_20235</v>
      </c>
      <c r="X1314" s="2" t="s">
        <v>1615</v>
      </c>
    </row>
    <row r="1315" spans="1:24" hidden="1" x14ac:dyDescent="0.35">
      <c r="A1315">
        <v>37</v>
      </c>
      <c r="B1315">
        <v>2000061047</v>
      </c>
      <c r="C1315" s="1">
        <v>45769</v>
      </c>
      <c r="D1315" t="s">
        <v>559</v>
      </c>
      <c r="E1315" t="s">
        <v>18</v>
      </c>
      <c r="F1315" t="s">
        <v>148</v>
      </c>
      <c r="G1315" t="s">
        <v>3597</v>
      </c>
      <c r="H1315" t="s">
        <v>3610</v>
      </c>
      <c r="I1315" t="s">
        <v>148</v>
      </c>
      <c r="J1315">
        <v>0.875</v>
      </c>
      <c r="K1315">
        <v>2.75</v>
      </c>
      <c r="L1315">
        <v>1</v>
      </c>
      <c r="M1315">
        <v>0.53</v>
      </c>
      <c r="N1315" t="s">
        <v>28</v>
      </c>
      <c r="O1315" s="1">
        <v>46499</v>
      </c>
      <c r="S1315" t="s">
        <v>915</v>
      </c>
      <c r="T1315" s="5" t="s">
        <v>946</v>
      </c>
      <c r="U1315" s="5" t="s">
        <v>933</v>
      </c>
      <c r="V1315" t="s">
        <v>1650</v>
      </c>
      <c r="W1315" t="str">
        <f t="shared" si="20"/>
        <v>2000061047_20254</v>
      </c>
      <c r="X1315" t="s">
        <v>1615</v>
      </c>
    </row>
    <row r="1316" spans="1:24" hidden="1" x14ac:dyDescent="0.35">
      <c r="A1316">
        <v>121</v>
      </c>
      <c r="B1316">
        <v>2000062025</v>
      </c>
      <c r="C1316" s="1">
        <v>45559</v>
      </c>
      <c r="D1316" t="s">
        <v>1934</v>
      </c>
      <c r="E1316" t="s">
        <v>18</v>
      </c>
      <c r="F1316" t="s">
        <v>39</v>
      </c>
      <c r="G1316" t="s">
        <v>1606</v>
      </c>
      <c r="H1316" t="s">
        <v>1935</v>
      </c>
      <c r="I1316" t="s">
        <v>41</v>
      </c>
      <c r="J1316">
        <v>1</v>
      </c>
      <c r="K1316">
        <v>3</v>
      </c>
      <c r="L1316">
        <v>0</v>
      </c>
      <c r="M1316">
        <v>0.67</v>
      </c>
      <c r="N1316" t="s">
        <v>368</v>
      </c>
      <c r="O1316" s="1">
        <v>46654</v>
      </c>
      <c r="S1316" t="s">
        <v>915</v>
      </c>
      <c r="T1316" s="5" t="s">
        <v>942</v>
      </c>
      <c r="U1316" s="5" t="s">
        <v>935</v>
      </c>
      <c r="V1316" t="s">
        <v>956</v>
      </c>
      <c r="W1316" t="str">
        <f t="shared" si="20"/>
        <v>2000062025_20249</v>
      </c>
      <c r="X1316" s="2" t="s">
        <v>1616</v>
      </c>
    </row>
    <row r="1317" spans="1:24" hidden="1" x14ac:dyDescent="0.35">
      <c r="A1317">
        <v>22</v>
      </c>
      <c r="B1317">
        <v>2000062026</v>
      </c>
      <c r="C1317" s="1">
        <v>45393</v>
      </c>
      <c r="D1317" t="s">
        <v>1693</v>
      </c>
      <c r="E1317" t="s">
        <v>18</v>
      </c>
      <c r="F1317" t="s">
        <v>43</v>
      </c>
      <c r="G1317" t="s">
        <v>1606</v>
      </c>
      <c r="H1317" t="s">
        <v>1694</v>
      </c>
      <c r="I1317" t="s">
        <v>41</v>
      </c>
      <c r="J1317">
        <v>0.97199999999999998</v>
      </c>
      <c r="K1317">
        <v>3</v>
      </c>
      <c r="L1317">
        <v>0</v>
      </c>
      <c r="M1317">
        <v>0.89</v>
      </c>
      <c r="N1317" t="s">
        <v>368</v>
      </c>
      <c r="O1317" s="1">
        <v>46488</v>
      </c>
      <c r="S1317" t="s">
        <v>915</v>
      </c>
      <c r="T1317" s="5" t="s">
        <v>946</v>
      </c>
      <c r="U1317" s="5" t="s">
        <v>945</v>
      </c>
      <c r="V1317" t="s">
        <v>956</v>
      </c>
      <c r="W1317" t="str">
        <f t="shared" si="20"/>
        <v>2000062026_20244</v>
      </c>
      <c r="X1317" s="2" t="s">
        <v>1616</v>
      </c>
    </row>
    <row r="1318" spans="1:24" hidden="1" x14ac:dyDescent="0.35">
      <c r="A1318">
        <v>47</v>
      </c>
      <c r="B1318">
        <v>2000062033</v>
      </c>
      <c r="C1318" s="1">
        <v>45434</v>
      </c>
      <c r="D1318" t="s">
        <v>1763</v>
      </c>
      <c r="E1318" t="s">
        <v>18</v>
      </c>
      <c r="F1318" t="s">
        <v>148</v>
      </c>
      <c r="G1318" t="s">
        <v>1764</v>
      </c>
      <c r="H1318" t="s">
        <v>1765</v>
      </c>
      <c r="I1318" t="s">
        <v>148</v>
      </c>
      <c r="J1318">
        <v>0.85</v>
      </c>
      <c r="K1318">
        <v>3</v>
      </c>
      <c r="L1318">
        <v>2</v>
      </c>
      <c r="M1318">
        <v>0.72</v>
      </c>
      <c r="N1318" t="s">
        <v>28</v>
      </c>
      <c r="O1318" s="1">
        <v>46164</v>
      </c>
      <c r="S1318" t="s">
        <v>915</v>
      </c>
      <c r="T1318" s="5" t="s">
        <v>947</v>
      </c>
      <c r="U1318" s="5" t="s">
        <v>933</v>
      </c>
      <c r="V1318" t="s">
        <v>956</v>
      </c>
      <c r="W1318" t="str">
        <f t="shared" si="20"/>
        <v>2000062033_20245</v>
      </c>
      <c r="X1318" s="2" t="s">
        <v>1616</v>
      </c>
    </row>
    <row r="1319" spans="1:24" hidden="1" x14ac:dyDescent="0.35">
      <c r="A1319">
        <v>68</v>
      </c>
      <c r="B1319">
        <v>2000062065</v>
      </c>
      <c r="C1319" s="1">
        <v>45190</v>
      </c>
      <c r="D1319" t="s">
        <v>616</v>
      </c>
      <c r="E1319" t="s">
        <v>18</v>
      </c>
      <c r="F1319" t="s">
        <v>473</v>
      </c>
      <c r="G1319" t="s">
        <v>20</v>
      </c>
      <c r="H1319" t="s">
        <v>617</v>
      </c>
      <c r="I1319" t="s">
        <v>22</v>
      </c>
      <c r="J1319">
        <v>0.82599999999999996</v>
      </c>
      <c r="K1319">
        <v>2.4</v>
      </c>
      <c r="L1319">
        <v>6</v>
      </c>
      <c r="M1319">
        <v>0.94</v>
      </c>
      <c r="N1319" t="s">
        <v>28</v>
      </c>
      <c r="O1319" s="1">
        <v>45921</v>
      </c>
      <c r="Q1319" t="s">
        <v>618</v>
      </c>
      <c r="S1319" t="s">
        <v>915</v>
      </c>
      <c r="T1319" s="6" t="s">
        <v>942</v>
      </c>
      <c r="U1319" s="6" t="s">
        <v>944</v>
      </c>
      <c r="V1319" s="2" t="s">
        <v>955</v>
      </c>
      <c r="W1319" t="str">
        <f t="shared" si="20"/>
        <v>2000062065_20239</v>
      </c>
      <c r="X1319" s="2" t="s">
        <v>1615</v>
      </c>
    </row>
    <row r="1320" spans="1:24" hidden="1" x14ac:dyDescent="0.35">
      <c r="A1320">
        <v>28</v>
      </c>
      <c r="B1320">
        <v>2000062090</v>
      </c>
      <c r="C1320" s="1">
        <v>45027</v>
      </c>
      <c r="D1320" t="s">
        <v>567</v>
      </c>
      <c r="E1320" t="s">
        <v>18</v>
      </c>
      <c r="F1320" t="s">
        <v>43</v>
      </c>
      <c r="G1320" t="s">
        <v>20</v>
      </c>
      <c r="H1320" t="s">
        <v>568</v>
      </c>
      <c r="I1320" t="s">
        <v>41</v>
      </c>
      <c r="J1320">
        <v>0.97799999999999998</v>
      </c>
      <c r="K1320">
        <v>2.6</v>
      </c>
      <c r="L1320">
        <v>1</v>
      </c>
      <c r="M1320">
        <v>0.95</v>
      </c>
      <c r="N1320" t="s">
        <v>28</v>
      </c>
      <c r="O1320" s="1">
        <v>45758</v>
      </c>
      <c r="S1320" t="s">
        <v>915</v>
      </c>
      <c r="T1320" s="6" t="s">
        <v>946</v>
      </c>
      <c r="U1320" s="6" t="s">
        <v>945</v>
      </c>
      <c r="V1320" s="2" t="s">
        <v>955</v>
      </c>
      <c r="W1320" t="str">
        <f t="shared" si="20"/>
        <v>2000062090_20234</v>
      </c>
      <c r="X1320" s="2" t="s">
        <v>1615</v>
      </c>
    </row>
    <row r="1321" spans="1:24" hidden="1" x14ac:dyDescent="0.35">
      <c r="A1321">
        <v>38</v>
      </c>
      <c r="B1321">
        <v>2000056414</v>
      </c>
      <c r="C1321" s="1">
        <v>45769</v>
      </c>
      <c r="D1321" t="s">
        <v>286</v>
      </c>
      <c r="E1321" t="s">
        <v>18</v>
      </c>
      <c r="F1321" t="s">
        <v>32</v>
      </c>
      <c r="G1321" t="s">
        <v>3597</v>
      </c>
      <c r="H1321" t="s">
        <v>3611</v>
      </c>
      <c r="I1321" t="s">
        <v>41</v>
      </c>
      <c r="J1321">
        <v>0.93799999999999994</v>
      </c>
      <c r="K1321">
        <v>2.7</v>
      </c>
      <c r="L1321">
        <v>4</v>
      </c>
      <c r="M1321">
        <v>0.68</v>
      </c>
      <c r="N1321" t="s">
        <v>28</v>
      </c>
      <c r="O1321" s="1">
        <v>46499</v>
      </c>
      <c r="S1321" t="s">
        <v>915</v>
      </c>
      <c r="T1321" s="5" t="s">
        <v>946</v>
      </c>
      <c r="U1321" s="5" t="s">
        <v>933</v>
      </c>
      <c r="V1321" t="s">
        <v>1650</v>
      </c>
      <c r="W1321" t="str">
        <f t="shared" si="20"/>
        <v>2000056414_20254</v>
      </c>
      <c r="X1321" t="s">
        <v>1615</v>
      </c>
    </row>
    <row r="1322" spans="1:24" hidden="1" x14ac:dyDescent="0.35">
      <c r="B1322">
        <v>2000062236</v>
      </c>
      <c r="C1322" s="1">
        <v>44728</v>
      </c>
      <c r="D1322" t="s">
        <v>3980</v>
      </c>
      <c r="F1322" t="s">
        <v>43</v>
      </c>
      <c r="G1322" t="s">
        <v>1720</v>
      </c>
      <c r="H1322" t="s">
        <v>3197</v>
      </c>
      <c r="I1322" t="s">
        <v>22</v>
      </c>
      <c r="J1322">
        <v>0.95199999999999996</v>
      </c>
      <c r="K1322">
        <v>3</v>
      </c>
      <c r="L1322">
        <v>2</v>
      </c>
      <c r="M1322">
        <v>0.92</v>
      </c>
      <c r="N1322" t="s">
        <v>2314</v>
      </c>
      <c r="O1322" s="1">
        <v>45824</v>
      </c>
      <c r="S1322" t="s">
        <v>915</v>
      </c>
      <c r="T1322" s="6" t="s">
        <v>927</v>
      </c>
      <c r="U1322" s="6" t="s">
        <v>928</v>
      </c>
      <c r="V1322" s="2" t="s">
        <v>954</v>
      </c>
      <c r="W1322" t="str">
        <f t="shared" si="20"/>
        <v>2000062236_20226</v>
      </c>
      <c r="X1322" s="2" t="s">
        <v>1616</v>
      </c>
    </row>
    <row r="1323" spans="1:24" hidden="1" x14ac:dyDescent="0.35">
      <c r="A1323">
        <v>90</v>
      </c>
      <c r="B1323">
        <v>2000062388</v>
      </c>
      <c r="C1323" s="1">
        <v>45261</v>
      </c>
      <c r="D1323" t="s">
        <v>641</v>
      </c>
      <c r="E1323" t="s">
        <v>18</v>
      </c>
      <c r="F1323" t="s">
        <v>39</v>
      </c>
      <c r="G1323" t="s">
        <v>20</v>
      </c>
      <c r="H1323" t="s">
        <v>642</v>
      </c>
      <c r="I1323" t="s">
        <v>41</v>
      </c>
      <c r="J1323">
        <v>0.76500000000000001</v>
      </c>
      <c r="K1323">
        <v>2.2999999999999998</v>
      </c>
      <c r="L1323">
        <v>6</v>
      </c>
      <c r="M1323">
        <v>0.84</v>
      </c>
      <c r="N1323" t="s">
        <v>23</v>
      </c>
      <c r="O1323" s="1">
        <v>45627</v>
      </c>
      <c r="S1323" t="s">
        <v>915</v>
      </c>
      <c r="T1323" s="6" t="s">
        <v>949</v>
      </c>
      <c r="U1323" s="6" t="s">
        <v>953</v>
      </c>
      <c r="V1323" s="2" t="s">
        <v>955</v>
      </c>
      <c r="W1323" t="str">
        <f t="shared" si="20"/>
        <v>2000062388_202312</v>
      </c>
      <c r="X1323" s="2" t="s">
        <v>1615</v>
      </c>
    </row>
    <row r="1324" spans="1:24" hidden="1" x14ac:dyDescent="0.35">
      <c r="A1324">
        <v>39</v>
      </c>
      <c r="B1324">
        <v>2000058279</v>
      </c>
      <c r="C1324" s="1">
        <v>45770</v>
      </c>
      <c r="D1324" t="s">
        <v>391</v>
      </c>
      <c r="E1324" t="s">
        <v>18</v>
      </c>
      <c r="F1324" t="s">
        <v>148</v>
      </c>
      <c r="G1324" t="s">
        <v>238</v>
      </c>
      <c r="H1324" t="s">
        <v>392</v>
      </c>
      <c r="I1324" t="s">
        <v>148</v>
      </c>
      <c r="J1324">
        <v>0.91700000000000004</v>
      </c>
      <c r="K1324">
        <v>3</v>
      </c>
      <c r="L1324">
        <v>2</v>
      </c>
      <c r="M1324">
        <v>0.6</v>
      </c>
      <c r="N1324" t="s">
        <v>368</v>
      </c>
      <c r="O1324" s="1">
        <v>46866</v>
      </c>
      <c r="S1324" t="s">
        <v>915</v>
      </c>
      <c r="T1324" s="5" t="s">
        <v>946</v>
      </c>
      <c r="U1324" s="5" t="s">
        <v>934</v>
      </c>
      <c r="V1324" t="s">
        <v>1650</v>
      </c>
      <c r="W1324" t="str">
        <f t="shared" si="20"/>
        <v>2000058279_20254</v>
      </c>
      <c r="X1324" t="s">
        <v>1615</v>
      </c>
    </row>
    <row r="1325" spans="1:24" hidden="1" x14ac:dyDescent="0.35">
      <c r="A1325">
        <v>54</v>
      </c>
      <c r="B1325">
        <v>2000062530</v>
      </c>
      <c r="C1325" s="1">
        <v>45147</v>
      </c>
      <c r="D1325" t="s">
        <v>598</v>
      </c>
      <c r="E1325" t="s">
        <v>18</v>
      </c>
      <c r="F1325" t="s">
        <v>39</v>
      </c>
      <c r="G1325" t="s">
        <v>149</v>
      </c>
      <c r="H1325" t="s">
        <v>599</v>
      </c>
      <c r="I1325" t="s">
        <v>41</v>
      </c>
      <c r="J1325">
        <v>0.65400000000000003</v>
      </c>
      <c r="K1325">
        <v>2.4500000000000002</v>
      </c>
      <c r="L1325">
        <v>4</v>
      </c>
      <c r="M1325">
        <v>0.72</v>
      </c>
      <c r="N1325" t="s">
        <v>23</v>
      </c>
      <c r="O1325" s="1">
        <v>45513</v>
      </c>
      <c r="S1325" t="s">
        <v>915</v>
      </c>
      <c r="T1325" s="6" t="s">
        <v>940</v>
      </c>
      <c r="U1325" s="6" t="s">
        <v>942</v>
      </c>
      <c r="V1325" s="2" t="s">
        <v>955</v>
      </c>
      <c r="W1325" t="str">
        <f t="shared" si="20"/>
        <v>2000062530_20238</v>
      </c>
      <c r="X1325" s="2" t="s">
        <v>1615</v>
      </c>
    </row>
    <row r="1326" spans="1:24" hidden="1" x14ac:dyDescent="0.35">
      <c r="A1326">
        <v>17</v>
      </c>
      <c r="B1326">
        <v>2000062831</v>
      </c>
      <c r="C1326" s="1">
        <v>45385</v>
      </c>
      <c r="D1326" t="s">
        <v>688</v>
      </c>
      <c r="E1326" t="s">
        <v>18</v>
      </c>
      <c r="F1326" t="s">
        <v>148</v>
      </c>
      <c r="G1326" t="s">
        <v>245</v>
      </c>
      <c r="H1326" t="s">
        <v>689</v>
      </c>
      <c r="I1326" t="s">
        <v>148</v>
      </c>
      <c r="J1326">
        <v>0.75</v>
      </c>
      <c r="K1326">
        <v>2.75</v>
      </c>
      <c r="L1326">
        <v>2</v>
      </c>
      <c r="M1326">
        <v>0.62</v>
      </c>
      <c r="N1326" t="s">
        <v>23</v>
      </c>
      <c r="O1326" s="1">
        <v>45750</v>
      </c>
      <c r="S1326" t="s">
        <v>915</v>
      </c>
      <c r="T1326" s="6" t="s">
        <v>946</v>
      </c>
      <c r="U1326" s="6" t="s">
        <v>941</v>
      </c>
      <c r="V1326" s="2" t="s">
        <v>956</v>
      </c>
      <c r="W1326" t="str">
        <f t="shared" si="20"/>
        <v>2000062831_20244</v>
      </c>
      <c r="X1326" s="2" t="s">
        <v>1615</v>
      </c>
    </row>
    <row r="1327" spans="1:24" hidden="1" x14ac:dyDescent="0.35">
      <c r="A1327">
        <v>40</v>
      </c>
      <c r="B1327">
        <v>2000057952</v>
      </c>
      <c r="C1327" s="1">
        <v>45793</v>
      </c>
      <c r="D1327" t="s">
        <v>3717</v>
      </c>
      <c r="E1327" t="s">
        <v>18</v>
      </c>
      <c r="F1327" t="s">
        <v>19</v>
      </c>
      <c r="G1327" t="s">
        <v>33</v>
      </c>
      <c r="H1327" t="s">
        <v>3718</v>
      </c>
      <c r="I1327" t="s">
        <v>22</v>
      </c>
      <c r="J1327">
        <v>0.85</v>
      </c>
      <c r="K1327">
        <v>3</v>
      </c>
      <c r="L1327">
        <v>1</v>
      </c>
      <c r="M1327">
        <v>0.96</v>
      </c>
      <c r="N1327" t="s">
        <v>28</v>
      </c>
      <c r="O1327" s="1">
        <v>46523</v>
      </c>
      <c r="Q1327" t="s">
        <v>323</v>
      </c>
      <c r="R1327" t="s">
        <v>1613</v>
      </c>
      <c r="S1327" t="s">
        <v>915</v>
      </c>
      <c r="T1327" s="8">
        <v>5</v>
      </c>
      <c r="U1327" s="8">
        <v>16</v>
      </c>
      <c r="V1327" s="8">
        <v>2025</v>
      </c>
      <c r="W1327" t="str">
        <f t="shared" si="20"/>
        <v>2000057952_20255</v>
      </c>
      <c r="X1327" t="s">
        <v>1615</v>
      </c>
    </row>
    <row r="1328" spans="1:24" hidden="1" x14ac:dyDescent="0.35">
      <c r="B1328">
        <v>2000062884</v>
      </c>
      <c r="C1328" s="1">
        <v>45040</v>
      </c>
      <c r="D1328" t="s">
        <v>2974</v>
      </c>
      <c r="F1328" t="s">
        <v>376</v>
      </c>
      <c r="G1328" t="s">
        <v>1764</v>
      </c>
      <c r="H1328" t="s">
        <v>2975</v>
      </c>
      <c r="I1328" t="s">
        <v>41</v>
      </c>
      <c r="J1328">
        <v>0.95199999999999996</v>
      </c>
      <c r="K1328">
        <v>3</v>
      </c>
      <c r="L1328">
        <v>1</v>
      </c>
      <c r="M1328">
        <v>0.8</v>
      </c>
      <c r="N1328" t="s">
        <v>2314</v>
      </c>
      <c r="O1328" s="1">
        <v>46136</v>
      </c>
      <c r="S1328" t="s">
        <v>915</v>
      </c>
      <c r="T1328" s="6" t="s">
        <v>946</v>
      </c>
      <c r="U1328" s="6" t="s">
        <v>935</v>
      </c>
      <c r="V1328" s="2" t="s">
        <v>955</v>
      </c>
      <c r="W1328" t="str">
        <f t="shared" si="20"/>
        <v>2000062884_20234</v>
      </c>
      <c r="X1328" s="2" t="s">
        <v>1616</v>
      </c>
    </row>
    <row r="1329" spans="1:24" hidden="1" x14ac:dyDescent="0.35">
      <c r="B1329">
        <v>2000062884</v>
      </c>
      <c r="C1329" s="1">
        <v>44502</v>
      </c>
      <c r="D1329" t="s">
        <v>2974</v>
      </c>
      <c r="F1329" t="s">
        <v>52</v>
      </c>
      <c r="G1329" t="s">
        <v>1764</v>
      </c>
      <c r="H1329" t="s">
        <v>3068</v>
      </c>
      <c r="I1329" t="s">
        <v>41</v>
      </c>
      <c r="J1329">
        <v>0.9</v>
      </c>
      <c r="K1329">
        <v>2.7</v>
      </c>
      <c r="L1329">
        <v>3</v>
      </c>
      <c r="M1329">
        <v>0.8</v>
      </c>
      <c r="N1329" t="s">
        <v>2310</v>
      </c>
      <c r="O1329" s="1">
        <v>45232</v>
      </c>
      <c r="S1329" t="s">
        <v>915</v>
      </c>
      <c r="T1329" s="6" t="s">
        <v>945</v>
      </c>
      <c r="U1329" s="6" t="s">
        <v>921</v>
      </c>
      <c r="V1329" s="2" t="s">
        <v>952</v>
      </c>
      <c r="W1329" t="str">
        <f t="shared" si="20"/>
        <v>2000062884_202111</v>
      </c>
      <c r="X1329" s="2" t="s">
        <v>1616</v>
      </c>
    </row>
    <row r="1330" spans="1:24" hidden="1" x14ac:dyDescent="0.35">
      <c r="A1330">
        <v>83</v>
      </c>
      <c r="B1330">
        <v>2000062885</v>
      </c>
      <c r="C1330" s="1">
        <v>45491</v>
      </c>
      <c r="D1330" t="s">
        <v>1844</v>
      </c>
      <c r="E1330" t="s">
        <v>18</v>
      </c>
      <c r="F1330" t="s">
        <v>376</v>
      </c>
      <c r="G1330" t="s">
        <v>1687</v>
      </c>
      <c r="H1330" t="s">
        <v>1845</v>
      </c>
      <c r="I1330" t="s">
        <v>41</v>
      </c>
      <c r="J1330">
        <v>0.95699999999999996</v>
      </c>
      <c r="K1330">
        <v>3</v>
      </c>
      <c r="L1330">
        <v>1</v>
      </c>
      <c r="M1330">
        <v>0.8</v>
      </c>
      <c r="N1330" t="s">
        <v>368</v>
      </c>
      <c r="O1330" s="1">
        <v>46586</v>
      </c>
      <c r="S1330" t="s">
        <v>915</v>
      </c>
      <c r="T1330" s="5" t="s">
        <v>936</v>
      </c>
      <c r="U1330" s="5" t="s">
        <v>930</v>
      </c>
      <c r="V1330" t="s">
        <v>956</v>
      </c>
      <c r="W1330" t="str">
        <f t="shared" si="20"/>
        <v>2000062885_20247</v>
      </c>
      <c r="X1330" s="2" t="s">
        <v>1616</v>
      </c>
    </row>
    <row r="1331" spans="1:24" hidden="1" x14ac:dyDescent="0.35">
      <c r="B1331">
        <v>2000062886</v>
      </c>
      <c r="C1331" s="1">
        <v>44203</v>
      </c>
      <c r="D1331" t="s">
        <v>2594</v>
      </c>
      <c r="F1331" t="s">
        <v>52</v>
      </c>
      <c r="G1331" t="s">
        <v>1603</v>
      </c>
      <c r="H1331" t="s">
        <v>2595</v>
      </c>
      <c r="I1331" t="s">
        <v>41</v>
      </c>
      <c r="J1331">
        <v>0.95499999999999996</v>
      </c>
      <c r="K1331">
        <v>2.7</v>
      </c>
      <c r="L1331">
        <v>1</v>
      </c>
      <c r="M1331">
        <v>0.8</v>
      </c>
      <c r="N1331" t="s">
        <v>2310</v>
      </c>
      <c r="O1331" s="1">
        <v>44933</v>
      </c>
      <c r="S1331" t="s">
        <v>915</v>
      </c>
      <c r="T1331" s="6" t="s">
        <v>953</v>
      </c>
      <c r="U1331" s="6" t="s">
        <v>936</v>
      </c>
      <c r="V1331" s="2" t="s">
        <v>952</v>
      </c>
      <c r="W1331" t="str">
        <f t="shared" si="20"/>
        <v>2000062886_20211</v>
      </c>
      <c r="X1331" s="2" t="s">
        <v>1616</v>
      </c>
    </row>
    <row r="1332" spans="1:24" hidden="1" x14ac:dyDescent="0.35">
      <c r="B1332">
        <v>2000062886</v>
      </c>
      <c r="C1332" s="1">
        <v>45029</v>
      </c>
      <c r="D1332" t="s">
        <v>2594</v>
      </c>
      <c r="F1332" t="s">
        <v>1602</v>
      </c>
      <c r="G1332" t="s">
        <v>1603</v>
      </c>
      <c r="H1332" t="s">
        <v>2596</v>
      </c>
      <c r="I1332" t="s">
        <v>41</v>
      </c>
      <c r="J1332">
        <v>1</v>
      </c>
      <c r="K1332">
        <v>3</v>
      </c>
      <c r="L1332">
        <v>0</v>
      </c>
      <c r="M1332">
        <v>0.9</v>
      </c>
      <c r="N1332" t="s">
        <v>2314</v>
      </c>
      <c r="O1332" s="1">
        <v>46125</v>
      </c>
      <c r="S1332" t="s">
        <v>915</v>
      </c>
      <c r="T1332" s="6" t="s">
        <v>946</v>
      </c>
      <c r="U1332" s="6" t="s">
        <v>950</v>
      </c>
      <c r="V1332" s="2" t="s">
        <v>955</v>
      </c>
      <c r="W1332" t="str">
        <f t="shared" si="20"/>
        <v>2000062886_20234</v>
      </c>
      <c r="X1332" s="2" t="s">
        <v>1616</v>
      </c>
    </row>
    <row r="1333" spans="1:24" hidden="1" x14ac:dyDescent="0.35">
      <c r="B1333">
        <v>2000062902</v>
      </c>
      <c r="C1333" s="1">
        <v>45175</v>
      </c>
      <c r="D1333" t="s">
        <v>2989</v>
      </c>
      <c r="F1333" t="s">
        <v>376</v>
      </c>
      <c r="G1333" t="s">
        <v>1764</v>
      </c>
      <c r="H1333" t="s">
        <v>2990</v>
      </c>
      <c r="I1333" t="s">
        <v>22</v>
      </c>
      <c r="J1333">
        <v>0.90400000000000003</v>
      </c>
      <c r="K1333">
        <v>3</v>
      </c>
      <c r="M1333">
        <v>0.83</v>
      </c>
      <c r="N1333" t="s">
        <v>2314</v>
      </c>
      <c r="O1333" s="1">
        <v>46271</v>
      </c>
      <c r="S1333" t="s">
        <v>915</v>
      </c>
      <c r="T1333" s="6" t="s">
        <v>942</v>
      </c>
      <c r="U1333" s="6" t="s">
        <v>927</v>
      </c>
      <c r="V1333" s="2" t="s">
        <v>955</v>
      </c>
      <c r="W1333" t="str">
        <f t="shared" si="20"/>
        <v>2000062902_20239</v>
      </c>
      <c r="X1333" s="2" t="s">
        <v>1616</v>
      </c>
    </row>
    <row r="1334" spans="1:24" hidden="1" x14ac:dyDescent="0.35">
      <c r="A1334">
        <v>64</v>
      </c>
      <c r="B1334">
        <v>2000063046</v>
      </c>
      <c r="C1334" s="1">
        <v>45467</v>
      </c>
      <c r="D1334" t="s">
        <v>1801</v>
      </c>
      <c r="E1334" t="s">
        <v>18</v>
      </c>
      <c r="F1334" t="s">
        <v>39</v>
      </c>
      <c r="G1334" t="s">
        <v>1606</v>
      </c>
      <c r="H1334" t="s">
        <v>1802</v>
      </c>
      <c r="I1334" t="s">
        <v>41</v>
      </c>
      <c r="J1334">
        <v>0.95699999999999996</v>
      </c>
      <c r="K1334">
        <v>3</v>
      </c>
      <c r="L1334">
        <v>1</v>
      </c>
      <c r="M1334">
        <v>0.85</v>
      </c>
      <c r="N1334" t="s">
        <v>368</v>
      </c>
      <c r="O1334" s="1">
        <v>46562</v>
      </c>
      <c r="S1334" t="s">
        <v>915</v>
      </c>
      <c r="T1334" s="5" t="s">
        <v>927</v>
      </c>
      <c r="U1334" s="5" t="s">
        <v>935</v>
      </c>
      <c r="V1334" t="s">
        <v>956</v>
      </c>
      <c r="W1334" t="str">
        <f t="shared" si="20"/>
        <v>2000063046_20246</v>
      </c>
      <c r="X1334" s="2" t="s">
        <v>1616</v>
      </c>
    </row>
    <row r="1335" spans="1:24" hidden="1" x14ac:dyDescent="0.35">
      <c r="A1335">
        <v>64</v>
      </c>
      <c r="B1335">
        <v>2000039706</v>
      </c>
      <c r="C1335" s="1">
        <v>45791</v>
      </c>
      <c r="D1335" t="s">
        <v>3723</v>
      </c>
      <c r="E1335" t="s">
        <v>18</v>
      </c>
      <c r="F1335" t="s">
        <v>19</v>
      </c>
      <c r="G1335" t="s">
        <v>1720</v>
      </c>
      <c r="H1335" t="s">
        <v>3724</v>
      </c>
      <c r="I1335" t="s">
        <v>974</v>
      </c>
      <c r="J1335">
        <v>0.98399999999999999</v>
      </c>
      <c r="K1335">
        <v>3</v>
      </c>
      <c r="L1335">
        <v>0</v>
      </c>
      <c r="M1335">
        <v>0.94</v>
      </c>
      <c r="N1335" t="s">
        <v>2314</v>
      </c>
      <c r="O1335" s="1">
        <v>46887</v>
      </c>
      <c r="P1335" t="s">
        <v>165</v>
      </c>
      <c r="R1335" t="s">
        <v>3719</v>
      </c>
      <c r="S1335" t="s">
        <v>915</v>
      </c>
      <c r="T1335" s="5">
        <v>5</v>
      </c>
      <c r="U1335" s="5">
        <v>14</v>
      </c>
      <c r="V1335">
        <v>2025</v>
      </c>
      <c r="W1335" t="str">
        <f t="shared" si="20"/>
        <v>2000039706_20255</v>
      </c>
      <c r="X1335" t="s">
        <v>1616</v>
      </c>
    </row>
    <row r="1336" spans="1:24" hidden="1" x14ac:dyDescent="0.35">
      <c r="A1336">
        <v>65</v>
      </c>
      <c r="B1336">
        <v>2000059811</v>
      </c>
      <c r="C1336" s="1">
        <v>45791</v>
      </c>
      <c r="D1336" t="s">
        <v>3725</v>
      </c>
      <c r="E1336" t="s">
        <v>18</v>
      </c>
      <c r="F1336" t="s">
        <v>19</v>
      </c>
      <c r="G1336" t="s">
        <v>1720</v>
      </c>
      <c r="H1336" t="s">
        <v>3724</v>
      </c>
      <c r="I1336" t="s">
        <v>974</v>
      </c>
      <c r="J1336">
        <v>0.98399999999999999</v>
      </c>
      <c r="K1336">
        <v>3</v>
      </c>
      <c r="L1336">
        <v>0</v>
      </c>
      <c r="M1336">
        <v>0.92</v>
      </c>
      <c r="N1336" t="s">
        <v>2314</v>
      </c>
      <c r="O1336" s="1">
        <v>46887</v>
      </c>
      <c r="P1336" t="s">
        <v>710</v>
      </c>
      <c r="Q1336" t="s">
        <v>3726</v>
      </c>
      <c r="R1336" t="s">
        <v>3719</v>
      </c>
      <c r="S1336" t="s">
        <v>915</v>
      </c>
      <c r="T1336" s="5">
        <v>5</v>
      </c>
      <c r="U1336" s="5">
        <v>14</v>
      </c>
      <c r="V1336">
        <v>2025</v>
      </c>
      <c r="W1336" t="str">
        <f t="shared" si="20"/>
        <v>2000059811_20255</v>
      </c>
      <c r="X1336" t="s">
        <v>1616</v>
      </c>
    </row>
    <row r="1337" spans="1:24" hidden="1" x14ac:dyDescent="0.35">
      <c r="A1337">
        <v>18</v>
      </c>
      <c r="B1337">
        <v>2000063600</v>
      </c>
      <c r="C1337" s="1">
        <v>45386</v>
      </c>
      <c r="D1337" t="s">
        <v>690</v>
      </c>
      <c r="E1337" t="s">
        <v>18</v>
      </c>
      <c r="F1337" t="s">
        <v>39</v>
      </c>
      <c r="G1337" t="s">
        <v>238</v>
      </c>
      <c r="H1337" t="s">
        <v>691</v>
      </c>
      <c r="I1337" t="s">
        <v>148</v>
      </c>
      <c r="J1337">
        <v>0.71099999999999997</v>
      </c>
      <c r="K1337">
        <v>2.7</v>
      </c>
      <c r="L1337">
        <v>6</v>
      </c>
      <c r="M1337">
        <v>0.86</v>
      </c>
      <c r="N1337" t="s">
        <v>23</v>
      </c>
      <c r="O1337" s="1">
        <v>45751</v>
      </c>
      <c r="S1337" t="s">
        <v>915</v>
      </c>
      <c r="T1337" s="6" t="s">
        <v>946</v>
      </c>
      <c r="U1337" s="6" t="s">
        <v>946</v>
      </c>
      <c r="V1337" s="2" t="s">
        <v>956</v>
      </c>
      <c r="W1337" t="str">
        <f t="shared" si="20"/>
        <v>2000063600_20244</v>
      </c>
      <c r="X1337" s="2" t="s">
        <v>1615</v>
      </c>
    </row>
    <row r="1338" spans="1:24" hidden="1" x14ac:dyDescent="0.35">
      <c r="A1338">
        <v>41</v>
      </c>
      <c r="B1338">
        <v>2000056964</v>
      </c>
      <c r="C1338" s="1">
        <v>45796</v>
      </c>
      <c r="D1338" t="s">
        <v>60</v>
      </c>
      <c r="E1338" t="s">
        <v>18</v>
      </c>
      <c r="F1338" t="s">
        <v>19</v>
      </c>
      <c r="G1338" t="s">
        <v>20</v>
      </c>
      <c r="H1338" t="s">
        <v>3735</v>
      </c>
      <c r="I1338" t="s">
        <v>41</v>
      </c>
      <c r="J1338">
        <v>0.82</v>
      </c>
      <c r="K1338">
        <v>3</v>
      </c>
      <c r="L1338">
        <v>0</v>
      </c>
      <c r="M1338">
        <v>0.56000000000000005</v>
      </c>
      <c r="N1338" t="s">
        <v>28</v>
      </c>
      <c r="O1338" s="1">
        <v>46526</v>
      </c>
      <c r="Q1338" t="s">
        <v>3736</v>
      </c>
      <c r="S1338" t="s">
        <v>915</v>
      </c>
      <c r="T1338" s="5" t="s">
        <v>947</v>
      </c>
      <c r="U1338" s="5" t="s">
        <v>931</v>
      </c>
      <c r="V1338" t="s">
        <v>1650</v>
      </c>
      <c r="W1338" t="str">
        <f t="shared" si="20"/>
        <v>2000056964_20255</v>
      </c>
      <c r="X1338" t="s">
        <v>1615</v>
      </c>
    </row>
    <row r="1339" spans="1:24" hidden="1" x14ac:dyDescent="0.35">
      <c r="A1339">
        <v>66</v>
      </c>
      <c r="B1339">
        <v>2000055111</v>
      </c>
      <c r="C1339" s="1">
        <v>45792</v>
      </c>
      <c r="D1339" t="s">
        <v>3727</v>
      </c>
      <c r="E1339" t="s">
        <v>18</v>
      </c>
      <c r="F1339" t="s">
        <v>3728</v>
      </c>
      <c r="G1339" t="s">
        <v>1720</v>
      </c>
      <c r="H1339" t="s">
        <v>3729</v>
      </c>
      <c r="I1339" t="s">
        <v>41</v>
      </c>
      <c r="J1339">
        <v>1</v>
      </c>
      <c r="K1339">
        <v>3</v>
      </c>
      <c r="L1339">
        <v>0</v>
      </c>
      <c r="M1339">
        <v>0.93</v>
      </c>
      <c r="N1339" t="s">
        <v>2314</v>
      </c>
      <c r="O1339" s="1">
        <v>46888</v>
      </c>
      <c r="R1339" t="s">
        <v>3719</v>
      </c>
      <c r="S1339" t="s">
        <v>915</v>
      </c>
      <c r="T1339" s="5">
        <v>5</v>
      </c>
      <c r="U1339" s="5">
        <v>15</v>
      </c>
      <c r="V1339">
        <v>2025</v>
      </c>
      <c r="W1339" t="str">
        <f t="shared" si="20"/>
        <v>2000055111_20255</v>
      </c>
      <c r="X1339" t="s">
        <v>1616</v>
      </c>
    </row>
    <row r="1340" spans="1:24" hidden="1" x14ac:dyDescent="0.35">
      <c r="A1340">
        <v>43</v>
      </c>
      <c r="B1340">
        <v>2000063765</v>
      </c>
      <c r="C1340" s="1">
        <v>45428</v>
      </c>
      <c r="D1340" t="s">
        <v>1749</v>
      </c>
      <c r="E1340" t="s">
        <v>18</v>
      </c>
      <c r="F1340" t="s">
        <v>43</v>
      </c>
      <c r="G1340" t="s">
        <v>1750</v>
      </c>
      <c r="H1340" t="s">
        <v>1751</v>
      </c>
      <c r="I1340" t="s">
        <v>41</v>
      </c>
      <c r="J1340">
        <v>1</v>
      </c>
      <c r="K1340">
        <v>3</v>
      </c>
      <c r="L1340">
        <v>0</v>
      </c>
      <c r="M1340">
        <v>0.93</v>
      </c>
      <c r="N1340" t="s">
        <v>368</v>
      </c>
      <c r="O1340" s="1">
        <v>46523</v>
      </c>
      <c r="S1340" t="s">
        <v>915</v>
      </c>
      <c r="T1340" s="5" t="s">
        <v>947</v>
      </c>
      <c r="U1340" s="5" t="s">
        <v>928</v>
      </c>
      <c r="V1340" t="s">
        <v>956</v>
      </c>
      <c r="W1340" t="str">
        <f t="shared" si="20"/>
        <v>2000063765_20245</v>
      </c>
      <c r="X1340" s="2" t="s">
        <v>1616</v>
      </c>
    </row>
    <row r="1341" spans="1:24" hidden="1" x14ac:dyDescent="0.35">
      <c r="A1341">
        <v>3</v>
      </c>
      <c r="B1341">
        <v>2000063766</v>
      </c>
      <c r="C1341" s="1">
        <v>45313</v>
      </c>
      <c r="D1341" t="s">
        <v>668</v>
      </c>
      <c r="E1341" t="s">
        <v>18</v>
      </c>
      <c r="F1341" t="s">
        <v>52</v>
      </c>
      <c r="G1341" t="s">
        <v>20</v>
      </c>
      <c r="H1341" t="s">
        <v>669</v>
      </c>
      <c r="I1341" t="s">
        <v>41</v>
      </c>
      <c r="J1341">
        <v>0.80600000000000005</v>
      </c>
      <c r="K1341">
        <v>2.2999999999999998</v>
      </c>
      <c r="L1341">
        <v>8</v>
      </c>
      <c r="M1341">
        <v>0.97</v>
      </c>
      <c r="N1341" t="s">
        <v>28</v>
      </c>
      <c r="O1341" s="1">
        <v>46044</v>
      </c>
      <c r="S1341" t="s">
        <v>915</v>
      </c>
      <c r="T1341" s="6" t="s">
        <v>953</v>
      </c>
      <c r="U1341" s="6" t="s">
        <v>933</v>
      </c>
      <c r="V1341" s="2" t="s">
        <v>956</v>
      </c>
      <c r="W1341" t="str">
        <f t="shared" si="20"/>
        <v>2000063766_20241</v>
      </c>
      <c r="X1341" s="2" t="s">
        <v>1615</v>
      </c>
    </row>
    <row r="1342" spans="1:24" hidden="1" x14ac:dyDescent="0.35">
      <c r="A1342">
        <v>102</v>
      </c>
      <c r="B1342">
        <v>2000063776</v>
      </c>
      <c r="C1342" s="1">
        <v>45523</v>
      </c>
      <c r="D1342" t="s">
        <v>1892</v>
      </c>
      <c r="E1342" t="s">
        <v>18</v>
      </c>
      <c r="F1342" t="s">
        <v>43</v>
      </c>
      <c r="G1342" t="s">
        <v>1606</v>
      </c>
      <c r="H1342" t="s">
        <v>1893</v>
      </c>
      <c r="I1342" t="s">
        <v>41</v>
      </c>
      <c r="J1342">
        <v>0.98099999999999998</v>
      </c>
      <c r="K1342">
        <v>3</v>
      </c>
      <c r="M1342">
        <v>0.93</v>
      </c>
      <c r="N1342" t="s">
        <v>368</v>
      </c>
      <c r="O1342" s="1">
        <v>46618</v>
      </c>
      <c r="R1342" t="s">
        <v>1613</v>
      </c>
      <c r="S1342" t="s">
        <v>915</v>
      </c>
      <c r="T1342" s="5" t="s">
        <v>940</v>
      </c>
      <c r="U1342" s="5" t="s">
        <v>931</v>
      </c>
      <c r="V1342" t="s">
        <v>956</v>
      </c>
      <c r="W1342" t="str">
        <f t="shared" si="20"/>
        <v>2000063776_20248</v>
      </c>
      <c r="X1342" s="2" t="s">
        <v>1616</v>
      </c>
    </row>
    <row r="1343" spans="1:24" hidden="1" x14ac:dyDescent="0.35">
      <c r="A1343">
        <v>65</v>
      </c>
      <c r="B1343">
        <v>2000063849</v>
      </c>
      <c r="C1343" s="1">
        <v>45468</v>
      </c>
      <c r="D1343" t="s">
        <v>3891</v>
      </c>
      <c r="E1343" t="s">
        <v>18</v>
      </c>
      <c r="F1343" t="s">
        <v>376</v>
      </c>
      <c r="G1343" t="s">
        <v>1609</v>
      </c>
      <c r="H1343" t="s">
        <v>1803</v>
      </c>
      <c r="I1343" t="s">
        <v>41</v>
      </c>
      <c r="J1343">
        <v>0.89600000000000002</v>
      </c>
      <c r="K1343">
        <v>3</v>
      </c>
      <c r="L1343">
        <v>3</v>
      </c>
      <c r="M1343">
        <v>0.74</v>
      </c>
      <c r="N1343" t="s">
        <v>28</v>
      </c>
      <c r="O1343" s="1">
        <v>46167</v>
      </c>
      <c r="S1343" t="s">
        <v>915</v>
      </c>
      <c r="T1343" s="5" t="s">
        <v>927</v>
      </c>
      <c r="U1343" s="5" t="s">
        <v>922</v>
      </c>
      <c r="V1343" t="s">
        <v>956</v>
      </c>
      <c r="W1343" t="str">
        <f t="shared" si="20"/>
        <v>2000063849_20246</v>
      </c>
      <c r="X1343" s="2" t="s">
        <v>1616</v>
      </c>
    </row>
    <row r="1344" spans="1:24" hidden="1" x14ac:dyDescent="0.35">
      <c r="A1344">
        <v>155</v>
      </c>
      <c r="B1344">
        <v>2000063967</v>
      </c>
      <c r="C1344" s="1">
        <v>45618</v>
      </c>
      <c r="D1344" t="s">
        <v>3273</v>
      </c>
      <c r="E1344" t="s">
        <v>18</v>
      </c>
      <c r="F1344" t="s">
        <v>43</v>
      </c>
      <c r="G1344" t="s">
        <v>1609</v>
      </c>
      <c r="H1344" t="s">
        <v>3274</v>
      </c>
      <c r="I1344" t="s">
        <v>22</v>
      </c>
      <c r="J1344">
        <v>1</v>
      </c>
      <c r="K1344">
        <v>3</v>
      </c>
      <c r="L1344">
        <v>0</v>
      </c>
      <c r="M1344">
        <v>0.95</v>
      </c>
      <c r="N1344" t="s">
        <v>368</v>
      </c>
      <c r="O1344" s="1">
        <v>46713</v>
      </c>
      <c r="S1344" t="s">
        <v>915</v>
      </c>
      <c r="T1344" s="5" t="s">
        <v>945</v>
      </c>
      <c r="U1344" s="5" t="s">
        <v>933</v>
      </c>
      <c r="V1344" t="s">
        <v>956</v>
      </c>
      <c r="W1344" t="str">
        <f t="shared" si="20"/>
        <v>2000063967_202411</v>
      </c>
      <c r="X1344" t="s">
        <v>1616</v>
      </c>
    </row>
    <row r="1345" spans="1:24" hidden="1" x14ac:dyDescent="0.35">
      <c r="A1345">
        <v>42</v>
      </c>
      <c r="B1345">
        <v>2000055758</v>
      </c>
      <c r="C1345" s="1">
        <v>45797</v>
      </c>
      <c r="D1345" t="s">
        <v>3737</v>
      </c>
      <c r="E1345" t="s">
        <v>18</v>
      </c>
      <c r="F1345" t="s">
        <v>148</v>
      </c>
      <c r="G1345" t="s">
        <v>20</v>
      </c>
      <c r="H1345" t="s">
        <v>3738</v>
      </c>
      <c r="I1345" t="s">
        <v>148</v>
      </c>
      <c r="J1345">
        <v>0.95</v>
      </c>
      <c r="K1345">
        <v>3</v>
      </c>
      <c r="L1345">
        <v>4</v>
      </c>
      <c r="M1345">
        <v>0.97</v>
      </c>
      <c r="N1345" t="s">
        <v>368</v>
      </c>
      <c r="O1345" s="1">
        <v>46893</v>
      </c>
      <c r="S1345" t="s">
        <v>915</v>
      </c>
      <c r="T1345" s="5" t="s">
        <v>947</v>
      </c>
      <c r="U1345" s="5" t="s">
        <v>932</v>
      </c>
      <c r="V1345" t="s">
        <v>1650</v>
      </c>
      <c r="W1345" t="str">
        <f t="shared" si="20"/>
        <v>2000055758_20255</v>
      </c>
      <c r="X1345" t="s">
        <v>1615</v>
      </c>
    </row>
    <row r="1346" spans="1:24" hidden="1" x14ac:dyDescent="0.35">
      <c r="A1346">
        <v>58</v>
      </c>
      <c r="B1346">
        <v>2000063990</v>
      </c>
      <c r="C1346" s="1">
        <v>45516</v>
      </c>
      <c r="D1346" t="s">
        <v>610</v>
      </c>
      <c r="E1346" t="s">
        <v>18</v>
      </c>
      <c r="F1346" t="s">
        <v>39</v>
      </c>
      <c r="G1346" t="s">
        <v>20</v>
      </c>
      <c r="H1346" t="s">
        <v>611</v>
      </c>
      <c r="I1346" t="s">
        <v>41</v>
      </c>
      <c r="J1346">
        <v>0.92100000000000004</v>
      </c>
      <c r="K1346">
        <v>2.7</v>
      </c>
      <c r="L1346">
        <v>1</v>
      </c>
      <c r="M1346">
        <v>0.81</v>
      </c>
      <c r="N1346" t="s">
        <v>28</v>
      </c>
      <c r="O1346" s="1">
        <v>46246</v>
      </c>
      <c r="S1346" t="s">
        <v>915</v>
      </c>
      <c r="T1346" s="6" t="s">
        <v>940</v>
      </c>
      <c r="U1346" s="6" t="s">
        <v>949</v>
      </c>
      <c r="V1346" s="2" t="s">
        <v>956</v>
      </c>
      <c r="W1346" t="str">
        <f t="shared" ref="W1346:W1379" si="21">CONCATENATE(B1346,"_",V1346,T1346)</f>
        <v>2000063990_20248</v>
      </c>
      <c r="X1346" s="2" t="s">
        <v>1615</v>
      </c>
    </row>
    <row r="1347" spans="1:24" hidden="1" x14ac:dyDescent="0.35">
      <c r="A1347">
        <v>63</v>
      </c>
      <c r="B1347">
        <v>2000063990</v>
      </c>
      <c r="C1347" s="1">
        <v>45168</v>
      </c>
      <c r="D1347" t="s">
        <v>610</v>
      </c>
      <c r="E1347" t="s">
        <v>18</v>
      </c>
      <c r="F1347" t="s">
        <v>473</v>
      </c>
      <c r="G1347" t="s">
        <v>20</v>
      </c>
      <c r="H1347" t="s">
        <v>611</v>
      </c>
      <c r="I1347" t="s">
        <v>41</v>
      </c>
      <c r="J1347">
        <v>0.77800000000000002</v>
      </c>
      <c r="K1347">
        <v>2.4</v>
      </c>
      <c r="L1347">
        <v>5</v>
      </c>
      <c r="M1347">
        <v>0.78</v>
      </c>
      <c r="N1347" t="s">
        <v>23</v>
      </c>
      <c r="O1347" s="1">
        <v>45534</v>
      </c>
      <c r="S1347" t="s">
        <v>915</v>
      </c>
      <c r="T1347" s="6" t="s">
        <v>940</v>
      </c>
      <c r="U1347" s="6" t="s">
        <v>938</v>
      </c>
      <c r="V1347" s="2" t="s">
        <v>955</v>
      </c>
      <c r="W1347" t="str">
        <f t="shared" si="21"/>
        <v>2000063990_20238</v>
      </c>
      <c r="X1347" s="2" t="s">
        <v>1615</v>
      </c>
    </row>
    <row r="1348" spans="1:24" hidden="1" x14ac:dyDescent="0.35">
      <c r="A1348">
        <v>159</v>
      </c>
      <c r="B1348">
        <v>2000064037</v>
      </c>
      <c r="C1348" s="1">
        <v>45645</v>
      </c>
      <c r="D1348" t="s">
        <v>3280</v>
      </c>
      <c r="E1348" t="s">
        <v>18</v>
      </c>
      <c r="F1348" t="s">
        <v>43</v>
      </c>
      <c r="G1348" t="s">
        <v>1606</v>
      </c>
      <c r="H1348" t="s">
        <v>3281</v>
      </c>
      <c r="I1348" t="s">
        <v>41</v>
      </c>
      <c r="J1348">
        <v>0.90600000000000003</v>
      </c>
      <c r="K1348">
        <v>3</v>
      </c>
      <c r="L1348">
        <v>2</v>
      </c>
      <c r="M1348">
        <v>0.85</v>
      </c>
      <c r="N1348" t="s">
        <v>368</v>
      </c>
      <c r="O1348" s="1">
        <v>46740</v>
      </c>
      <c r="S1348" t="s">
        <v>915</v>
      </c>
      <c r="T1348" s="5" t="s">
        <v>949</v>
      </c>
      <c r="U1348" s="5" t="s">
        <v>931</v>
      </c>
      <c r="V1348" t="s">
        <v>956</v>
      </c>
      <c r="W1348" t="str">
        <f t="shared" si="21"/>
        <v>2000064037_202412</v>
      </c>
      <c r="X1348" t="s">
        <v>1616</v>
      </c>
    </row>
    <row r="1349" spans="1:24" hidden="1" x14ac:dyDescent="0.35">
      <c r="A1349">
        <v>90</v>
      </c>
      <c r="B1349">
        <v>2000064076</v>
      </c>
      <c r="C1349" s="1">
        <v>45503</v>
      </c>
      <c r="D1349" t="s">
        <v>1861</v>
      </c>
      <c r="E1349" t="s">
        <v>18</v>
      </c>
      <c r="F1349" t="s">
        <v>19</v>
      </c>
      <c r="G1349" t="s">
        <v>1687</v>
      </c>
      <c r="H1349" t="s">
        <v>1862</v>
      </c>
      <c r="I1349" t="s">
        <v>22</v>
      </c>
      <c r="J1349">
        <v>0.94599999999999995</v>
      </c>
      <c r="K1349">
        <v>3</v>
      </c>
      <c r="L1349">
        <v>3</v>
      </c>
      <c r="M1349">
        <v>0.83</v>
      </c>
      <c r="N1349" t="s">
        <v>368</v>
      </c>
      <c r="O1349" s="1">
        <v>46598</v>
      </c>
      <c r="Q1349" t="s">
        <v>50</v>
      </c>
      <c r="S1349" t="s">
        <v>915</v>
      </c>
      <c r="T1349" s="5" t="s">
        <v>936</v>
      </c>
      <c r="U1349" s="5" t="s">
        <v>938</v>
      </c>
      <c r="V1349" t="s">
        <v>956</v>
      </c>
      <c r="W1349" t="str">
        <f t="shared" si="21"/>
        <v>2000064076_20247</v>
      </c>
      <c r="X1349" s="2" t="s">
        <v>1616</v>
      </c>
    </row>
    <row r="1350" spans="1:24" hidden="1" x14ac:dyDescent="0.35">
      <c r="A1350">
        <v>93</v>
      </c>
      <c r="B1350">
        <v>2000033841</v>
      </c>
      <c r="C1350" s="1">
        <v>45268</v>
      </c>
      <c r="D1350" t="s">
        <v>647</v>
      </c>
      <c r="E1350" t="s">
        <v>18</v>
      </c>
      <c r="F1350" t="s">
        <v>19</v>
      </c>
      <c r="G1350" t="s">
        <v>20</v>
      </c>
      <c r="H1350" t="s">
        <v>648</v>
      </c>
      <c r="I1350" t="s">
        <v>22</v>
      </c>
      <c r="J1350">
        <v>0.92</v>
      </c>
      <c r="K1350">
        <v>2.7</v>
      </c>
      <c r="L1350">
        <v>3</v>
      </c>
      <c r="M1350">
        <v>0.79</v>
      </c>
      <c r="N1350" t="s">
        <v>28</v>
      </c>
      <c r="O1350" s="1">
        <v>45999</v>
      </c>
      <c r="Q1350" t="s">
        <v>649</v>
      </c>
      <c r="S1350" t="s">
        <v>915</v>
      </c>
      <c r="T1350" s="6" t="s">
        <v>949</v>
      </c>
      <c r="U1350" s="6" t="s">
        <v>940</v>
      </c>
      <c r="V1350" s="2" t="s">
        <v>955</v>
      </c>
      <c r="W1350" t="str">
        <f t="shared" si="21"/>
        <v>2000033841_202312</v>
      </c>
      <c r="X1350" s="2" t="s">
        <v>1615</v>
      </c>
    </row>
    <row r="1351" spans="1:24" hidden="1" x14ac:dyDescent="0.35">
      <c r="A1351">
        <v>100</v>
      </c>
      <c r="B1351">
        <v>2000064513</v>
      </c>
      <c r="C1351" s="1">
        <v>45520</v>
      </c>
      <c r="D1351" t="s">
        <v>1888</v>
      </c>
      <c r="E1351" t="s">
        <v>18</v>
      </c>
      <c r="F1351" t="s">
        <v>1602</v>
      </c>
      <c r="G1351" t="s">
        <v>1687</v>
      </c>
      <c r="H1351" t="s">
        <v>1889</v>
      </c>
      <c r="I1351" t="s">
        <v>41</v>
      </c>
      <c r="J1351">
        <v>1</v>
      </c>
      <c r="K1351">
        <v>3</v>
      </c>
      <c r="L1351">
        <v>0</v>
      </c>
      <c r="M1351">
        <v>0.77</v>
      </c>
      <c r="N1351" t="s">
        <v>368</v>
      </c>
      <c r="O1351" s="1">
        <v>46615</v>
      </c>
      <c r="S1351" t="s">
        <v>915</v>
      </c>
      <c r="T1351" s="5" t="s">
        <v>940</v>
      </c>
      <c r="U1351" s="5" t="s">
        <v>928</v>
      </c>
      <c r="V1351" t="s">
        <v>956</v>
      </c>
      <c r="W1351" t="str">
        <f t="shared" si="21"/>
        <v>2000064513_20248</v>
      </c>
      <c r="X1351" s="2" t="s">
        <v>1616</v>
      </c>
    </row>
    <row r="1352" spans="1:24" hidden="1" x14ac:dyDescent="0.35">
      <c r="A1352">
        <v>94</v>
      </c>
      <c r="B1352">
        <v>2000064539</v>
      </c>
      <c r="C1352" s="1">
        <v>45271</v>
      </c>
      <c r="D1352" t="s">
        <v>650</v>
      </c>
      <c r="E1352" t="s">
        <v>18</v>
      </c>
      <c r="F1352" t="s">
        <v>651</v>
      </c>
      <c r="G1352" t="s">
        <v>92</v>
      </c>
      <c r="H1352" t="s">
        <v>652</v>
      </c>
      <c r="I1352" t="s">
        <v>41</v>
      </c>
      <c r="J1352">
        <v>0.94099999999999995</v>
      </c>
      <c r="K1352">
        <v>3</v>
      </c>
      <c r="L1352">
        <v>0</v>
      </c>
      <c r="M1352">
        <v>0.64</v>
      </c>
      <c r="N1352" t="s">
        <v>368</v>
      </c>
      <c r="O1352" s="1">
        <v>46367</v>
      </c>
      <c r="S1352" t="s">
        <v>915</v>
      </c>
      <c r="T1352" s="6" t="s">
        <v>949</v>
      </c>
      <c r="U1352" s="6" t="s">
        <v>945</v>
      </c>
      <c r="V1352" s="2" t="s">
        <v>955</v>
      </c>
      <c r="W1352" t="str">
        <f t="shared" si="21"/>
        <v>2000064539_202312</v>
      </c>
      <c r="X1352" s="2" t="s">
        <v>1615</v>
      </c>
    </row>
    <row r="1353" spans="1:24" hidden="1" x14ac:dyDescent="0.35">
      <c r="A1353">
        <v>101</v>
      </c>
      <c r="B1353">
        <v>2000064558</v>
      </c>
      <c r="C1353" s="1">
        <v>45520</v>
      </c>
      <c r="D1353" t="s">
        <v>1890</v>
      </c>
      <c r="E1353" t="s">
        <v>18</v>
      </c>
      <c r="F1353" t="s">
        <v>43</v>
      </c>
      <c r="G1353" t="s">
        <v>1687</v>
      </c>
      <c r="H1353" t="s">
        <v>1891</v>
      </c>
      <c r="I1353" t="s">
        <v>41</v>
      </c>
      <c r="J1353">
        <v>0.96899999999999997</v>
      </c>
      <c r="K1353">
        <v>3</v>
      </c>
      <c r="L1353">
        <v>0</v>
      </c>
      <c r="M1353">
        <v>0.89</v>
      </c>
      <c r="N1353" t="s">
        <v>368</v>
      </c>
      <c r="O1353" s="1">
        <v>46615</v>
      </c>
      <c r="R1353" t="s">
        <v>1613</v>
      </c>
      <c r="S1353" t="s">
        <v>915</v>
      </c>
      <c r="T1353" s="5" t="s">
        <v>940</v>
      </c>
      <c r="U1353" s="5" t="s">
        <v>928</v>
      </c>
      <c r="V1353" t="s">
        <v>956</v>
      </c>
      <c r="W1353" t="str">
        <f t="shared" si="21"/>
        <v>2000064558_20248</v>
      </c>
      <c r="X1353" s="2" t="s">
        <v>1616</v>
      </c>
    </row>
    <row r="1354" spans="1:24" hidden="1" x14ac:dyDescent="0.35">
      <c r="A1354">
        <v>12</v>
      </c>
      <c r="B1354">
        <v>2000064713</v>
      </c>
      <c r="C1354" s="1">
        <v>45370</v>
      </c>
      <c r="D1354" t="s">
        <v>1665</v>
      </c>
      <c r="E1354" t="s">
        <v>18</v>
      </c>
      <c r="F1354" t="s">
        <v>376</v>
      </c>
      <c r="G1354" t="s">
        <v>1657</v>
      </c>
      <c r="H1354" t="s">
        <v>1666</v>
      </c>
      <c r="I1354" t="s">
        <v>22</v>
      </c>
      <c r="J1354">
        <v>1</v>
      </c>
      <c r="K1354">
        <v>3</v>
      </c>
      <c r="L1354">
        <v>0</v>
      </c>
      <c r="M1354">
        <v>0.97</v>
      </c>
      <c r="N1354" t="s">
        <v>368</v>
      </c>
      <c r="O1354" s="1">
        <v>46465</v>
      </c>
      <c r="Q1354" t="s">
        <v>1667</v>
      </c>
      <c r="S1354" t="s">
        <v>915</v>
      </c>
      <c r="T1354" s="5" t="s">
        <v>941</v>
      </c>
      <c r="U1354" s="5" t="s">
        <v>931</v>
      </c>
      <c r="V1354" t="s">
        <v>956</v>
      </c>
      <c r="W1354" t="str">
        <f t="shared" si="21"/>
        <v>2000064713_20243</v>
      </c>
      <c r="X1354" s="2" t="s">
        <v>1616</v>
      </c>
    </row>
    <row r="1355" spans="1:24" hidden="1" x14ac:dyDescent="0.35">
      <c r="A1355">
        <v>88</v>
      </c>
      <c r="B1355">
        <v>2000064775</v>
      </c>
      <c r="C1355" s="1">
        <v>45498</v>
      </c>
      <c r="D1355" t="s">
        <v>1856</v>
      </c>
      <c r="E1355" t="s">
        <v>18</v>
      </c>
      <c r="F1355" t="s">
        <v>39</v>
      </c>
      <c r="G1355" t="s">
        <v>1687</v>
      </c>
      <c r="H1355" t="s">
        <v>1857</v>
      </c>
      <c r="I1355" t="s">
        <v>41</v>
      </c>
      <c r="J1355">
        <v>0.90700000000000003</v>
      </c>
      <c r="K1355">
        <v>3</v>
      </c>
      <c r="L1355">
        <v>3</v>
      </c>
      <c r="M1355">
        <v>0.85</v>
      </c>
      <c r="N1355" t="s">
        <v>368</v>
      </c>
      <c r="O1355" s="1">
        <v>46593</v>
      </c>
      <c r="S1355" t="s">
        <v>915</v>
      </c>
      <c r="T1355" s="5" t="s">
        <v>936</v>
      </c>
      <c r="U1355" s="5" t="s">
        <v>922</v>
      </c>
      <c r="V1355" t="s">
        <v>956</v>
      </c>
      <c r="W1355" t="str">
        <f t="shared" si="21"/>
        <v>2000064775_20247</v>
      </c>
      <c r="X1355" s="2" t="s">
        <v>1616</v>
      </c>
    </row>
    <row r="1356" spans="1:24" hidden="1" x14ac:dyDescent="0.35">
      <c r="A1356">
        <v>114</v>
      </c>
      <c r="B1356">
        <v>2000065034</v>
      </c>
      <c r="C1356" s="1">
        <v>45551</v>
      </c>
      <c r="D1356" t="s">
        <v>1919</v>
      </c>
      <c r="E1356" t="s">
        <v>18</v>
      </c>
      <c r="F1356" t="s">
        <v>1859</v>
      </c>
      <c r="G1356" t="s">
        <v>1687</v>
      </c>
      <c r="H1356" t="s">
        <v>1920</v>
      </c>
      <c r="I1356" t="s">
        <v>41</v>
      </c>
      <c r="J1356">
        <v>0.875</v>
      </c>
      <c r="K1356">
        <v>3</v>
      </c>
      <c r="L1356">
        <v>3</v>
      </c>
      <c r="M1356">
        <v>0.85</v>
      </c>
      <c r="N1356" t="s">
        <v>28</v>
      </c>
      <c r="O1356" s="1">
        <v>46281</v>
      </c>
      <c r="S1356" t="s">
        <v>915</v>
      </c>
      <c r="T1356" s="5" t="s">
        <v>942</v>
      </c>
      <c r="U1356" s="5" t="s">
        <v>928</v>
      </c>
      <c r="V1356" t="s">
        <v>956</v>
      </c>
      <c r="W1356" t="str">
        <f t="shared" si="21"/>
        <v>2000065034_20249</v>
      </c>
      <c r="X1356" s="2" t="s">
        <v>1616</v>
      </c>
    </row>
    <row r="1357" spans="1:24" hidden="1" x14ac:dyDescent="0.35">
      <c r="A1357">
        <v>118</v>
      </c>
      <c r="B1357">
        <v>2000065059</v>
      </c>
      <c r="C1357" s="1">
        <v>45554</v>
      </c>
      <c r="D1357" t="s">
        <v>1928</v>
      </c>
      <c r="E1357" t="s">
        <v>18</v>
      </c>
      <c r="F1357" t="s">
        <v>376</v>
      </c>
      <c r="G1357" t="s">
        <v>1606</v>
      </c>
      <c r="H1357" t="s">
        <v>1929</v>
      </c>
      <c r="I1357" t="s">
        <v>41</v>
      </c>
      <c r="J1357">
        <v>0.97799999999999998</v>
      </c>
      <c r="K1357">
        <v>3</v>
      </c>
      <c r="L1357">
        <v>0</v>
      </c>
      <c r="M1357">
        <v>0.85</v>
      </c>
      <c r="N1357" t="s">
        <v>368</v>
      </c>
      <c r="O1357" s="1">
        <v>46649</v>
      </c>
      <c r="Q1357" t="s">
        <v>1689</v>
      </c>
      <c r="S1357" t="s">
        <v>915</v>
      </c>
      <c r="T1357" s="5" t="s">
        <v>942</v>
      </c>
      <c r="U1357" s="5" t="s">
        <v>931</v>
      </c>
      <c r="V1357" t="s">
        <v>956</v>
      </c>
      <c r="W1357" t="str">
        <f t="shared" si="21"/>
        <v>2000065059_20249</v>
      </c>
      <c r="X1357" s="2" t="s">
        <v>1616</v>
      </c>
    </row>
    <row r="1358" spans="1:24" hidden="1" x14ac:dyDescent="0.35">
      <c r="A1358">
        <v>75</v>
      </c>
      <c r="B1358">
        <v>2000065081</v>
      </c>
      <c r="C1358" s="1">
        <v>45484</v>
      </c>
      <c r="D1358" t="s">
        <v>1827</v>
      </c>
      <c r="E1358" t="s">
        <v>18</v>
      </c>
      <c r="F1358" t="s">
        <v>39</v>
      </c>
      <c r="G1358" t="s">
        <v>1606</v>
      </c>
      <c r="H1358" t="s">
        <v>1828</v>
      </c>
      <c r="I1358" t="s">
        <v>41</v>
      </c>
      <c r="J1358">
        <v>1</v>
      </c>
      <c r="K1358">
        <v>3</v>
      </c>
      <c r="L1358">
        <v>0</v>
      </c>
      <c r="M1358">
        <v>0.73</v>
      </c>
      <c r="N1358" t="s">
        <v>368</v>
      </c>
      <c r="O1358" s="1">
        <v>46579</v>
      </c>
      <c r="S1358" t="s">
        <v>915</v>
      </c>
      <c r="T1358" s="5" t="s">
        <v>936</v>
      </c>
      <c r="U1358" s="5" t="s">
        <v>945</v>
      </c>
      <c r="V1358" t="s">
        <v>956</v>
      </c>
      <c r="W1358" t="str">
        <f t="shared" si="21"/>
        <v>2000065081_20247</v>
      </c>
      <c r="X1358" s="2" t="s">
        <v>1616</v>
      </c>
    </row>
    <row r="1359" spans="1:24" hidden="1" x14ac:dyDescent="0.35">
      <c r="A1359">
        <v>5</v>
      </c>
      <c r="B1359">
        <v>2000065716</v>
      </c>
      <c r="C1359" s="1">
        <v>45307</v>
      </c>
      <c r="D1359" t="s">
        <v>1611</v>
      </c>
      <c r="E1359" t="s">
        <v>18</v>
      </c>
      <c r="F1359" t="s">
        <v>1602</v>
      </c>
      <c r="G1359" t="s">
        <v>1603</v>
      </c>
      <c r="H1359" t="s">
        <v>1612</v>
      </c>
      <c r="I1359" t="s">
        <v>41</v>
      </c>
      <c r="J1359">
        <v>0.86699999999999999</v>
      </c>
      <c r="K1359">
        <v>2.7</v>
      </c>
      <c r="L1359">
        <v>3</v>
      </c>
      <c r="M1359">
        <v>0.77</v>
      </c>
      <c r="N1359" t="s">
        <v>28</v>
      </c>
      <c r="O1359" s="1">
        <v>46070</v>
      </c>
      <c r="S1359" t="s">
        <v>915</v>
      </c>
      <c r="T1359" s="5" t="s">
        <v>953</v>
      </c>
      <c r="U1359" s="5" t="s">
        <v>928</v>
      </c>
      <c r="V1359" t="s">
        <v>956</v>
      </c>
      <c r="W1359" t="str">
        <f t="shared" si="21"/>
        <v>2000065716_20241</v>
      </c>
      <c r="X1359" s="2" t="s">
        <v>1616</v>
      </c>
    </row>
    <row r="1360" spans="1:24" hidden="1" x14ac:dyDescent="0.35">
      <c r="A1360">
        <v>43</v>
      </c>
      <c r="B1360">
        <v>2000057173</v>
      </c>
      <c r="C1360" s="1">
        <v>45798</v>
      </c>
      <c r="D1360" t="s">
        <v>436</v>
      </c>
      <c r="E1360" t="s">
        <v>18</v>
      </c>
      <c r="F1360" t="s">
        <v>19</v>
      </c>
      <c r="G1360" t="s">
        <v>82</v>
      </c>
      <c r="H1360" t="s">
        <v>3739</v>
      </c>
      <c r="I1360" t="s">
        <v>19</v>
      </c>
      <c r="J1360">
        <v>1</v>
      </c>
      <c r="K1360">
        <v>3</v>
      </c>
      <c r="L1360">
        <v>0</v>
      </c>
      <c r="M1360">
        <v>0.86</v>
      </c>
      <c r="N1360" t="s">
        <v>368</v>
      </c>
      <c r="O1360" s="1">
        <v>46894</v>
      </c>
      <c r="S1360" t="s">
        <v>915</v>
      </c>
      <c r="T1360" s="5" t="s">
        <v>947</v>
      </c>
      <c r="U1360" s="5" t="s">
        <v>944</v>
      </c>
      <c r="V1360" t="s">
        <v>1650</v>
      </c>
      <c r="W1360" t="str">
        <f t="shared" si="21"/>
        <v>2000057173_20255</v>
      </c>
      <c r="X1360" t="s">
        <v>1615</v>
      </c>
    </row>
    <row r="1361" spans="1:24" hidden="1" x14ac:dyDescent="0.35">
      <c r="A1361">
        <v>44</v>
      </c>
      <c r="B1361">
        <v>2000061975</v>
      </c>
      <c r="C1361" s="1">
        <v>45799</v>
      </c>
      <c r="D1361" t="s">
        <v>577</v>
      </c>
      <c r="E1361" t="s">
        <v>18</v>
      </c>
      <c r="F1361" t="s">
        <v>43</v>
      </c>
      <c r="G1361" t="s">
        <v>20</v>
      </c>
      <c r="H1361" t="s">
        <v>3740</v>
      </c>
      <c r="I1361" t="s">
        <v>41</v>
      </c>
      <c r="J1361">
        <v>0.81499999999999995</v>
      </c>
      <c r="K1361">
        <v>3</v>
      </c>
      <c r="L1361">
        <v>3</v>
      </c>
      <c r="M1361">
        <v>0.73</v>
      </c>
      <c r="N1361" t="s">
        <v>28</v>
      </c>
      <c r="O1361" s="1">
        <v>46529</v>
      </c>
      <c r="S1361" t="s">
        <v>915</v>
      </c>
      <c r="T1361" s="5" t="s">
        <v>947</v>
      </c>
      <c r="U1361" s="5" t="s">
        <v>933</v>
      </c>
      <c r="V1361" t="s">
        <v>1650</v>
      </c>
      <c r="W1361" t="str">
        <f t="shared" si="21"/>
        <v>2000061975_20255</v>
      </c>
      <c r="X1361" t="s">
        <v>1615</v>
      </c>
    </row>
    <row r="1362" spans="1:24" hidden="1" x14ac:dyDescent="0.35">
      <c r="A1362">
        <v>10</v>
      </c>
      <c r="B1362">
        <v>2000065803</v>
      </c>
      <c r="C1362" s="1">
        <v>45378</v>
      </c>
      <c r="D1362" t="s">
        <v>676</v>
      </c>
      <c r="E1362" t="s">
        <v>18</v>
      </c>
      <c r="F1362" t="s">
        <v>148</v>
      </c>
      <c r="G1362" t="s">
        <v>149</v>
      </c>
      <c r="H1362" t="s">
        <v>677</v>
      </c>
      <c r="I1362" t="s">
        <v>148</v>
      </c>
      <c r="J1362">
        <v>0.71399999999999997</v>
      </c>
      <c r="K1362">
        <v>2.7</v>
      </c>
      <c r="L1362">
        <v>3</v>
      </c>
      <c r="M1362">
        <v>0.55000000000000004</v>
      </c>
      <c r="N1362" t="s">
        <v>23</v>
      </c>
      <c r="O1362" s="1">
        <v>45743</v>
      </c>
      <c r="S1362" t="s">
        <v>915</v>
      </c>
      <c r="T1362" s="6" t="s">
        <v>941</v>
      </c>
      <c r="U1362" s="6" t="s">
        <v>925</v>
      </c>
      <c r="V1362" s="2" t="s">
        <v>956</v>
      </c>
      <c r="W1362" t="str">
        <f t="shared" si="21"/>
        <v>2000065803_20243</v>
      </c>
      <c r="X1362" s="2" t="s">
        <v>1615</v>
      </c>
    </row>
    <row r="1363" spans="1:24" hidden="1" x14ac:dyDescent="0.35">
      <c r="A1363">
        <v>61</v>
      </c>
      <c r="B1363">
        <v>2000065913</v>
      </c>
      <c r="C1363" s="1">
        <v>45155</v>
      </c>
      <c r="D1363" t="s">
        <v>606</v>
      </c>
      <c r="E1363" t="s">
        <v>18</v>
      </c>
      <c r="F1363" t="s">
        <v>148</v>
      </c>
      <c r="G1363" t="s">
        <v>245</v>
      </c>
      <c r="H1363" t="s">
        <v>607</v>
      </c>
      <c r="I1363" t="s">
        <v>148</v>
      </c>
      <c r="J1363">
        <v>0.82099999999999995</v>
      </c>
      <c r="K1363">
        <v>2.7</v>
      </c>
      <c r="L1363">
        <v>3</v>
      </c>
      <c r="M1363">
        <v>0.57999999999999996</v>
      </c>
      <c r="N1363" t="s">
        <v>28</v>
      </c>
      <c r="O1363" s="1">
        <v>45886</v>
      </c>
      <c r="S1363" t="s">
        <v>915</v>
      </c>
      <c r="T1363" s="6" t="s">
        <v>940</v>
      </c>
      <c r="U1363" s="6" t="s">
        <v>929</v>
      </c>
      <c r="V1363" s="2" t="s">
        <v>955</v>
      </c>
      <c r="W1363" t="str">
        <f t="shared" si="21"/>
        <v>2000065913_20238</v>
      </c>
      <c r="X1363" s="2" t="s">
        <v>1615</v>
      </c>
    </row>
    <row r="1364" spans="1:24" hidden="1" x14ac:dyDescent="0.35">
      <c r="A1364">
        <v>61</v>
      </c>
      <c r="B1364">
        <v>2000066149</v>
      </c>
      <c r="C1364" s="1">
        <v>45461</v>
      </c>
      <c r="D1364" t="s">
        <v>1794</v>
      </c>
      <c r="E1364" t="s">
        <v>18</v>
      </c>
      <c r="F1364" t="s">
        <v>39</v>
      </c>
      <c r="G1364" t="s">
        <v>1603</v>
      </c>
      <c r="H1364" t="s">
        <v>1795</v>
      </c>
      <c r="I1364" t="s">
        <v>41</v>
      </c>
      <c r="J1364">
        <v>0.94799999999999995</v>
      </c>
      <c r="K1364">
        <v>3</v>
      </c>
      <c r="L1364">
        <v>2</v>
      </c>
      <c r="M1364">
        <v>0.82</v>
      </c>
      <c r="N1364" t="s">
        <v>368</v>
      </c>
      <c r="O1364" s="1">
        <v>46556</v>
      </c>
      <c r="S1364" t="s">
        <v>915</v>
      </c>
      <c r="T1364" s="5" t="s">
        <v>927</v>
      </c>
      <c r="U1364" s="5" t="s">
        <v>930</v>
      </c>
      <c r="V1364" t="s">
        <v>956</v>
      </c>
      <c r="W1364" t="str">
        <f t="shared" si="21"/>
        <v>2000066149_20246</v>
      </c>
      <c r="X1364" s="2" t="s">
        <v>1616</v>
      </c>
    </row>
    <row r="1365" spans="1:24" hidden="1" x14ac:dyDescent="0.35">
      <c r="A1365">
        <v>60</v>
      </c>
      <c r="B1365">
        <v>2000066182</v>
      </c>
      <c r="C1365" s="1">
        <v>45519</v>
      </c>
      <c r="D1365" t="s">
        <v>1574</v>
      </c>
      <c r="E1365" t="s">
        <v>18</v>
      </c>
      <c r="F1365" t="s">
        <v>39</v>
      </c>
      <c r="G1365" t="s">
        <v>20</v>
      </c>
      <c r="H1365" t="s">
        <v>1576</v>
      </c>
      <c r="I1365" t="s">
        <v>41</v>
      </c>
      <c r="J1365">
        <v>0.79500000000000004</v>
      </c>
      <c r="K1365">
        <v>2.7</v>
      </c>
      <c r="L1365">
        <v>4</v>
      </c>
      <c r="M1365">
        <v>0.93</v>
      </c>
      <c r="N1365" t="s">
        <v>23</v>
      </c>
      <c r="O1365" s="1">
        <v>45884</v>
      </c>
      <c r="S1365" t="s">
        <v>915</v>
      </c>
      <c r="T1365" s="6" t="s">
        <v>940</v>
      </c>
      <c r="U1365" s="6" t="s">
        <v>943</v>
      </c>
      <c r="V1365" s="2" t="s">
        <v>956</v>
      </c>
      <c r="W1365" t="str">
        <f t="shared" si="21"/>
        <v>2000066182_20248</v>
      </c>
      <c r="X1365" s="2" t="s">
        <v>1615</v>
      </c>
    </row>
    <row r="1366" spans="1:24" hidden="1" x14ac:dyDescent="0.35">
      <c r="A1366">
        <v>72</v>
      </c>
      <c r="B1366">
        <v>2000066504</v>
      </c>
      <c r="C1366" s="1">
        <v>45481</v>
      </c>
      <c r="D1366" t="s">
        <v>1819</v>
      </c>
      <c r="E1366" t="s">
        <v>18</v>
      </c>
      <c r="F1366" t="s">
        <v>376</v>
      </c>
      <c r="G1366" t="s">
        <v>1820</v>
      </c>
      <c r="H1366" t="s">
        <v>1821</v>
      </c>
      <c r="I1366" t="s">
        <v>22</v>
      </c>
      <c r="J1366">
        <v>1</v>
      </c>
      <c r="K1366">
        <v>3</v>
      </c>
      <c r="L1366">
        <v>0</v>
      </c>
      <c r="M1366">
        <v>0.97</v>
      </c>
      <c r="N1366" t="s">
        <v>368</v>
      </c>
      <c r="O1366" s="1">
        <v>46576</v>
      </c>
      <c r="S1366" t="s">
        <v>915</v>
      </c>
      <c r="T1366" s="5" t="s">
        <v>936</v>
      </c>
      <c r="U1366" s="5" t="s">
        <v>940</v>
      </c>
      <c r="V1366" t="s">
        <v>956</v>
      </c>
      <c r="W1366" t="str">
        <f t="shared" si="21"/>
        <v>2000066504_20247</v>
      </c>
      <c r="X1366" s="2" t="s">
        <v>1616</v>
      </c>
    </row>
    <row r="1367" spans="1:24" hidden="1" x14ac:dyDescent="0.35">
      <c r="A1367">
        <v>32</v>
      </c>
      <c r="B1367">
        <v>2000066693</v>
      </c>
      <c r="C1367" s="1">
        <v>45428</v>
      </c>
      <c r="D1367" t="s">
        <v>705</v>
      </c>
      <c r="E1367" t="s">
        <v>18</v>
      </c>
      <c r="F1367" t="s">
        <v>43</v>
      </c>
      <c r="G1367" t="s">
        <v>82</v>
      </c>
      <c r="H1367" t="s">
        <v>706</v>
      </c>
      <c r="I1367" t="s">
        <v>22</v>
      </c>
      <c r="J1367">
        <v>0.96</v>
      </c>
      <c r="K1367">
        <v>3</v>
      </c>
      <c r="L1367">
        <v>1</v>
      </c>
      <c r="M1367">
        <v>0.96</v>
      </c>
      <c r="N1367" t="s">
        <v>368</v>
      </c>
      <c r="O1367" s="1">
        <v>46523</v>
      </c>
      <c r="P1367" t="s">
        <v>279</v>
      </c>
      <c r="S1367" t="s">
        <v>915</v>
      </c>
      <c r="T1367" s="6" t="s">
        <v>947</v>
      </c>
      <c r="U1367" s="6" t="s">
        <v>928</v>
      </c>
      <c r="V1367" s="2" t="s">
        <v>956</v>
      </c>
      <c r="W1367" t="str">
        <f t="shared" si="21"/>
        <v>2000066693_20245</v>
      </c>
      <c r="X1367" s="2" t="s">
        <v>1615</v>
      </c>
    </row>
    <row r="1368" spans="1:24" hidden="1" x14ac:dyDescent="0.35">
      <c r="A1368">
        <v>48</v>
      </c>
      <c r="B1368">
        <v>2000066796</v>
      </c>
      <c r="C1368" s="1">
        <v>45435</v>
      </c>
      <c r="D1368" t="s">
        <v>1766</v>
      </c>
      <c r="E1368" t="s">
        <v>18</v>
      </c>
      <c r="F1368" t="s">
        <v>376</v>
      </c>
      <c r="G1368" t="s">
        <v>1764</v>
      </c>
      <c r="H1368" t="s">
        <v>1767</v>
      </c>
      <c r="I1368" t="s">
        <v>41</v>
      </c>
      <c r="J1368">
        <v>0.92500000000000004</v>
      </c>
      <c r="K1368">
        <v>3</v>
      </c>
      <c r="L1368">
        <v>1</v>
      </c>
      <c r="M1368">
        <v>0.82</v>
      </c>
      <c r="N1368" t="s">
        <v>368</v>
      </c>
      <c r="O1368" s="1">
        <v>46530</v>
      </c>
      <c r="S1368" t="s">
        <v>915</v>
      </c>
      <c r="T1368" s="5" t="s">
        <v>947</v>
      </c>
      <c r="U1368" s="5" t="s">
        <v>934</v>
      </c>
      <c r="V1368" t="s">
        <v>956</v>
      </c>
      <c r="W1368" t="str">
        <f t="shared" si="21"/>
        <v>2000066796_20245</v>
      </c>
      <c r="X1368" s="2" t="s">
        <v>1616</v>
      </c>
    </row>
    <row r="1369" spans="1:24" hidden="1" x14ac:dyDescent="0.35">
      <c r="A1369">
        <v>56</v>
      </c>
      <c r="B1369">
        <v>2000066831</v>
      </c>
      <c r="C1369" s="1">
        <v>45491</v>
      </c>
      <c r="D1369" t="s">
        <v>723</v>
      </c>
      <c r="E1369" t="s">
        <v>18</v>
      </c>
      <c r="F1369" t="s">
        <v>19</v>
      </c>
      <c r="G1369" t="s">
        <v>20</v>
      </c>
      <c r="H1369" t="s">
        <v>724</v>
      </c>
      <c r="I1369" t="s">
        <v>22</v>
      </c>
      <c r="J1369">
        <v>0.81</v>
      </c>
      <c r="K1369">
        <v>2.6</v>
      </c>
      <c r="L1369">
        <v>4</v>
      </c>
      <c r="M1369">
        <v>0.83</v>
      </c>
      <c r="N1369" t="s">
        <v>28</v>
      </c>
      <c r="O1369" s="1">
        <v>46221</v>
      </c>
      <c r="S1369" t="s">
        <v>915</v>
      </c>
      <c r="T1369" s="6" t="s">
        <v>936</v>
      </c>
      <c r="U1369" s="6" t="s">
        <v>930</v>
      </c>
      <c r="V1369" s="2" t="s">
        <v>956</v>
      </c>
      <c r="W1369" t="str">
        <f t="shared" si="21"/>
        <v>2000066831_20247</v>
      </c>
      <c r="X1369" s="2" t="s">
        <v>1615</v>
      </c>
    </row>
    <row r="1370" spans="1:24" hidden="1" x14ac:dyDescent="0.35">
      <c r="A1370">
        <v>46</v>
      </c>
      <c r="B1370">
        <v>2000066832</v>
      </c>
      <c r="C1370" s="1">
        <v>45457</v>
      </c>
      <c r="D1370" t="s">
        <v>714</v>
      </c>
      <c r="E1370" t="s">
        <v>18</v>
      </c>
      <c r="F1370" t="s">
        <v>43</v>
      </c>
      <c r="G1370" t="s">
        <v>20</v>
      </c>
      <c r="H1370" t="s">
        <v>715</v>
      </c>
      <c r="I1370" t="s">
        <v>22</v>
      </c>
      <c r="J1370">
        <v>0.81</v>
      </c>
      <c r="K1370">
        <v>2.6</v>
      </c>
      <c r="L1370">
        <v>3</v>
      </c>
      <c r="M1370">
        <v>0.85</v>
      </c>
      <c r="N1370" t="s">
        <v>28</v>
      </c>
      <c r="O1370" s="1">
        <v>46187</v>
      </c>
      <c r="P1370" t="s">
        <v>716</v>
      </c>
      <c r="S1370" t="s">
        <v>915</v>
      </c>
      <c r="T1370" s="6" t="s">
        <v>927</v>
      </c>
      <c r="U1370" s="6" t="s">
        <v>951</v>
      </c>
      <c r="V1370" s="2" t="s">
        <v>956</v>
      </c>
      <c r="W1370" t="str">
        <f t="shared" si="21"/>
        <v>2000066832_20246</v>
      </c>
      <c r="X1370" s="2" t="s">
        <v>1615</v>
      </c>
    </row>
    <row r="1371" spans="1:24" hidden="1" x14ac:dyDescent="0.35">
      <c r="A1371">
        <v>45</v>
      </c>
      <c r="B1371">
        <v>2000056324</v>
      </c>
      <c r="C1371" s="1">
        <v>45800</v>
      </c>
      <c r="D1371" t="s">
        <v>64</v>
      </c>
      <c r="E1371" t="s">
        <v>18</v>
      </c>
      <c r="F1371" t="s">
        <v>39</v>
      </c>
      <c r="G1371" t="s">
        <v>20</v>
      </c>
      <c r="H1371" t="s">
        <v>3741</v>
      </c>
      <c r="I1371" t="s">
        <v>41</v>
      </c>
      <c r="J1371">
        <v>0.97599999999999998</v>
      </c>
      <c r="K1371">
        <v>3</v>
      </c>
      <c r="L1371">
        <v>1</v>
      </c>
      <c r="M1371">
        <v>0.9</v>
      </c>
      <c r="N1371" t="s">
        <v>368</v>
      </c>
      <c r="O1371" s="1">
        <v>46896</v>
      </c>
      <c r="S1371" t="s">
        <v>915</v>
      </c>
      <c r="T1371" s="5" t="s">
        <v>947</v>
      </c>
      <c r="U1371" s="5" t="s">
        <v>934</v>
      </c>
      <c r="V1371" t="s">
        <v>1650</v>
      </c>
      <c r="W1371" t="str">
        <f t="shared" si="21"/>
        <v>2000056324_20255</v>
      </c>
      <c r="X1371" t="s">
        <v>1615</v>
      </c>
    </row>
    <row r="1372" spans="1:24" hidden="1" x14ac:dyDescent="0.35">
      <c r="A1372">
        <v>67</v>
      </c>
      <c r="B1372">
        <v>2000055070</v>
      </c>
      <c r="C1372" s="1">
        <v>45796</v>
      </c>
      <c r="D1372" t="s">
        <v>2318</v>
      </c>
      <c r="E1372" t="s">
        <v>18</v>
      </c>
      <c r="F1372" t="s">
        <v>43</v>
      </c>
      <c r="G1372" t="s">
        <v>1817</v>
      </c>
      <c r="H1372" t="s">
        <v>2320</v>
      </c>
      <c r="I1372" t="s">
        <v>974</v>
      </c>
      <c r="J1372">
        <v>1</v>
      </c>
      <c r="K1372">
        <v>3</v>
      </c>
      <c r="L1372">
        <v>0</v>
      </c>
      <c r="M1372">
        <v>98</v>
      </c>
      <c r="N1372" t="s">
        <v>2314</v>
      </c>
      <c r="O1372" s="1">
        <v>46892</v>
      </c>
      <c r="P1372" t="s">
        <v>3742</v>
      </c>
      <c r="Q1372" t="s">
        <v>3414</v>
      </c>
      <c r="R1372" t="s">
        <v>3719</v>
      </c>
      <c r="S1372" t="s">
        <v>915</v>
      </c>
      <c r="T1372" s="5">
        <v>5</v>
      </c>
      <c r="U1372" s="5">
        <v>19</v>
      </c>
      <c r="V1372">
        <v>2025</v>
      </c>
      <c r="W1372" t="str">
        <f t="shared" si="21"/>
        <v>2000055070_20255</v>
      </c>
      <c r="X1372" t="s">
        <v>1616</v>
      </c>
    </row>
    <row r="1373" spans="1:24" hidden="1" x14ac:dyDescent="0.35">
      <c r="A1373">
        <v>51</v>
      </c>
      <c r="B1373">
        <v>2000067618</v>
      </c>
      <c r="C1373" s="1">
        <v>45481</v>
      </c>
      <c r="D1373" t="s">
        <v>719</v>
      </c>
      <c r="E1373" t="s">
        <v>18</v>
      </c>
      <c r="F1373" t="s">
        <v>43</v>
      </c>
      <c r="G1373" t="s">
        <v>26</v>
      </c>
      <c r="H1373" t="s">
        <v>720</v>
      </c>
      <c r="I1373" t="s">
        <v>22</v>
      </c>
      <c r="J1373">
        <v>0.63</v>
      </c>
      <c r="K1373">
        <v>2.7</v>
      </c>
      <c r="L1373">
        <v>4</v>
      </c>
      <c r="M1373">
        <v>0.5</v>
      </c>
      <c r="N1373" t="s">
        <v>23</v>
      </c>
      <c r="O1373" s="1">
        <v>45846</v>
      </c>
      <c r="S1373" t="s">
        <v>915</v>
      </c>
      <c r="T1373" s="6" t="s">
        <v>936</v>
      </c>
      <c r="U1373" s="6" t="s">
        <v>940</v>
      </c>
      <c r="V1373" s="2" t="s">
        <v>956</v>
      </c>
      <c r="W1373" t="str">
        <f t="shared" si="21"/>
        <v>2000067618_20247</v>
      </c>
      <c r="X1373" s="2" t="s">
        <v>1615</v>
      </c>
    </row>
    <row r="1374" spans="1:24" hidden="1" x14ac:dyDescent="0.35">
      <c r="A1374">
        <v>68</v>
      </c>
      <c r="B1374">
        <v>2000055277</v>
      </c>
      <c r="C1374" s="1">
        <v>45798</v>
      </c>
      <c r="D1374" t="s">
        <v>2399</v>
      </c>
      <c r="E1374" t="s">
        <v>18</v>
      </c>
      <c r="F1374" t="s">
        <v>19</v>
      </c>
      <c r="G1374" t="s">
        <v>1606</v>
      </c>
      <c r="H1374" t="s">
        <v>2401</v>
      </c>
      <c r="I1374" t="s">
        <v>974</v>
      </c>
      <c r="J1374">
        <v>0.98399999999999999</v>
      </c>
      <c r="K1374">
        <v>3</v>
      </c>
      <c r="L1374">
        <v>0</v>
      </c>
      <c r="M1374">
        <v>73</v>
      </c>
      <c r="N1374" t="s">
        <v>2314</v>
      </c>
      <c r="O1374" s="1">
        <v>46894</v>
      </c>
      <c r="R1374" t="s">
        <v>3719</v>
      </c>
      <c r="S1374" t="s">
        <v>915</v>
      </c>
      <c r="T1374" s="5">
        <v>5</v>
      </c>
      <c r="U1374" s="5">
        <v>21</v>
      </c>
      <c r="V1374">
        <v>2025</v>
      </c>
      <c r="W1374" t="str">
        <f t="shared" si="21"/>
        <v>2000055277_20255</v>
      </c>
      <c r="X1374" t="s">
        <v>1616</v>
      </c>
    </row>
    <row r="1375" spans="1:24" hidden="1" x14ac:dyDescent="0.35">
      <c r="A1375">
        <v>46</v>
      </c>
      <c r="B1375">
        <v>2000057994</v>
      </c>
      <c r="C1375" s="1">
        <v>45803</v>
      </c>
      <c r="D1375" t="s">
        <v>3752</v>
      </c>
      <c r="E1375" t="s">
        <v>18</v>
      </c>
      <c r="F1375" t="s">
        <v>148</v>
      </c>
      <c r="G1375" t="s">
        <v>20</v>
      </c>
      <c r="H1375" t="s">
        <v>411</v>
      </c>
      <c r="I1375" t="s">
        <v>148</v>
      </c>
      <c r="J1375">
        <v>0.86099999999999999</v>
      </c>
      <c r="K1375">
        <v>3</v>
      </c>
      <c r="L1375">
        <v>2</v>
      </c>
      <c r="M1375">
        <v>0.7</v>
      </c>
      <c r="N1375" t="s">
        <v>28</v>
      </c>
      <c r="O1375" s="1">
        <v>46533</v>
      </c>
      <c r="S1375" t="s">
        <v>915</v>
      </c>
      <c r="T1375" s="5" t="s">
        <v>947</v>
      </c>
      <c r="U1375" s="5" t="s">
        <v>924</v>
      </c>
      <c r="V1375" t="s">
        <v>1650</v>
      </c>
      <c r="W1375" t="str">
        <f t="shared" si="21"/>
        <v>2000057994_20255</v>
      </c>
      <c r="X1375" t="s">
        <v>1615</v>
      </c>
    </row>
    <row r="1376" spans="1:24" hidden="1" x14ac:dyDescent="0.35">
      <c r="A1376">
        <v>47</v>
      </c>
      <c r="B1376">
        <v>2000061831</v>
      </c>
      <c r="C1376" s="1">
        <v>45804</v>
      </c>
      <c r="D1376" t="s">
        <v>574</v>
      </c>
      <c r="E1376" t="s">
        <v>18</v>
      </c>
      <c r="F1376" t="s">
        <v>39</v>
      </c>
      <c r="G1376" t="s">
        <v>20</v>
      </c>
      <c r="H1376" t="s">
        <v>3753</v>
      </c>
      <c r="I1376" t="s">
        <v>41</v>
      </c>
      <c r="J1376">
        <v>0.94099999999999995</v>
      </c>
      <c r="K1376">
        <v>2.6</v>
      </c>
      <c r="L1376">
        <v>3</v>
      </c>
      <c r="M1376">
        <v>0.83</v>
      </c>
      <c r="N1376" t="s">
        <v>28</v>
      </c>
      <c r="O1376" s="1">
        <v>46534</v>
      </c>
      <c r="S1376" t="s">
        <v>915</v>
      </c>
      <c r="T1376" s="5" t="s">
        <v>947</v>
      </c>
      <c r="U1376" s="5" t="s">
        <v>925</v>
      </c>
      <c r="V1376" t="s">
        <v>1650</v>
      </c>
      <c r="W1376" t="str">
        <f t="shared" si="21"/>
        <v>2000061831_20255</v>
      </c>
      <c r="X1376" t="s">
        <v>1615</v>
      </c>
    </row>
    <row r="1377" spans="1:24" hidden="1" x14ac:dyDescent="0.35">
      <c r="A1377">
        <v>48</v>
      </c>
      <c r="B1377">
        <v>2000060049</v>
      </c>
      <c r="C1377" s="1">
        <v>45806</v>
      </c>
      <c r="D1377" t="s">
        <v>3754</v>
      </c>
      <c r="E1377" t="s">
        <v>18</v>
      </c>
      <c r="F1377" t="s">
        <v>148</v>
      </c>
      <c r="G1377" t="s">
        <v>20</v>
      </c>
      <c r="H1377" t="s">
        <v>3755</v>
      </c>
      <c r="I1377" t="s">
        <v>148</v>
      </c>
      <c r="J1377">
        <v>0.73299999999999998</v>
      </c>
      <c r="K1377">
        <v>3</v>
      </c>
      <c r="L1377">
        <v>3</v>
      </c>
      <c r="M1377">
        <v>0.56999999999999995</v>
      </c>
      <c r="N1377" t="s">
        <v>23</v>
      </c>
      <c r="O1377" s="1">
        <v>46171</v>
      </c>
      <c r="S1377" t="s">
        <v>915</v>
      </c>
      <c r="T1377" s="5" t="s">
        <v>947</v>
      </c>
      <c r="U1377" s="5" t="s">
        <v>937</v>
      </c>
      <c r="V1377" t="s">
        <v>1650</v>
      </c>
      <c r="W1377" t="str">
        <f t="shared" si="21"/>
        <v>2000060049_20255</v>
      </c>
      <c r="X1377" t="s">
        <v>1615</v>
      </c>
    </row>
    <row r="1378" spans="1:24" hidden="1" x14ac:dyDescent="0.35">
      <c r="A1378">
        <v>69</v>
      </c>
      <c r="B1378">
        <v>2000038830</v>
      </c>
      <c r="C1378" s="1">
        <v>45800</v>
      </c>
      <c r="D1378" t="s">
        <v>2487</v>
      </c>
      <c r="E1378" t="s">
        <v>18</v>
      </c>
      <c r="F1378" t="s">
        <v>43</v>
      </c>
      <c r="G1378" t="s">
        <v>1606</v>
      </c>
      <c r="H1378" t="s">
        <v>3743</v>
      </c>
      <c r="I1378" t="s">
        <v>41</v>
      </c>
      <c r="J1378">
        <v>1</v>
      </c>
      <c r="K1378">
        <v>3</v>
      </c>
      <c r="L1378">
        <v>0</v>
      </c>
      <c r="M1378">
        <v>0.82</v>
      </c>
      <c r="N1378" t="s">
        <v>2314</v>
      </c>
      <c r="O1378" s="1">
        <v>46896</v>
      </c>
      <c r="R1378" t="s">
        <v>3719</v>
      </c>
      <c r="S1378" t="s">
        <v>915</v>
      </c>
      <c r="T1378" s="5">
        <v>5</v>
      </c>
      <c r="U1378" s="5">
        <v>23</v>
      </c>
      <c r="V1378">
        <v>2025</v>
      </c>
      <c r="W1378" t="str">
        <f t="shared" si="21"/>
        <v>2000038830_20255</v>
      </c>
      <c r="X1378" t="s">
        <v>1616</v>
      </c>
    </row>
    <row r="1379" spans="1:24" hidden="1" x14ac:dyDescent="0.35">
      <c r="A1379">
        <v>49</v>
      </c>
      <c r="B1379">
        <v>2000057634</v>
      </c>
      <c r="C1379" s="1">
        <v>45807</v>
      </c>
      <c r="D1379" t="s">
        <v>3756</v>
      </c>
      <c r="E1379" t="s">
        <v>18</v>
      </c>
      <c r="F1379" t="s">
        <v>148</v>
      </c>
      <c r="G1379" t="s">
        <v>20</v>
      </c>
      <c r="H1379" t="s">
        <v>3757</v>
      </c>
      <c r="I1379" t="s">
        <v>148</v>
      </c>
      <c r="J1379">
        <v>0.85</v>
      </c>
      <c r="K1379">
        <v>3</v>
      </c>
      <c r="L1379">
        <v>3</v>
      </c>
      <c r="M1379">
        <v>0.78</v>
      </c>
      <c r="N1379" t="s">
        <v>28</v>
      </c>
      <c r="O1379" s="1">
        <v>46537</v>
      </c>
      <c r="Q1379" t="s">
        <v>50</v>
      </c>
      <c r="S1379" t="s">
        <v>915</v>
      </c>
      <c r="T1379" s="5" t="s">
        <v>947</v>
      </c>
      <c r="U1379" s="5" t="s">
        <v>938</v>
      </c>
      <c r="V1379" t="s">
        <v>1650</v>
      </c>
      <c r="W1379" t="str">
        <f t="shared" si="21"/>
        <v>2000057634_20255</v>
      </c>
      <c r="X1379" t="s">
        <v>1615</v>
      </c>
    </row>
    <row r="1380" spans="1:24" hidden="1" x14ac:dyDescent="0.35">
      <c r="A1380">
        <v>1</v>
      </c>
      <c r="B1380" s="3" t="s">
        <v>980</v>
      </c>
      <c r="C1380" s="4">
        <v>44785</v>
      </c>
      <c r="D1380" t="s">
        <v>959</v>
      </c>
      <c r="F1380" t="s">
        <v>19</v>
      </c>
      <c r="G1380" t="s">
        <v>964</v>
      </c>
      <c r="H1380" t="s">
        <v>965</v>
      </c>
      <c r="I1380" t="s">
        <v>973</v>
      </c>
      <c r="J1380">
        <v>0.78100000000000003</v>
      </c>
      <c r="N1380" t="s">
        <v>28</v>
      </c>
      <c r="O1380" s="4">
        <v>45516</v>
      </c>
      <c r="S1380" s="3" t="s">
        <v>958</v>
      </c>
      <c r="T1380" s="6" t="s">
        <v>940</v>
      </c>
      <c r="U1380" s="6" t="s">
        <v>949</v>
      </c>
      <c r="V1380" s="2" t="s">
        <v>954</v>
      </c>
      <c r="W1380" t="str">
        <f t="shared" ref="W1380:W1409" si="22">CONCATENATE(B1380,"_",V1380,T1380)</f>
        <v>A_20228</v>
      </c>
      <c r="X1380" s="2" t="s">
        <v>1615</v>
      </c>
    </row>
    <row r="1381" spans="1:24" hidden="1" x14ac:dyDescent="0.35">
      <c r="A1381">
        <v>2</v>
      </c>
      <c r="B1381" s="3" t="s">
        <v>980</v>
      </c>
      <c r="C1381" s="4">
        <v>45474</v>
      </c>
      <c r="D1381" t="s">
        <v>959</v>
      </c>
      <c r="F1381" t="s">
        <v>19</v>
      </c>
      <c r="G1381" t="s">
        <v>964</v>
      </c>
      <c r="H1381" t="s">
        <v>965</v>
      </c>
      <c r="I1381" t="s">
        <v>974</v>
      </c>
      <c r="J1381">
        <v>0.84199999999999997</v>
      </c>
      <c r="N1381" t="s">
        <v>28</v>
      </c>
      <c r="O1381" s="4">
        <v>46204</v>
      </c>
      <c r="S1381" s="3" t="s">
        <v>958</v>
      </c>
      <c r="T1381" s="6" t="s">
        <v>936</v>
      </c>
      <c r="U1381" s="6" t="s">
        <v>953</v>
      </c>
      <c r="V1381" s="2" t="s">
        <v>956</v>
      </c>
      <c r="W1381" t="str">
        <f t="shared" si="22"/>
        <v>A_20247</v>
      </c>
      <c r="X1381" s="2" t="s">
        <v>1615</v>
      </c>
    </row>
    <row r="1382" spans="1:24" hidden="1" x14ac:dyDescent="0.35">
      <c r="A1382">
        <v>1</v>
      </c>
      <c r="B1382" s="3" t="s">
        <v>981</v>
      </c>
      <c r="C1382" s="4">
        <v>45468</v>
      </c>
      <c r="D1382" t="s">
        <v>960</v>
      </c>
      <c r="F1382" t="s">
        <v>966</v>
      </c>
      <c r="G1382" t="s">
        <v>964</v>
      </c>
      <c r="H1382" t="s">
        <v>977</v>
      </c>
      <c r="I1382" t="s">
        <v>974</v>
      </c>
      <c r="J1382">
        <v>0.875</v>
      </c>
      <c r="N1382" t="s">
        <v>28</v>
      </c>
      <c r="O1382" s="4">
        <v>46198</v>
      </c>
      <c r="S1382" s="3" t="s">
        <v>958</v>
      </c>
      <c r="T1382" s="6" t="s">
        <v>927</v>
      </c>
      <c r="U1382" s="6" t="s">
        <v>922</v>
      </c>
      <c r="V1382" s="2" t="s">
        <v>956</v>
      </c>
      <c r="W1382" t="str">
        <f t="shared" si="22"/>
        <v>B_20246</v>
      </c>
      <c r="X1382" s="2" t="s">
        <v>1615</v>
      </c>
    </row>
    <row r="1383" spans="1:24" hidden="1" x14ac:dyDescent="0.35">
      <c r="A1383">
        <v>2</v>
      </c>
      <c r="B1383" s="3" t="s">
        <v>981</v>
      </c>
      <c r="C1383" s="4">
        <v>44812</v>
      </c>
      <c r="D1383" t="s">
        <v>960</v>
      </c>
      <c r="F1383" t="s">
        <v>966</v>
      </c>
      <c r="G1383" t="s">
        <v>964</v>
      </c>
      <c r="H1383" t="s">
        <v>967</v>
      </c>
      <c r="I1383" t="s">
        <v>974</v>
      </c>
      <c r="J1383">
        <v>0.81399999999999995</v>
      </c>
      <c r="N1383" t="s">
        <v>28</v>
      </c>
      <c r="O1383" s="4">
        <v>45543</v>
      </c>
      <c r="S1383" s="3" t="s">
        <v>958</v>
      </c>
      <c r="T1383" s="6" t="s">
        <v>942</v>
      </c>
      <c r="U1383" s="6" t="s">
        <v>940</v>
      </c>
      <c r="V1383" s="2" t="s">
        <v>954</v>
      </c>
      <c r="W1383" t="str">
        <f t="shared" si="22"/>
        <v>B_20229</v>
      </c>
      <c r="X1383" s="2" t="s">
        <v>1615</v>
      </c>
    </row>
    <row r="1384" spans="1:24" hidden="1" x14ac:dyDescent="0.35">
      <c r="A1384">
        <v>3</v>
      </c>
      <c r="B1384" s="3" t="s">
        <v>982</v>
      </c>
      <c r="C1384" s="4">
        <v>44837</v>
      </c>
      <c r="D1384" t="s">
        <v>976</v>
      </c>
      <c r="F1384" t="s">
        <v>19</v>
      </c>
      <c r="G1384" t="s">
        <v>968</v>
      </c>
      <c r="H1384" t="s">
        <v>969</v>
      </c>
      <c r="I1384" t="s">
        <v>974</v>
      </c>
      <c r="J1384">
        <v>0.81200000000000006</v>
      </c>
      <c r="N1384" t="s">
        <v>28</v>
      </c>
      <c r="O1384" s="4">
        <v>45568</v>
      </c>
      <c r="S1384" s="3" t="s">
        <v>958</v>
      </c>
      <c r="T1384" s="6" t="s">
        <v>948</v>
      </c>
      <c r="U1384" s="6" t="s">
        <v>941</v>
      </c>
      <c r="V1384" s="2" t="s">
        <v>954</v>
      </c>
      <c r="W1384" t="str">
        <f t="shared" si="22"/>
        <v>C_202210</v>
      </c>
      <c r="X1384" s="2" t="s">
        <v>1615</v>
      </c>
    </row>
    <row r="1385" spans="1:24" hidden="1" x14ac:dyDescent="0.35">
      <c r="A1385">
        <v>3</v>
      </c>
      <c r="B1385" s="3" t="s">
        <v>982</v>
      </c>
      <c r="C1385" s="4">
        <v>45500</v>
      </c>
      <c r="D1385" t="s">
        <v>976</v>
      </c>
      <c r="F1385" t="s">
        <v>19</v>
      </c>
      <c r="G1385" t="s">
        <v>978</v>
      </c>
      <c r="H1385" t="s">
        <v>979</v>
      </c>
      <c r="I1385" t="s">
        <v>974</v>
      </c>
      <c r="J1385">
        <v>0.89726027397260277</v>
      </c>
      <c r="N1385" t="s">
        <v>28</v>
      </c>
      <c r="O1385" s="4">
        <v>46230</v>
      </c>
      <c r="S1385" s="3" t="s">
        <v>958</v>
      </c>
      <c r="T1385" s="6" t="s">
        <v>936</v>
      </c>
      <c r="U1385" s="6" t="s">
        <v>925</v>
      </c>
      <c r="V1385" s="2" t="s">
        <v>956</v>
      </c>
      <c r="W1385" t="str">
        <f t="shared" si="22"/>
        <v>C_20247</v>
      </c>
      <c r="X1385" s="2" t="s">
        <v>1615</v>
      </c>
    </row>
    <row r="1386" spans="1:24" hidden="1" x14ac:dyDescent="0.35">
      <c r="A1386">
        <v>1</v>
      </c>
      <c r="B1386" s="3" t="s">
        <v>1093</v>
      </c>
      <c r="C1386" s="4">
        <v>45260</v>
      </c>
      <c r="D1386" t="s">
        <v>961</v>
      </c>
      <c r="F1386" t="s">
        <v>966</v>
      </c>
      <c r="G1386" t="s">
        <v>964</v>
      </c>
      <c r="H1386" t="s">
        <v>970</v>
      </c>
      <c r="I1386" t="s">
        <v>974</v>
      </c>
      <c r="J1386">
        <v>0.91100000000000003</v>
      </c>
      <c r="N1386" t="s">
        <v>28</v>
      </c>
      <c r="O1386" s="4">
        <v>45991</v>
      </c>
      <c r="S1386" s="3" t="s">
        <v>958</v>
      </c>
      <c r="T1386" s="6" t="s">
        <v>945</v>
      </c>
      <c r="U1386" s="6" t="s">
        <v>938</v>
      </c>
      <c r="V1386" s="2" t="s">
        <v>955</v>
      </c>
      <c r="W1386" t="str">
        <f t="shared" si="22"/>
        <v>D_202311</v>
      </c>
      <c r="X1386" s="2" t="s">
        <v>1615</v>
      </c>
    </row>
    <row r="1387" spans="1:24" hidden="1" x14ac:dyDescent="0.35">
      <c r="A1387">
        <v>3</v>
      </c>
      <c r="B1387" s="3" t="s">
        <v>1094</v>
      </c>
      <c r="C1387" s="4">
        <v>45289</v>
      </c>
      <c r="D1387" t="s">
        <v>963</v>
      </c>
      <c r="F1387" t="s">
        <v>966</v>
      </c>
      <c r="G1387" t="s">
        <v>964</v>
      </c>
      <c r="H1387" t="s">
        <v>972</v>
      </c>
      <c r="I1387" t="s">
        <v>974</v>
      </c>
      <c r="J1387">
        <v>0.90277777777777779</v>
      </c>
      <c r="N1387" t="s">
        <v>28</v>
      </c>
      <c r="O1387" s="4">
        <v>46020</v>
      </c>
      <c r="S1387" s="3" t="s">
        <v>958</v>
      </c>
      <c r="T1387" s="6" t="s">
        <v>949</v>
      </c>
      <c r="U1387" s="6" t="s">
        <v>937</v>
      </c>
      <c r="V1387" s="2" t="s">
        <v>955</v>
      </c>
      <c r="W1387" t="str">
        <f t="shared" si="22"/>
        <v>E_202312</v>
      </c>
      <c r="X1387" s="2" t="s">
        <v>1615</v>
      </c>
    </row>
    <row r="1388" spans="1:24" hidden="1" x14ac:dyDescent="0.35">
      <c r="A1388">
        <v>2</v>
      </c>
      <c r="B1388" s="3" t="s">
        <v>1095</v>
      </c>
      <c r="C1388" s="4">
        <v>45260</v>
      </c>
      <c r="D1388" t="s">
        <v>962</v>
      </c>
      <c r="F1388" t="s">
        <v>966</v>
      </c>
      <c r="G1388" t="s">
        <v>964</v>
      </c>
      <c r="H1388" t="s">
        <v>971</v>
      </c>
      <c r="I1388" t="s">
        <v>975</v>
      </c>
      <c r="J1388">
        <v>0.73699999999999999</v>
      </c>
      <c r="N1388" t="s">
        <v>23</v>
      </c>
      <c r="O1388" s="4">
        <v>45626</v>
      </c>
      <c r="S1388" s="3" t="s">
        <v>958</v>
      </c>
      <c r="T1388" s="6" t="s">
        <v>945</v>
      </c>
      <c r="U1388" s="6" t="s">
        <v>938</v>
      </c>
      <c r="V1388" s="2" t="s">
        <v>955</v>
      </c>
      <c r="W1388" t="str">
        <f t="shared" si="22"/>
        <v>F_202311</v>
      </c>
      <c r="X1388" s="2" t="s">
        <v>1615</v>
      </c>
    </row>
    <row r="1389" spans="1:24" hidden="1" x14ac:dyDescent="0.35">
      <c r="A1389">
        <v>1</v>
      </c>
      <c r="B1389" t="s">
        <v>726</v>
      </c>
      <c r="C1389" s="1">
        <v>45355</v>
      </c>
      <c r="D1389" t="s">
        <v>902</v>
      </c>
      <c r="E1389" t="s">
        <v>18</v>
      </c>
      <c r="F1389" t="s">
        <v>43</v>
      </c>
      <c r="G1389" t="s">
        <v>20</v>
      </c>
      <c r="H1389" t="s">
        <v>903</v>
      </c>
      <c r="I1389" t="s">
        <v>41</v>
      </c>
      <c r="J1389">
        <v>0.72699999999999998</v>
      </c>
      <c r="M1389">
        <v>0.75</v>
      </c>
      <c r="R1389" t="s">
        <v>847</v>
      </c>
      <c r="S1389" t="s">
        <v>726</v>
      </c>
      <c r="T1389" s="6" t="s">
        <v>941</v>
      </c>
      <c r="U1389" s="6" t="s">
        <v>946</v>
      </c>
      <c r="V1389" s="2" t="s">
        <v>956</v>
      </c>
      <c r="W1389" t="str">
        <f t="shared" si="22"/>
        <v>New_20243</v>
      </c>
      <c r="X1389" s="2" t="s">
        <v>1615</v>
      </c>
    </row>
    <row r="1390" spans="1:24" hidden="1" x14ac:dyDescent="0.35">
      <c r="A1390">
        <v>2</v>
      </c>
      <c r="B1390" t="s">
        <v>726</v>
      </c>
      <c r="C1390" s="1">
        <v>45422</v>
      </c>
      <c r="D1390" t="s">
        <v>904</v>
      </c>
      <c r="E1390" t="s">
        <v>18</v>
      </c>
      <c r="F1390" t="s">
        <v>19</v>
      </c>
      <c r="G1390" t="s">
        <v>82</v>
      </c>
      <c r="H1390" t="s">
        <v>905</v>
      </c>
      <c r="I1390" t="s">
        <v>22</v>
      </c>
      <c r="J1390">
        <v>0.86</v>
      </c>
      <c r="M1390">
        <v>0.91</v>
      </c>
      <c r="Q1390" t="s">
        <v>311</v>
      </c>
      <c r="R1390" t="s">
        <v>847</v>
      </c>
      <c r="S1390" t="s">
        <v>726</v>
      </c>
      <c r="T1390" s="6" t="s">
        <v>947</v>
      </c>
      <c r="U1390" s="6" t="s">
        <v>948</v>
      </c>
      <c r="V1390" s="2" t="s">
        <v>956</v>
      </c>
      <c r="W1390" t="str">
        <f t="shared" si="22"/>
        <v>New_20245</v>
      </c>
      <c r="X1390" s="2" t="s">
        <v>1615</v>
      </c>
    </row>
    <row r="1391" spans="1:24" hidden="1" x14ac:dyDescent="0.35">
      <c r="A1391">
        <v>3</v>
      </c>
      <c r="B1391" t="s">
        <v>726</v>
      </c>
      <c r="C1391" s="1">
        <v>45442</v>
      </c>
      <c r="D1391" t="s">
        <v>906</v>
      </c>
      <c r="E1391" t="s">
        <v>18</v>
      </c>
      <c r="F1391" t="s">
        <v>19</v>
      </c>
      <c r="G1391" t="s">
        <v>20</v>
      </c>
      <c r="H1391" t="s">
        <v>907</v>
      </c>
      <c r="I1391" t="s">
        <v>22</v>
      </c>
      <c r="J1391">
        <v>0.75</v>
      </c>
      <c r="M1391">
        <v>0.84</v>
      </c>
      <c r="Q1391" t="s">
        <v>908</v>
      </c>
      <c r="R1391" t="s">
        <v>847</v>
      </c>
      <c r="S1391" t="s">
        <v>726</v>
      </c>
      <c r="T1391" s="6" t="s">
        <v>947</v>
      </c>
      <c r="U1391" s="6" t="s">
        <v>938</v>
      </c>
      <c r="V1391" s="2" t="s">
        <v>956</v>
      </c>
      <c r="W1391" t="str">
        <f t="shared" si="22"/>
        <v>New_20245</v>
      </c>
      <c r="X1391" s="2" t="s">
        <v>1615</v>
      </c>
    </row>
    <row r="1392" spans="1:24" hidden="1" x14ac:dyDescent="0.35">
      <c r="A1392">
        <v>4</v>
      </c>
      <c r="B1392" t="s">
        <v>726</v>
      </c>
      <c r="C1392" s="1">
        <v>45449</v>
      </c>
      <c r="D1392" t="s">
        <v>909</v>
      </c>
      <c r="E1392" t="s">
        <v>18</v>
      </c>
      <c r="F1392" t="s">
        <v>43</v>
      </c>
      <c r="G1392" t="s">
        <v>20</v>
      </c>
      <c r="H1392" t="s">
        <v>910</v>
      </c>
      <c r="I1392" t="s">
        <v>22</v>
      </c>
      <c r="J1392">
        <v>0.62</v>
      </c>
      <c r="M1392">
        <v>0.75</v>
      </c>
      <c r="R1392" t="s">
        <v>911</v>
      </c>
      <c r="S1392" t="s">
        <v>726</v>
      </c>
      <c r="T1392" s="6" t="s">
        <v>927</v>
      </c>
      <c r="U1392" s="6" t="s">
        <v>927</v>
      </c>
      <c r="V1392" s="2" t="s">
        <v>956</v>
      </c>
      <c r="W1392" t="str">
        <f t="shared" si="22"/>
        <v>New_20246</v>
      </c>
      <c r="X1392" s="2" t="s">
        <v>1615</v>
      </c>
    </row>
    <row r="1393" spans="1:24" hidden="1" x14ac:dyDescent="0.35">
      <c r="A1393">
        <v>5</v>
      </c>
      <c r="B1393" t="s">
        <v>726</v>
      </c>
      <c r="C1393" s="1">
        <v>45460</v>
      </c>
      <c r="D1393" t="s">
        <v>912</v>
      </c>
      <c r="E1393" t="s">
        <v>18</v>
      </c>
      <c r="F1393" t="s">
        <v>43</v>
      </c>
      <c r="G1393" t="s">
        <v>82</v>
      </c>
      <c r="H1393" t="s">
        <v>913</v>
      </c>
      <c r="I1393" t="s">
        <v>41</v>
      </c>
      <c r="J1393">
        <v>0.81</v>
      </c>
      <c r="M1393">
        <v>0.72</v>
      </c>
      <c r="R1393" t="s">
        <v>847</v>
      </c>
      <c r="S1393" t="s">
        <v>726</v>
      </c>
      <c r="T1393" s="6" t="s">
        <v>927</v>
      </c>
      <c r="U1393" s="6" t="s">
        <v>929</v>
      </c>
      <c r="V1393" s="2" t="s">
        <v>956</v>
      </c>
      <c r="W1393" t="str">
        <f t="shared" si="22"/>
        <v>New_20246</v>
      </c>
      <c r="X1393" s="2" t="s">
        <v>1615</v>
      </c>
    </row>
    <row r="1394" spans="1:24" hidden="1" x14ac:dyDescent="0.35">
      <c r="A1394">
        <v>1</v>
      </c>
      <c r="B1394" t="s">
        <v>726</v>
      </c>
      <c r="C1394" s="1">
        <v>45303</v>
      </c>
      <c r="D1394" t="s">
        <v>1938</v>
      </c>
      <c r="E1394" t="s">
        <v>18</v>
      </c>
      <c r="F1394" t="s">
        <v>43</v>
      </c>
      <c r="G1394" t="s">
        <v>1609</v>
      </c>
      <c r="H1394" t="s">
        <v>1939</v>
      </c>
      <c r="I1394" t="s">
        <v>41</v>
      </c>
      <c r="J1394">
        <v>0.92300000000000004</v>
      </c>
      <c r="M1394">
        <v>0.85</v>
      </c>
      <c r="S1394" t="s">
        <v>726</v>
      </c>
      <c r="T1394" s="5" t="s">
        <v>953</v>
      </c>
      <c r="U1394" s="5" t="s">
        <v>949</v>
      </c>
      <c r="V1394" t="s">
        <v>956</v>
      </c>
      <c r="W1394" t="str">
        <f t="shared" si="22"/>
        <v>New_20241</v>
      </c>
      <c r="X1394" s="2" t="s">
        <v>1616</v>
      </c>
    </row>
    <row r="1395" spans="1:24" hidden="1" x14ac:dyDescent="0.35">
      <c r="A1395">
        <v>2</v>
      </c>
      <c r="B1395" t="s">
        <v>726</v>
      </c>
      <c r="C1395" s="1">
        <v>45310</v>
      </c>
      <c r="D1395" t="s">
        <v>1940</v>
      </c>
      <c r="E1395" t="s">
        <v>18</v>
      </c>
      <c r="F1395" t="s">
        <v>43</v>
      </c>
      <c r="G1395" t="s">
        <v>1941</v>
      </c>
      <c r="H1395" t="s">
        <v>1942</v>
      </c>
      <c r="I1395" t="s">
        <v>41</v>
      </c>
      <c r="J1395">
        <v>0.99199999999999999</v>
      </c>
      <c r="M1395">
        <v>0.95</v>
      </c>
      <c r="S1395" t="s">
        <v>726</v>
      </c>
      <c r="T1395" s="5" t="s">
        <v>953</v>
      </c>
      <c r="U1395" s="5" t="s">
        <v>931</v>
      </c>
      <c r="V1395" t="s">
        <v>956</v>
      </c>
      <c r="W1395" t="str">
        <f t="shared" si="22"/>
        <v>New_20241</v>
      </c>
      <c r="X1395" s="2" t="s">
        <v>1616</v>
      </c>
    </row>
    <row r="1396" spans="1:24" hidden="1" x14ac:dyDescent="0.35">
      <c r="A1396">
        <v>3</v>
      </c>
      <c r="B1396" t="s">
        <v>726</v>
      </c>
      <c r="C1396" s="1">
        <v>45356</v>
      </c>
      <c r="D1396" t="s">
        <v>1943</v>
      </c>
      <c r="E1396" t="s">
        <v>18</v>
      </c>
      <c r="F1396" t="s">
        <v>19</v>
      </c>
      <c r="G1396" t="s">
        <v>1606</v>
      </c>
      <c r="H1396" t="s">
        <v>1944</v>
      </c>
      <c r="I1396" t="s">
        <v>22</v>
      </c>
      <c r="J1396">
        <v>0.80200000000000005</v>
      </c>
      <c r="M1396">
        <v>0.91</v>
      </c>
      <c r="S1396" t="s">
        <v>726</v>
      </c>
      <c r="T1396" s="5" t="s">
        <v>941</v>
      </c>
      <c r="U1396" s="5" t="s">
        <v>947</v>
      </c>
      <c r="V1396" t="s">
        <v>956</v>
      </c>
      <c r="W1396" t="str">
        <f t="shared" si="22"/>
        <v>New_20243</v>
      </c>
      <c r="X1396" s="2" t="s">
        <v>1616</v>
      </c>
    </row>
    <row r="1397" spans="1:24" hidden="1" x14ac:dyDescent="0.35">
      <c r="A1397">
        <v>4</v>
      </c>
      <c r="B1397" t="s">
        <v>726</v>
      </c>
      <c r="C1397" s="1">
        <v>45404</v>
      </c>
      <c r="D1397" t="s">
        <v>1945</v>
      </c>
      <c r="E1397" t="s">
        <v>18</v>
      </c>
      <c r="F1397" t="s">
        <v>19</v>
      </c>
      <c r="G1397" t="s">
        <v>1720</v>
      </c>
      <c r="H1397" t="s">
        <v>1946</v>
      </c>
      <c r="I1397" t="s">
        <v>22</v>
      </c>
      <c r="J1397">
        <v>0.98399999999999999</v>
      </c>
      <c r="M1397">
        <v>0.93</v>
      </c>
      <c r="S1397" t="s">
        <v>726</v>
      </c>
      <c r="T1397" s="5" t="s">
        <v>946</v>
      </c>
      <c r="U1397" s="5" t="s">
        <v>933</v>
      </c>
      <c r="V1397" t="s">
        <v>956</v>
      </c>
      <c r="W1397" t="str">
        <f t="shared" si="22"/>
        <v>New_20244</v>
      </c>
      <c r="X1397" s="2" t="s">
        <v>1616</v>
      </c>
    </row>
    <row r="1398" spans="1:24" hidden="1" x14ac:dyDescent="0.35">
      <c r="A1398">
        <v>1</v>
      </c>
      <c r="B1398" t="s">
        <v>726</v>
      </c>
      <c r="C1398" s="1">
        <v>44119</v>
      </c>
      <c r="D1398" t="s">
        <v>727</v>
      </c>
      <c r="E1398" t="s">
        <v>18</v>
      </c>
      <c r="F1398" t="s">
        <v>39</v>
      </c>
      <c r="G1398" t="s">
        <v>116</v>
      </c>
      <c r="H1398" t="s">
        <v>728</v>
      </c>
      <c r="I1398" t="s">
        <v>41</v>
      </c>
      <c r="J1398">
        <v>0.88100000000000001</v>
      </c>
      <c r="M1398">
        <v>0.78</v>
      </c>
      <c r="S1398" t="s">
        <v>726</v>
      </c>
      <c r="T1398" s="6" t="s">
        <v>948</v>
      </c>
      <c r="U1398" s="6" t="s">
        <v>943</v>
      </c>
      <c r="V1398" s="2" t="s">
        <v>923</v>
      </c>
      <c r="W1398" t="str">
        <f t="shared" si="22"/>
        <v>New_202010</v>
      </c>
      <c r="X1398" s="2" t="s">
        <v>1615</v>
      </c>
    </row>
    <row r="1399" spans="1:24" hidden="1" x14ac:dyDescent="0.35">
      <c r="A1399">
        <v>1</v>
      </c>
      <c r="B1399" t="s">
        <v>726</v>
      </c>
      <c r="C1399" s="1">
        <v>44202</v>
      </c>
      <c r="D1399" t="s">
        <v>805</v>
      </c>
      <c r="E1399" t="s">
        <v>18</v>
      </c>
      <c r="F1399" t="s">
        <v>148</v>
      </c>
      <c r="G1399" t="s">
        <v>20</v>
      </c>
      <c r="H1399" t="s">
        <v>806</v>
      </c>
      <c r="I1399" t="s">
        <v>148</v>
      </c>
      <c r="J1399">
        <v>0.78600000000000003</v>
      </c>
      <c r="M1399">
        <v>0.85</v>
      </c>
      <c r="S1399" t="s">
        <v>726</v>
      </c>
      <c r="T1399" s="6" t="s">
        <v>953</v>
      </c>
      <c r="U1399" s="6" t="s">
        <v>927</v>
      </c>
      <c r="V1399" s="2" t="s">
        <v>952</v>
      </c>
      <c r="W1399" t="str">
        <f t="shared" si="22"/>
        <v>New_20211</v>
      </c>
      <c r="X1399" s="2" t="s">
        <v>1615</v>
      </c>
    </row>
    <row r="1400" spans="1:24" hidden="1" x14ac:dyDescent="0.35">
      <c r="A1400">
        <v>1</v>
      </c>
      <c r="B1400" t="s">
        <v>726</v>
      </c>
      <c r="C1400" s="1">
        <v>44655</v>
      </c>
      <c r="D1400" t="s">
        <v>3715</v>
      </c>
      <c r="E1400" t="s">
        <v>18</v>
      </c>
      <c r="F1400" t="s">
        <v>19</v>
      </c>
      <c r="G1400" t="s">
        <v>26</v>
      </c>
      <c r="H1400" t="s">
        <v>842</v>
      </c>
      <c r="I1400" t="s">
        <v>41</v>
      </c>
      <c r="J1400">
        <v>0.63300000000000001</v>
      </c>
      <c r="M1400">
        <v>0.67</v>
      </c>
      <c r="R1400" t="s">
        <v>813</v>
      </c>
      <c r="S1400" t="s">
        <v>726</v>
      </c>
      <c r="T1400" s="6" t="s">
        <v>946</v>
      </c>
      <c r="U1400" s="6" t="s">
        <v>946</v>
      </c>
      <c r="V1400" s="2" t="s">
        <v>954</v>
      </c>
      <c r="W1400" t="str">
        <f t="shared" si="22"/>
        <v>New_20224</v>
      </c>
      <c r="X1400" s="2" t="s">
        <v>1615</v>
      </c>
    </row>
    <row r="1401" spans="1:24" hidden="1" x14ac:dyDescent="0.35">
      <c r="A1401">
        <v>1</v>
      </c>
      <c r="B1401" t="s">
        <v>726</v>
      </c>
      <c r="C1401" s="1">
        <v>44977</v>
      </c>
      <c r="D1401" t="s">
        <v>866</v>
      </c>
      <c r="E1401" t="s">
        <v>18</v>
      </c>
      <c r="F1401" t="s">
        <v>43</v>
      </c>
      <c r="G1401" t="s">
        <v>20</v>
      </c>
      <c r="H1401" t="s">
        <v>867</v>
      </c>
      <c r="I1401" t="s">
        <v>41</v>
      </c>
      <c r="J1401">
        <v>0.78800000000000003</v>
      </c>
      <c r="M1401">
        <v>0.85</v>
      </c>
      <c r="S1401" t="s">
        <v>726</v>
      </c>
      <c r="T1401" s="6" t="s">
        <v>921</v>
      </c>
      <c r="U1401" s="6" t="s">
        <v>932</v>
      </c>
      <c r="V1401" s="2" t="s">
        <v>955</v>
      </c>
      <c r="W1401" t="str">
        <f t="shared" si="22"/>
        <v>New_20232</v>
      </c>
      <c r="X1401" s="2" t="s">
        <v>1615</v>
      </c>
    </row>
    <row r="1402" spans="1:24" hidden="1" x14ac:dyDescent="0.35">
      <c r="A1402">
        <v>2</v>
      </c>
      <c r="B1402" t="s">
        <v>726</v>
      </c>
      <c r="C1402" s="1">
        <v>44119</v>
      </c>
      <c r="D1402" t="s">
        <v>729</v>
      </c>
      <c r="E1402" t="s">
        <v>18</v>
      </c>
      <c r="F1402" t="s">
        <v>148</v>
      </c>
      <c r="G1402" t="s">
        <v>20</v>
      </c>
      <c r="H1402" t="s">
        <v>730</v>
      </c>
      <c r="I1402" t="s">
        <v>148</v>
      </c>
      <c r="M1402">
        <v>0.74729999999999996</v>
      </c>
      <c r="S1402" t="s">
        <v>726</v>
      </c>
      <c r="T1402" s="6" t="s">
        <v>948</v>
      </c>
      <c r="U1402" s="6" t="s">
        <v>943</v>
      </c>
      <c r="V1402" s="2" t="s">
        <v>923</v>
      </c>
      <c r="W1402" t="str">
        <f t="shared" si="22"/>
        <v>New_202010</v>
      </c>
      <c r="X1402" s="2" t="s">
        <v>1615</v>
      </c>
    </row>
    <row r="1403" spans="1:24" hidden="1" x14ac:dyDescent="0.35">
      <c r="A1403">
        <v>2</v>
      </c>
      <c r="B1403" t="s">
        <v>726</v>
      </c>
      <c r="C1403" s="1">
        <v>44202</v>
      </c>
      <c r="D1403" t="s">
        <v>807</v>
      </c>
      <c r="E1403" t="s">
        <v>18</v>
      </c>
      <c r="F1403" t="s">
        <v>148</v>
      </c>
      <c r="G1403" t="s">
        <v>20</v>
      </c>
      <c r="H1403" t="s">
        <v>808</v>
      </c>
      <c r="I1403" t="s">
        <v>148</v>
      </c>
      <c r="J1403">
        <v>0.72199999999999998</v>
      </c>
      <c r="M1403">
        <v>0.59</v>
      </c>
      <c r="S1403" t="s">
        <v>726</v>
      </c>
      <c r="T1403" s="6" t="s">
        <v>953</v>
      </c>
      <c r="U1403" s="6" t="s">
        <v>927</v>
      </c>
      <c r="V1403" s="2" t="s">
        <v>952</v>
      </c>
      <c r="W1403" t="str">
        <f t="shared" si="22"/>
        <v>New_20211</v>
      </c>
      <c r="X1403" s="2" t="s">
        <v>1615</v>
      </c>
    </row>
    <row r="1404" spans="1:24" hidden="1" x14ac:dyDescent="0.35">
      <c r="A1404">
        <v>2</v>
      </c>
      <c r="B1404" t="s">
        <v>726</v>
      </c>
      <c r="C1404" s="1">
        <v>44690</v>
      </c>
      <c r="D1404" t="s">
        <v>843</v>
      </c>
      <c r="E1404" t="s">
        <v>18</v>
      </c>
      <c r="F1404" t="s">
        <v>19</v>
      </c>
      <c r="G1404" t="s">
        <v>20</v>
      </c>
      <c r="H1404" t="s">
        <v>844</v>
      </c>
      <c r="I1404" t="s">
        <v>41</v>
      </c>
      <c r="J1404">
        <v>0.61499999999999999</v>
      </c>
      <c r="M1404">
        <v>0.63</v>
      </c>
      <c r="R1404" t="s">
        <v>845</v>
      </c>
      <c r="S1404" t="s">
        <v>726</v>
      </c>
      <c r="T1404" s="6" t="s">
        <v>947</v>
      </c>
      <c r="U1404" s="6" t="s">
        <v>942</v>
      </c>
      <c r="V1404" s="2" t="s">
        <v>954</v>
      </c>
      <c r="W1404" t="str">
        <f t="shared" si="22"/>
        <v>New_20225</v>
      </c>
      <c r="X1404" s="2" t="s">
        <v>1615</v>
      </c>
    </row>
    <row r="1405" spans="1:24" hidden="1" x14ac:dyDescent="0.35">
      <c r="A1405">
        <v>2</v>
      </c>
      <c r="B1405" t="s">
        <v>726</v>
      </c>
      <c r="C1405" s="1">
        <v>44984</v>
      </c>
      <c r="D1405" t="s">
        <v>868</v>
      </c>
      <c r="E1405" t="s">
        <v>18</v>
      </c>
      <c r="F1405" t="s">
        <v>19</v>
      </c>
      <c r="G1405" t="s">
        <v>514</v>
      </c>
      <c r="H1405" t="s">
        <v>869</v>
      </c>
      <c r="I1405" t="s">
        <v>22</v>
      </c>
      <c r="J1405">
        <v>0.64</v>
      </c>
      <c r="M1405">
        <v>0.72</v>
      </c>
      <c r="Q1405" t="s">
        <v>311</v>
      </c>
      <c r="R1405" t="s">
        <v>870</v>
      </c>
      <c r="S1405" t="s">
        <v>726</v>
      </c>
      <c r="T1405" s="6" t="s">
        <v>921</v>
      </c>
      <c r="U1405" s="6" t="s">
        <v>925</v>
      </c>
      <c r="V1405" s="2" t="s">
        <v>955</v>
      </c>
      <c r="W1405" t="str">
        <f t="shared" si="22"/>
        <v>New_20232</v>
      </c>
      <c r="X1405" s="2" t="s">
        <v>1615</v>
      </c>
    </row>
    <row r="1406" spans="1:24" hidden="1" x14ac:dyDescent="0.35">
      <c r="A1406">
        <v>3</v>
      </c>
      <c r="B1406" t="s">
        <v>726</v>
      </c>
      <c r="C1406" s="1">
        <v>44119</v>
      </c>
      <c r="D1406" t="s">
        <v>731</v>
      </c>
      <c r="E1406" t="s">
        <v>18</v>
      </c>
      <c r="F1406" t="s">
        <v>148</v>
      </c>
      <c r="G1406" t="s">
        <v>20</v>
      </c>
      <c r="H1406" t="s">
        <v>732</v>
      </c>
      <c r="I1406" t="s">
        <v>148</v>
      </c>
      <c r="M1406">
        <v>0.68</v>
      </c>
      <c r="S1406" t="s">
        <v>726</v>
      </c>
      <c r="T1406" s="6" t="s">
        <v>948</v>
      </c>
      <c r="U1406" s="6" t="s">
        <v>943</v>
      </c>
      <c r="V1406" s="2" t="s">
        <v>923</v>
      </c>
      <c r="W1406" t="str">
        <f t="shared" si="22"/>
        <v>New_202010</v>
      </c>
      <c r="X1406" s="2" t="s">
        <v>1615</v>
      </c>
    </row>
    <row r="1407" spans="1:24" hidden="1" x14ac:dyDescent="0.35">
      <c r="A1407">
        <v>3</v>
      </c>
      <c r="B1407" t="s">
        <v>726</v>
      </c>
      <c r="C1407" s="1">
        <v>44207</v>
      </c>
      <c r="D1407" t="s">
        <v>809</v>
      </c>
      <c r="E1407" t="s">
        <v>18</v>
      </c>
      <c r="F1407" t="s">
        <v>39</v>
      </c>
      <c r="G1407" t="s">
        <v>20</v>
      </c>
      <c r="H1407" t="s">
        <v>810</v>
      </c>
      <c r="I1407" t="s">
        <v>41</v>
      </c>
      <c r="J1407">
        <v>0.72399999999999998</v>
      </c>
      <c r="M1407">
        <v>0.79</v>
      </c>
      <c r="S1407" t="s">
        <v>726</v>
      </c>
      <c r="T1407" s="6" t="s">
        <v>953</v>
      </c>
      <c r="U1407" s="6" t="s">
        <v>945</v>
      </c>
      <c r="V1407" s="2" t="s">
        <v>952</v>
      </c>
      <c r="W1407" t="str">
        <f t="shared" si="22"/>
        <v>New_20211</v>
      </c>
      <c r="X1407" s="2" t="s">
        <v>1615</v>
      </c>
    </row>
    <row r="1408" spans="1:24" hidden="1" x14ac:dyDescent="0.35">
      <c r="A1408">
        <v>3</v>
      </c>
      <c r="B1408" t="s">
        <v>726</v>
      </c>
      <c r="C1408" s="1">
        <v>44706</v>
      </c>
      <c r="D1408" t="s">
        <v>577</v>
      </c>
      <c r="E1408" t="s">
        <v>18</v>
      </c>
      <c r="F1408" t="s">
        <v>43</v>
      </c>
      <c r="G1408" t="s">
        <v>20</v>
      </c>
      <c r="H1408" t="s">
        <v>846</v>
      </c>
      <c r="I1408" t="s">
        <v>41</v>
      </c>
      <c r="J1408">
        <v>0.75800000000000001</v>
      </c>
      <c r="M1408">
        <v>0.64</v>
      </c>
      <c r="R1408" t="s">
        <v>847</v>
      </c>
      <c r="S1408" t="s">
        <v>726</v>
      </c>
      <c r="T1408" s="6" t="s">
        <v>947</v>
      </c>
      <c r="U1408" s="6" t="s">
        <v>922</v>
      </c>
      <c r="V1408" s="2" t="s">
        <v>954</v>
      </c>
      <c r="W1408" t="str">
        <f t="shared" si="22"/>
        <v>New_20225</v>
      </c>
      <c r="X1408" s="2" t="s">
        <v>1615</v>
      </c>
    </row>
    <row r="1409" spans="1:24" hidden="1" x14ac:dyDescent="0.35">
      <c r="A1409">
        <v>3</v>
      </c>
      <c r="B1409" t="s">
        <v>726</v>
      </c>
      <c r="C1409" s="1">
        <v>44995</v>
      </c>
      <c r="D1409" t="s">
        <v>871</v>
      </c>
      <c r="E1409" t="s">
        <v>18</v>
      </c>
      <c r="F1409" t="s">
        <v>19</v>
      </c>
      <c r="G1409" t="s">
        <v>20</v>
      </c>
      <c r="H1409" t="s">
        <v>872</v>
      </c>
      <c r="I1409" t="s">
        <v>22</v>
      </c>
      <c r="J1409">
        <v>0.67800000000000005</v>
      </c>
      <c r="M1409">
        <v>0.7</v>
      </c>
      <c r="R1409" t="s">
        <v>813</v>
      </c>
      <c r="S1409" t="s">
        <v>726</v>
      </c>
      <c r="T1409" s="6" t="s">
        <v>941</v>
      </c>
      <c r="U1409" s="6" t="s">
        <v>948</v>
      </c>
      <c r="V1409" s="2" t="s">
        <v>955</v>
      </c>
      <c r="W1409" t="str">
        <f t="shared" si="22"/>
        <v>New_20233</v>
      </c>
      <c r="X1409" s="2" t="s">
        <v>1615</v>
      </c>
    </row>
    <row r="1410" spans="1:24" hidden="1" x14ac:dyDescent="0.35">
      <c r="A1410">
        <v>4</v>
      </c>
      <c r="B1410" t="s">
        <v>726</v>
      </c>
      <c r="C1410" s="1">
        <v>44119</v>
      </c>
      <c r="D1410" t="s">
        <v>733</v>
      </c>
      <c r="E1410" t="s">
        <v>18</v>
      </c>
      <c r="F1410" t="s">
        <v>39</v>
      </c>
      <c r="G1410" t="s">
        <v>92</v>
      </c>
      <c r="H1410" t="s">
        <v>734</v>
      </c>
      <c r="I1410" t="s">
        <v>41</v>
      </c>
      <c r="J1410">
        <v>0.88100000000000001</v>
      </c>
      <c r="M1410">
        <v>0.73</v>
      </c>
      <c r="S1410" t="s">
        <v>726</v>
      </c>
      <c r="T1410" s="6" t="s">
        <v>948</v>
      </c>
      <c r="U1410" s="6" t="s">
        <v>943</v>
      </c>
      <c r="V1410" s="2" t="s">
        <v>923</v>
      </c>
      <c r="W1410" t="str">
        <f t="shared" ref="W1410:W1473" si="23">CONCATENATE(B1410,"_",V1410,T1410)</f>
        <v>New_202010</v>
      </c>
      <c r="X1410" s="2" t="s">
        <v>1615</v>
      </c>
    </row>
    <row r="1411" spans="1:24" hidden="1" x14ac:dyDescent="0.35">
      <c r="A1411">
        <v>4</v>
      </c>
      <c r="B1411" t="s">
        <v>726</v>
      </c>
      <c r="C1411" s="1">
        <v>44207</v>
      </c>
      <c r="D1411" t="s">
        <v>811</v>
      </c>
      <c r="E1411" t="s">
        <v>18</v>
      </c>
      <c r="F1411" t="s">
        <v>39</v>
      </c>
      <c r="G1411" t="s">
        <v>20</v>
      </c>
      <c r="H1411" t="s">
        <v>812</v>
      </c>
      <c r="I1411" t="s">
        <v>41</v>
      </c>
      <c r="J1411">
        <v>0.64600000000000002</v>
      </c>
      <c r="M1411">
        <v>0.82</v>
      </c>
      <c r="R1411" t="s">
        <v>813</v>
      </c>
      <c r="S1411" t="s">
        <v>726</v>
      </c>
      <c r="T1411" s="6" t="s">
        <v>953</v>
      </c>
      <c r="U1411" s="6" t="s">
        <v>945</v>
      </c>
      <c r="V1411" s="2" t="s">
        <v>952</v>
      </c>
      <c r="W1411" t="str">
        <f t="shared" si="23"/>
        <v>New_20211</v>
      </c>
      <c r="X1411" s="2" t="s">
        <v>1615</v>
      </c>
    </row>
    <row r="1412" spans="1:24" hidden="1" x14ac:dyDescent="0.35">
      <c r="A1412">
        <v>4</v>
      </c>
      <c r="B1412" t="s">
        <v>726</v>
      </c>
      <c r="C1412" s="1">
        <v>44719</v>
      </c>
      <c r="D1412" t="s">
        <v>848</v>
      </c>
      <c r="E1412" t="s">
        <v>18</v>
      </c>
      <c r="F1412" t="s">
        <v>43</v>
      </c>
      <c r="G1412" t="s">
        <v>82</v>
      </c>
      <c r="H1412" t="s">
        <v>849</v>
      </c>
      <c r="I1412" t="s">
        <v>41</v>
      </c>
      <c r="J1412">
        <v>0.9</v>
      </c>
      <c r="M1412">
        <v>0.87</v>
      </c>
      <c r="R1412" t="s">
        <v>847</v>
      </c>
      <c r="S1412" t="s">
        <v>726</v>
      </c>
      <c r="T1412" s="6" t="s">
        <v>927</v>
      </c>
      <c r="U1412" s="6" t="s">
        <v>936</v>
      </c>
      <c r="V1412" s="2" t="s">
        <v>954</v>
      </c>
      <c r="W1412" t="str">
        <f t="shared" si="23"/>
        <v>New_20226</v>
      </c>
      <c r="X1412" s="2" t="s">
        <v>1615</v>
      </c>
    </row>
    <row r="1413" spans="1:24" hidden="1" x14ac:dyDescent="0.35">
      <c r="A1413">
        <v>4</v>
      </c>
      <c r="B1413" t="s">
        <v>726</v>
      </c>
      <c r="C1413" s="1">
        <v>45061</v>
      </c>
      <c r="D1413" t="s">
        <v>873</v>
      </c>
      <c r="E1413" t="s">
        <v>18</v>
      </c>
      <c r="F1413" t="s">
        <v>43</v>
      </c>
      <c r="G1413" t="s">
        <v>33</v>
      </c>
      <c r="H1413" t="s">
        <v>874</v>
      </c>
      <c r="I1413" t="s">
        <v>22</v>
      </c>
      <c r="J1413">
        <v>0.59599999999999997</v>
      </c>
      <c r="M1413">
        <v>0.71</v>
      </c>
      <c r="R1413" t="s">
        <v>813</v>
      </c>
      <c r="S1413" t="s">
        <v>726</v>
      </c>
      <c r="T1413" s="6" t="s">
        <v>947</v>
      </c>
      <c r="U1413" s="6" t="s">
        <v>943</v>
      </c>
      <c r="V1413" s="2" t="s">
        <v>955</v>
      </c>
      <c r="W1413" t="str">
        <f t="shared" si="23"/>
        <v>New_20235</v>
      </c>
      <c r="X1413" s="2" t="s">
        <v>1615</v>
      </c>
    </row>
    <row r="1414" spans="1:24" hidden="1" x14ac:dyDescent="0.35">
      <c r="A1414">
        <v>5</v>
      </c>
      <c r="B1414" t="s">
        <v>726</v>
      </c>
      <c r="C1414" s="1">
        <v>44119</v>
      </c>
      <c r="D1414" t="s">
        <v>735</v>
      </c>
      <c r="E1414" t="s">
        <v>18</v>
      </c>
      <c r="F1414" t="s">
        <v>148</v>
      </c>
      <c r="G1414" t="s">
        <v>20</v>
      </c>
      <c r="H1414" t="s">
        <v>736</v>
      </c>
      <c r="I1414" t="s">
        <v>148</v>
      </c>
      <c r="M1414">
        <v>0.64</v>
      </c>
      <c r="S1414" t="s">
        <v>726</v>
      </c>
      <c r="T1414" s="6" t="s">
        <v>948</v>
      </c>
      <c r="U1414" s="6" t="s">
        <v>943</v>
      </c>
      <c r="V1414" s="2" t="s">
        <v>923</v>
      </c>
      <c r="W1414" t="str">
        <f t="shared" si="23"/>
        <v>New_202010</v>
      </c>
      <c r="X1414" s="2" t="s">
        <v>1615</v>
      </c>
    </row>
    <row r="1415" spans="1:24" hidden="1" x14ac:dyDescent="0.35">
      <c r="A1415">
        <v>5</v>
      </c>
      <c r="B1415" t="s">
        <v>726</v>
      </c>
      <c r="C1415" s="1">
        <v>44223</v>
      </c>
      <c r="D1415" t="s">
        <v>814</v>
      </c>
      <c r="E1415" t="s">
        <v>18</v>
      </c>
      <c r="F1415" t="s">
        <v>148</v>
      </c>
      <c r="G1415" t="s">
        <v>20</v>
      </c>
      <c r="H1415" t="s">
        <v>815</v>
      </c>
      <c r="I1415" t="s">
        <v>148</v>
      </c>
      <c r="J1415">
        <v>0.75</v>
      </c>
      <c r="M1415">
        <v>0.85</v>
      </c>
      <c r="P1415" t="s">
        <v>816</v>
      </c>
      <c r="S1415" t="s">
        <v>726</v>
      </c>
      <c r="T1415" s="6" t="s">
        <v>953</v>
      </c>
      <c r="U1415" s="6" t="s">
        <v>925</v>
      </c>
      <c r="V1415" s="2" t="s">
        <v>952</v>
      </c>
      <c r="W1415" t="str">
        <f t="shared" si="23"/>
        <v>New_20211</v>
      </c>
      <c r="X1415" s="2" t="s">
        <v>1615</v>
      </c>
    </row>
    <row r="1416" spans="1:24" hidden="1" x14ac:dyDescent="0.35">
      <c r="A1416">
        <v>5</v>
      </c>
      <c r="B1416" t="s">
        <v>726</v>
      </c>
      <c r="C1416" s="1">
        <v>44741</v>
      </c>
      <c r="D1416" t="s">
        <v>3716</v>
      </c>
      <c r="E1416" t="s">
        <v>18</v>
      </c>
      <c r="F1416" t="s">
        <v>19</v>
      </c>
      <c r="G1416" t="s">
        <v>26</v>
      </c>
      <c r="H1416" t="s">
        <v>850</v>
      </c>
      <c r="I1416" t="s">
        <v>41</v>
      </c>
      <c r="J1416">
        <v>0.95599999999999996</v>
      </c>
      <c r="M1416">
        <v>0.81</v>
      </c>
      <c r="R1416" t="s">
        <v>847</v>
      </c>
      <c r="S1416" t="s">
        <v>726</v>
      </c>
      <c r="T1416" s="6" t="s">
        <v>927</v>
      </c>
      <c r="U1416" s="6" t="s">
        <v>937</v>
      </c>
      <c r="V1416" s="2" t="s">
        <v>954</v>
      </c>
      <c r="W1416" t="str">
        <f t="shared" si="23"/>
        <v>New_20226</v>
      </c>
      <c r="X1416" s="2" t="s">
        <v>1615</v>
      </c>
    </row>
    <row r="1417" spans="1:24" hidden="1" x14ac:dyDescent="0.35">
      <c r="A1417">
        <v>5</v>
      </c>
      <c r="B1417" t="s">
        <v>726</v>
      </c>
      <c r="C1417" s="1">
        <v>45062</v>
      </c>
      <c r="D1417" t="s">
        <v>875</v>
      </c>
      <c r="E1417" t="s">
        <v>18</v>
      </c>
      <c r="F1417" t="s">
        <v>19</v>
      </c>
      <c r="G1417" t="s">
        <v>26</v>
      </c>
      <c r="H1417" t="s">
        <v>876</v>
      </c>
      <c r="I1417" t="s">
        <v>22</v>
      </c>
      <c r="J1417">
        <v>0.94099999999999995</v>
      </c>
      <c r="M1417">
        <v>0.88</v>
      </c>
      <c r="Q1417" t="s">
        <v>877</v>
      </c>
      <c r="S1417" t="s">
        <v>726</v>
      </c>
      <c r="T1417" s="6" t="s">
        <v>947</v>
      </c>
      <c r="U1417" s="6" t="s">
        <v>928</v>
      </c>
      <c r="V1417" s="2" t="s">
        <v>955</v>
      </c>
      <c r="W1417" t="str">
        <f t="shared" si="23"/>
        <v>New_20235</v>
      </c>
      <c r="X1417" s="2" t="s">
        <v>1615</v>
      </c>
    </row>
    <row r="1418" spans="1:24" hidden="1" x14ac:dyDescent="0.35">
      <c r="A1418">
        <v>6</v>
      </c>
      <c r="B1418" t="s">
        <v>726</v>
      </c>
      <c r="C1418" s="1">
        <v>44119</v>
      </c>
      <c r="D1418" t="s">
        <v>737</v>
      </c>
      <c r="E1418" t="s">
        <v>18</v>
      </c>
      <c r="F1418" t="s">
        <v>148</v>
      </c>
      <c r="G1418" t="s">
        <v>20</v>
      </c>
      <c r="H1418" t="s">
        <v>738</v>
      </c>
      <c r="I1418" t="s">
        <v>148</v>
      </c>
      <c r="M1418">
        <v>0.76</v>
      </c>
      <c r="S1418" t="s">
        <v>726</v>
      </c>
      <c r="T1418" s="6" t="s">
        <v>948</v>
      </c>
      <c r="U1418" s="6" t="s">
        <v>943</v>
      </c>
      <c r="V1418" s="2" t="s">
        <v>923</v>
      </c>
      <c r="W1418" t="str">
        <f t="shared" si="23"/>
        <v>New_202010</v>
      </c>
      <c r="X1418" s="2" t="s">
        <v>1615</v>
      </c>
    </row>
    <row r="1419" spans="1:24" hidden="1" x14ac:dyDescent="0.35">
      <c r="A1419">
        <v>6</v>
      </c>
      <c r="B1419" t="s">
        <v>726</v>
      </c>
      <c r="C1419" s="1">
        <v>44224</v>
      </c>
      <c r="D1419" t="s">
        <v>817</v>
      </c>
      <c r="E1419" t="s">
        <v>18</v>
      </c>
      <c r="F1419" t="s">
        <v>148</v>
      </c>
      <c r="G1419" t="s">
        <v>20</v>
      </c>
      <c r="H1419" t="s">
        <v>818</v>
      </c>
      <c r="I1419" t="s">
        <v>22</v>
      </c>
      <c r="J1419">
        <v>0.76200000000000001</v>
      </c>
      <c r="M1419">
        <v>0.73</v>
      </c>
      <c r="S1419" t="s">
        <v>726</v>
      </c>
      <c r="T1419" s="6" t="s">
        <v>953</v>
      </c>
      <c r="U1419" s="6" t="s">
        <v>926</v>
      </c>
      <c r="V1419" s="2" t="s">
        <v>952</v>
      </c>
      <c r="W1419" t="str">
        <f t="shared" si="23"/>
        <v>New_20211</v>
      </c>
      <c r="X1419" s="2" t="s">
        <v>1615</v>
      </c>
    </row>
    <row r="1420" spans="1:24" hidden="1" x14ac:dyDescent="0.35">
      <c r="A1420">
        <v>6</v>
      </c>
      <c r="B1420" t="s">
        <v>726</v>
      </c>
      <c r="C1420" s="1">
        <v>44753</v>
      </c>
      <c r="D1420" t="s">
        <v>851</v>
      </c>
      <c r="E1420" t="s">
        <v>18</v>
      </c>
      <c r="F1420" t="s">
        <v>43</v>
      </c>
      <c r="G1420" t="s">
        <v>116</v>
      </c>
      <c r="H1420" t="s">
        <v>852</v>
      </c>
      <c r="I1420" t="s">
        <v>22</v>
      </c>
      <c r="J1420">
        <v>0.84499999999999997</v>
      </c>
      <c r="M1420">
        <v>0.76</v>
      </c>
      <c r="R1420" t="s">
        <v>847</v>
      </c>
      <c r="S1420" t="s">
        <v>726</v>
      </c>
      <c r="T1420" s="6" t="s">
        <v>936</v>
      </c>
      <c r="U1420" s="6" t="s">
        <v>945</v>
      </c>
      <c r="V1420" s="2" t="s">
        <v>954</v>
      </c>
      <c r="W1420" t="str">
        <f t="shared" si="23"/>
        <v>New_20227</v>
      </c>
      <c r="X1420" s="2" t="s">
        <v>1615</v>
      </c>
    </row>
    <row r="1421" spans="1:24" hidden="1" x14ac:dyDescent="0.35">
      <c r="A1421">
        <v>6</v>
      </c>
      <c r="B1421" t="s">
        <v>726</v>
      </c>
      <c r="C1421" s="1">
        <v>45065</v>
      </c>
      <c r="D1421" t="s">
        <v>705</v>
      </c>
      <c r="E1421" t="s">
        <v>18</v>
      </c>
      <c r="F1421" t="s">
        <v>43</v>
      </c>
      <c r="G1421" t="s">
        <v>82</v>
      </c>
      <c r="H1421" t="s">
        <v>706</v>
      </c>
      <c r="I1421" t="s">
        <v>22</v>
      </c>
      <c r="J1421">
        <v>0.92600000000000005</v>
      </c>
      <c r="M1421">
        <v>0.87</v>
      </c>
      <c r="S1421" t="s">
        <v>726</v>
      </c>
      <c r="T1421" s="6" t="s">
        <v>947</v>
      </c>
      <c r="U1421" s="6" t="s">
        <v>931</v>
      </c>
      <c r="V1421" s="2" t="s">
        <v>955</v>
      </c>
      <c r="W1421" t="str">
        <f t="shared" si="23"/>
        <v>New_20235</v>
      </c>
      <c r="X1421" s="2" t="s">
        <v>1615</v>
      </c>
    </row>
    <row r="1422" spans="1:24" hidden="1" x14ac:dyDescent="0.35">
      <c r="A1422">
        <v>7</v>
      </c>
      <c r="B1422" t="s">
        <v>726</v>
      </c>
      <c r="C1422" s="1">
        <v>44124</v>
      </c>
      <c r="D1422" t="s">
        <v>739</v>
      </c>
      <c r="E1422" t="s">
        <v>18</v>
      </c>
      <c r="F1422" t="s">
        <v>148</v>
      </c>
      <c r="G1422" t="s">
        <v>116</v>
      </c>
      <c r="H1422" t="s">
        <v>740</v>
      </c>
      <c r="I1422" t="s">
        <v>148</v>
      </c>
      <c r="M1422">
        <v>0.80700000000000005</v>
      </c>
      <c r="S1422" t="s">
        <v>726</v>
      </c>
      <c r="T1422" s="6" t="s">
        <v>948</v>
      </c>
      <c r="U1422" s="6" t="s">
        <v>932</v>
      </c>
      <c r="V1422" s="2" t="s">
        <v>923</v>
      </c>
      <c r="W1422" t="str">
        <f t="shared" si="23"/>
        <v>New_202010</v>
      </c>
      <c r="X1422" s="2" t="s">
        <v>1615</v>
      </c>
    </row>
    <row r="1423" spans="1:24" hidden="1" x14ac:dyDescent="0.35">
      <c r="A1423">
        <v>7</v>
      </c>
      <c r="B1423" t="s">
        <v>726</v>
      </c>
      <c r="C1423" s="1">
        <v>44292</v>
      </c>
      <c r="D1423" t="s">
        <v>819</v>
      </c>
      <c r="E1423" t="s">
        <v>18</v>
      </c>
      <c r="F1423" t="s">
        <v>148</v>
      </c>
      <c r="G1423" t="s">
        <v>20</v>
      </c>
      <c r="H1423" t="s">
        <v>820</v>
      </c>
      <c r="I1423" t="s">
        <v>148</v>
      </c>
      <c r="J1423">
        <v>0.83299999999999996</v>
      </c>
      <c r="M1423">
        <v>0.77</v>
      </c>
      <c r="P1423" t="s">
        <v>50</v>
      </c>
      <c r="S1423" t="s">
        <v>726</v>
      </c>
      <c r="T1423" s="6" t="s">
        <v>946</v>
      </c>
      <c r="U1423" s="6" t="s">
        <v>927</v>
      </c>
      <c r="V1423" s="2" t="s">
        <v>952</v>
      </c>
      <c r="W1423" t="str">
        <f t="shared" si="23"/>
        <v>New_20214</v>
      </c>
      <c r="X1423" s="2" t="s">
        <v>1615</v>
      </c>
    </row>
    <row r="1424" spans="1:24" hidden="1" x14ac:dyDescent="0.35">
      <c r="A1424">
        <v>7</v>
      </c>
      <c r="B1424" t="s">
        <v>726</v>
      </c>
      <c r="C1424" s="1">
        <v>44782</v>
      </c>
      <c r="D1424" t="s">
        <v>853</v>
      </c>
      <c r="E1424" t="s">
        <v>18</v>
      </c>
      <c r="F1424" t="s">
        <v>19</v>
      </c>
      <c r="G1424" t="s">
        <v>854</v>
      </c>
      <c r="H1424" t="s">
        <v>855</v>
      </c>
      <c r="I1424" t="s">
        <v>22</v>
      </c>
      <c r="J1424">
        <v>0.64</v>
      </c>
      <c r="M1424">
        <v>0.67</v>
      </c>
      <c r="R1424" t="s">
        <v>845</v>
      </c>
      <c r="S1424" t="s">
        <v>726</v>
      </c>
      <c r="T1424" s="6" t="s">
        <v>940</v>
      </c>
      <c r="U1424" s="6" t="s">
        <v>942</v>
      </c>
      <c r="V1424" s="2" t="s">
        <v>954</v>
      </c>
      <c r="W1424" t="str">
        <f t="shared" si="23"/>
        <v>New_20228</v>
      </c>
      <c r="X1424" s="2" t="s">
        <v>1615</v>
      </c>
    </row>
    <row r="1425" spans="1:24" hidden="1" x14ac:dyDescent="0.35">
      <c r="A1425">
        <v>7</v>
      </c>
      <c r="B1425" t="s">
        <v>726</v>
      </c>
      <c r="C1425" s="1">
        <v>45085</v>
      </c>
      <c r="D1425" t="s">
        <v>878</v>
      </c>
      <c r="E1425" t="s">
        <v>18</v>
      </c>
      <c r="F1425" t="s">
        <v>43</v>
      </c>
      <c r="G1425" t="s">
        <v>20</v>
      </c>
      <c r="H1425" t="s">
        <v>715</v>
      </c>
      <c r="I1425" t="s">
        <v>22</v>
      </c>
      <c r="J1425">
        <v>0.89200000000000002</v>
      </c>
      <c r="M1425">
        <v>0.83</v>
      </c>
      <c r="S1425" t="s">
        <v>726</v>
      </c>
      <c r="T1425" s="6" t="s">
        <v>927</v>
      </c>
      <c r="U1425" s="6" t="s">
        <v>940</v>
      </c>
      <c r="V1425" s="2" t="s">
        <v>955</v>
      </c>
      <c r="W1425" t="str">
        <f t="shared" si="23"/>
        <v>New_20236</v>
      </c>
      <c r="X1425" s="2" t="s">
        <v>1615</v>
      </c>
    </row>
    <row r="1426" spans="1:24" hidden="1" x14ac:dyDescent="0.35">
      <c r="A1426">
        <v>8</v>
      </c>
      <c r="B1426" t="s">
        <v>726</v>
      </c>
      <c r="C1426" s="1">
        <v>44124</v>
      </c>
      <c r="D1426" t="s">
        <v>741</v>
      </c>
      <c r="E1426" t="s">
        <v>18</v>
      </c>
      <c r="F1426" t="s">
        <v>148</v>
      </c>
      <c r="G1426" t="s">
        <v>20</v>
      </c>
      <c r="H1426" t="s">
        <v>742</v>
      </c>
      <c r="I1426" t="s">
        <v>148</v>
      </c>
      <c r="M1426">
        <v>0.88500000000000001</v>
      </c>
      <c r="S1426" t="s">
        <v>726</v>
      </c>
      <c r="T1426" s="6" t="s">
        <v>948</v>
      </c>
      <c r="U1426" s="6" t="s">
        <v>932</v>
      </c>
      <c r="V1426" s="2" t="s">
        <v>923</v>
      </c>
      <c r="W1426" t="str">
        <f t="shared" si="23"/>
        <v>New_202010</v>
      </c>
      <c r="X1426" s="2" t="s">
        <v>1615</v>
      </c>
    </row>
    <row r="1427" spans="1:24" hidden="1" x14ac:dyDescent="0.35">
      <c r="A1427">
        <v>8</v>
      </c>
      <c r="B1427" t="s">
        <v>726</v>
      </c>
      <c r="C1427" s="1">
        <v>44447</v>
      </c>
      <c r="D1427" t="s">
        <v>821</v>
      </c>
      <c r="E1427" t="s">
        <v>18</v>
      </c>
      <c r="F1427" t="s">
        <v>43</v>
      </c>
      <c r="G1427" t="s">
        <v>116</v>
      </c>
      <c r="H1427" t="s">
        <v>822</v>
      </c>
      <c r="I1427" t="s">
        <v>41</v>
      </c>
      <c r="J1427">
        <v>0.73099999999999998</v>
      </c>
      <c r="M1427">
        <v>0.68</v>
      </c>
      <c r="R1427" t="s">
        <v>823</v>
      </c>
      <c r="S1427" t="s">
        <v>726</v>
      </c>
      <c r="T1427" s="6" t="s">
        <v>942</v>
      </c>
      <c r="U1427" s="6" t="s">
        <v>940</v>
      </c>
      <c r="V1427" s="2" t="s">
        <v>952</v>
      </c>
      <c r="W1427" t="str">
        <f t="shared" si="23"/>
        <v>New_20219</v>
      </c>
      <c r="X1427" s="2" t="s">
        <v>1615</v>
      </c>
    </row>
    <row r="1428" spans="1:24" hidden="1" x14ac:dyDescent="0.35">
      <c r="A1428">
        <v>8</v>
      </c>
      <c r="B1428" t="s">
        <v>726</v>
      </c>
      <c r="C1428" s="1">
        <v>44790</v>
      </c>
      <c r="D1428" t="s">
        <v>856</v>
      </c>
      <c r="E1428" t="s">
        <v>18</v>
      </c>
      <c r="F1428" t="s">
        <v>19</v>
      </c>
      <c r="G1428" t="s">
        <v>92</v>
      </c>
      <c r="H1428" t="s">
        <v>857</v>
      </c>
      <c r="I1428" t="s">
        <v>22</v>
      </c>
      <c r="J1428">
        <v>0.93600000000000005</v>
      </c>
      <c r="M1428">
        <v>0.79</v>
      </c>
      <c r="R1428" t="s">
        <v>847</v>
      </c>
      <c r="S1428" t="s">
        <v>726</v>
      </c>
      <c r="T1428" s="6" t="s">
        <v>940</v>
      </c>
      <c r="U1428" s="6" t="s">
        <v>929</v>
      </c>
      <c r="V1428" s="2" t="s">
        <v>954</v>
      </c>
      <c r="W1428" t="str">
        <f t="shared" si="23"/>
        <v>New_20228</v>
      </c>
      <c r="X1428" s="2" t="s">
        <v>1615</v>
      </c>
    </row>
    <row r="1429" spans="1:24" hidden="1" x14ac:dyDescent="0.35">
      <c r="A1429">
        <v>8</v>
      </c>
      <c r="B1429" t="s">
        <v>726</v>
      </c>
      <c r="C1429" s="1">
        <v>45086</v>
      </c>
      <c r="D1429" t="s">
        <v>879</v>
      </c>
      <c r="E1429" t="s">
        <v>18</v>
      </c>
      <c r="F1429" t="s">
        <v>19</v>
      </c>
      <c r="G1429" t="s">
        <v>82</v>
      </c>
      <c r="H1429" t="s">
        <v>880</v>
      </c>
      <c r="I1429" t="s">
        <v>22</v>
      </c>
      <c r="J1429">
        <v>0.91300000000000003</v>
      </c>
      <c r="M1429">
        <v>0.92</v>
      </c>
      <c r="Q1429" t="s">
        <v>881</v>
      </c>
      <c r="S1429" t="s">
        <v>726</v>
      </c>
      <c r="T1429" s="6" t="s">
        <v>927</v>
      </c>
      <c r="U1429" s="6" t="s">
        <v>942</v>
      </c>
      <c r="V1429" s="2" t="s">
        <v>955</v>
      </c>
      <c r="W1429" t="str">
        <f t="shared" si="23"/>
        <v>New_20236</v>
      </c>
      <c r="X1429" s="2" t="s">
        <v>1615</v>
      </c>
    </row>
    <row r="1430" spans="1:24" hidden="1" x14ac:dyDescent="0.35">
      <c r="A1430">
        <v>9</v>
      </c>
      <c r="B1430" t="s">
        <v>726</v>
      </c>
      <c r="C1430" s="1">
        <v>44127</v>
      </c>
      <c r="D1430" t="s">
        <v>743</v>
      </c>
      <c r="E1430" t="s">
        <v>18</v>
      </c>
      <c r="F1430" t="s">
        <v>148</v>
      </c>
      <c r="G1430" t="s">
        <v>20</v>
      </c>
      <c r="H1430" t="s">
        <v>744</v>
      </c>
      <c r="I1430" t="s">
        <v>148</v>
      </c>
      <c r="M1430">
        <v>0.88</v>
      </c>
      <c r="Q1430" t="s">
        <v>50</v>
      </c>
      <c r="S1430" t="s">
        <v>726</v>
      </c>
      <c r="T1430" s="6" t="s">
        <v>948</v>
      </c>
      <c r="U1430" s="6" t="s">
        <v>934</v>
      </c>
      <c r="V1430" s="2" t="s">
        <v>923</v>
      </c>
      <c r="W1430" t="str">
        <f t="shared" si="23"/>
        <v>New_202010</v>
      </c>
      <c r="X1430" s="2" t="s">
        <v>1615</v>
      </c>
    </row>
    <row r="1431" spans="1:24" hidden="1" x14ac:dyDescent="0.35">
      <c r="A1431">
        <v>9</v>
      </c>
      <c r="B1431" t="s">
        <v>726</v>
      </c>
      <c r="C1431" s="1">
        <v>44448</v>
      </c>
      <c r="D1431" t="s">
        <v>824</v>
      </c>
      <c r="E1431" t="s">
        <v>18</v>
      </c>
      <c r="F1431" t="s">
        <v>43</v>
      </c>
      <c r="G1431" t="s">
        <v>20</v>
      </c>
      <c r="H1431" t="s">
        <v>825</v>
      </c>
      <c r="I1431" t="s">
        <v>41</v>
      </c>
      <c r="J1431">
        <v>0.80800000000000005</v>
      </c>
      <c r="M1431">
        <v>0.73</v>
      </c>
      <c r="R1431" t="s">
        <v>823</v>
      </c>
      <c r="S1431" t="s">
        <v>726</v>
      </c>
      <c r="T1431" s="6" t="s">
        <v>942</v>
      </c>
      <c r="U1431" s="6" t="s">
        <v>942</v>
      </c>
      <c r="V1431" s="2" t="s">
        <v>952</v>
      </c>
      <c r="W1431" t="str">
        <f t="shared" si="23"/>
        <v>New_20219</v>
      </c>
      <c r="X1431" s="2" t="s">
        <v>1615</v>
      </c>
    </row>
    <row r="1432" spans="1:24" hidden="1" x14ac:dyDescent="0.35">
      <c r="A1432">
        <v>9</v>
      </c>
      <c r="B1432" t="s">
        <v>726</v>
      </c>
      <c r="C1432" s="1">
        <v>44791</v>
      </c>
      <c r="D1432" t="s">
        <v>858</v>
      </c>
      <c r="E1432" t="s">
        <v>18</v>
      </c>
      <c r="F1432" t="s">
        <v>148</v>
      </c>
      <c r="G1432" t="s">
        <v>116</v>
      </c>
      <c r="H1432" t="s">
        <v>859</v>
      </c>
      <c r="I1432" t="s">
        <v>148</v>
      </c>
      <c r="J1432">
        <v>0.70499999999999996</v>
      </c>
      <c r="M1432">
        <v>0.67</v>
      </c>
      <c r="R1432" t="s">
        <v>847</v>
      </c>
      <c r="S1432" t="s">
        <v>726</v>
      </c>
      <c r="T1432" s="6" t="s">
        <v>940</v>
      </c>
      <c r="U1432" s="6" t="s">
        <v>930</v>
      </c>
      <c r="V1432" s="2" t="s">
        <v>954</v>
      </c>
      <c r="W1432" t="str">
        <f t="shared" si="23"/>
        <v>New_20228</v>
      </c>
      <c r="X1432" s="2" t="s">
        <v>1615</v>
      </c>
    </row>
    <row r="1433" spans="1:24" hidden="1" x14ac:dyDescent="0.35">
      <c r="A1433">
        <v>9</v>
      </c>
      <c r="B1433" t="s">
        <v>726</v>
      </c>
      <c r="C1433" s="1">
        <v>45107</v>
      </c>
      <c r="D1433" t="s">
        <v>882</v>
      </c>
      <c r="E1433" t="s">
        <v>18</v>
      </c>
      <c r="F1433" t="s">
        <v>19</v>
      </c>
      <c r="G1433" t="s">
        <v>20</v>
      </c>
      <c r="H1433" t="s">
        <v>883</v>
      </c>
      <c r="I1433" t="s">
        <v>22</v>
      </c>
      <c r="J1433">
        <v>0.80600000000000005</v>
      </c>
      <c r="M1433">
        <v>0.71</v>
      </c>
      <c r="Q1433" t="s">
        <v>323</v>
      </c>
      <c r="S1433" t="s">
        <v>726</v>
      </c>
      <c r="T1433" s="6" t="s">
        <v>927</v>
      </c>
      <c r="U1433" s="6" t="s">
        <v>938</v>
      </c>
      <c r="V1433" s="2" t="s">
        <v>955</v>
      </c>
      <c r="W1433" t="str">
        <f t="shared" si="23"/>
        <v>New_20236</v>
      </c>
      <c r="X1433" s="2" t="s">
        <v>1615</v>
      </c>
    </row>
    <row r="1434" spans="1:24" hidden="1" x14ac:dyDescent="0.35">
      <c r="A1434">
        <v>10</v>
      </c>
      <c r="B1434" t="s">
        <v>726</v>
      </c>
      <c r="C1434" s="1">
        <v>44127</v>
      </c>
      <c r="D1434" t="s">
        <v>745</v>
      </c>
      <c r="E1434" t="s">
        <v>18</v>
      </c>
      <c r="F1434" t="s">
        <v>148</v>
      </c>
      <c r="G1434" t="s">
        <v>20</v>
      </c>
      <c r="H1434" t="s">
        <v>746</v>
      </c>
      <c r="I1434" t="s">
        <v>148</v>
      </c>
      <c r="M1434">
        <v>0.6</v>
      </c>
      <c r="S1434" t="s">
        <v>726</v>
      </c>
      <c r="T1434" s="6" t="s">
        <v>948</v>
      </c>
      <c r="U1434" s="6" t="s">
        <v>934</v>
      </c>
      <c r="V1434" s="2" t="s">
        <v>923</v>
      </c>
      <c r="W1434" t="str">
        <f t="shared" si="23"/>
        <v>New_202010</v>
      </c>
      <c r="X1434" s="2" t="s">
        <v>1615</v>
      </c>
    </row>
    <row r="1435" spans="1:24" hidden="1" x14ac:dyDescent="0.35">
      <c r="A1435">
        <v>10</v>
      </c>
      <c r="B1435" t="s">
        <v>726</v>
      </c>
      <c r="C1435" s="1">
        <v>44489</v>
      </c>
      <c r="D1435" t="s">
        <v>826</v>
      </c>
      <c r="E1435" t="s">
        <v>18</v>
      </c>
      <c r="F1435" t="s">
        <v>19</v>
      </c>
      <c r="G1435" t="s">
        <v>20</v>
      </c>
      <c r="H1435" t="s">
        <v>827</v>
      </c>
      <c r="I1435" t="s">
        <v>22</v>
      </c>
      <c r="J1435">
        <v>0.52700000000000002</v>
      </c>
      <c r="M1435">
        <v>0.71</v>
      </c>
      <c r="P1435" t="s">
        <v>165</v>
      </c>
      <c r="R1435" t="s">
        <v>828</v>
      </c>
      <c r="S1435" t="s">
        <v>726</v>
      </c>
      <c r="T1435" s="6" t="s">
        <v>948</v>
      </c>
      <c r="U1435" s="6" t="s">
        <v>932</v>
      </c>
      <c r="V1435" s="2" t="s">
        <v>952</v>
      </c>
      <c r="W1435" t="str">
        <f t="shared" si="23"/>
        <v>New_202110</v>
      </c>
      <c r="X1435" s="2" t="s">
        <v>1615</v>
      </c>
    </row>
    <row r="1436" spans="1:24" hidden="1" x14ac:dyDescent="0.35">
      <c r="A1436">
        <v>10</v>
      </c>
      <c r="B1436" t="s">
        <v>726</v>
      </c>
      <c r="C1436" s="1">
        <v>44862</v>
      </c>
      <c r="D1436" t="s">
        <v>860</v>
      </c>
      <c r="E1436" t="s">
        <v>18</v>
      </c>
      <c r="F1436" t="s">
        <v>19</v>
      </c>
      <c r="G1436" t="s">
        <v>20</v>
      </c>
      <c r="H1436" t="s">
        <v>861</v>
      </c>
      <c r="I1436" t="s">
        <v>22</v>
      </c>
      <c r="J1436">
        <v>0.74399999999999999</v>
      </c>
      <c r="M1436">
        <v>0.87</v>
      </c>
      <c r="Q1436" t="s">
        <v>50</v>
      </c>
      <c r="R1436" t="s">
        <v>847</v>
      </c>
      <c r="S1436" t="s">
        <v>726</v>
      </c>
      <c r="T1436" s="6" t="s">
        <v>948</v>
      </c>
      <c r="U1436" s="6" t="s">
        <v>926</v>
      </c>
      <c r="V1436" s="2" t="s">
        <v>954</v>
      </c>
      <c r="W1436" t="str">
        <f t="shared" si="23"/>
        <v>New_202210</v>
      </c>
      <c r="X1436" s="2" t="s">
        <v>1615</v>
      </c>
    </row>
    <row r="1437" spans="1:24" hidden="1" x14ac:dyDescent="0.35">
      <c r="A1437">
        <v>10</v>
      </c>
      <c r="B1437" t="s">
        <v>726</v>
      </c>
      <c r="C1437" s="1">
        <v>45112</v>
      </c>
      <c r="D1437" t="s">
        <v>884</v>
      </c>
      <c r="E1437" t="s">
        <v>18</v>
      </c>
      <c r="F1437" t="s">
        <v>19</v>
      </c>
      <c r="G1437" t="s">
        <v>33</v>
      </c>
      <c r="H1437" t="s">
        <v>885</v>
      </c>
      <c r="I1437" t="s">
        <v>22</v>
      </c>
      <c r="J1437">
        <v>0.86</v>
      </c>
      <c r="M1437">
        <v>0.92</v>
      </c>
      <c r="Q1437" t="s">
        <v>886</v>
      </c>
      <c r="S1437" t="s">
        <v>726</v>
      </c>
      <c r="T1437" s="6" t="s">
        <v>936</v>
      </c>
      <c r="U1437" s="6" t="s">
        <v>947</v>
      </c>
      <c r="V1437" s="2" t="s">
        <v>955</v>
      </c>
      <c r="W1437" t="str">
        <f t="shared" si="23"/>
        <v>New_20237</v>
      </c>
      <c r="X1437" s="2" t="s">
        <v>1615</v>
      </c>
    </row>
    <row r="1438" spans="1:24" hidden="1" x14ac:dyDescent="0.35">
      <c r="A1438">
        <v>11</v>
      </c>
      <c r="B1438" t="s">
        <v>726</v>
      </c>
      <c r="C1438" s="1">
        <v>44127</v>
      </c>
      <c r="D1438" t="s">
        <v>747</v>
      </c>
      <c r="E1438" t="s">
        <v>18</v>
      </c>
      <c r="F1438" t="s">
        <v>148</v>
      </c>
      <c r="G1438" t="s">
        <v>20</v>
      </c>
      <c r="H1438" t="s">
        <v>748</v>
      </c>
      <c r="I1438" t="s">
        <v>148</v>
      </c>
      <c r="M1438">
        <v>0.72</v>
      </c>
      <c r="S1438" t="s">
        <v>726</v>
      </c>
      <c r="T1438" s="6" t="s">
        <v>948</v>
      </c>
      <c r="U1438" s="6" t="s">
        <v>934</v>
      </c>
      <c r="V1438" s="2" t="s">
        <v>923</v>
      </c>
      <c r="W1438" t="str">
        <f t="shared" si="23"/>
        <v>New_202010</v>
      </c>
      <c r="X1438" s="2" t="s">
        <v>1615</v>
      </c>
    </row>
    <row r="1439" spans="1:24" hidden="1" x14ac:dyDescent="0.35">
      <c r="A1439">
        <v>11</v>
      </c>
      <c r="B1439" t="s">
        <v>726</v>
      </c>
      <c r="C1439" s="1">
        <v>44490</v>
      </c>
      <c r="D1439" t="s">
        <v>829</v>
      </c>
      <c r="E1439" t="s">
        <v>18</v>
      </c>
      <c r="F1439" t="s">
        <v>19</v>
      </c>
      <c r="G1439" t="s">
        <v>26</v>
      </c>
      <c r="H1439" t="s">
        <v>830</v>
      </c>
      <c r="I1439" t="s">
        <v>22</v>
      </c>
      <c r="J1439">
        <v>0.42199999999999999</v>
      </c>
      <c r="M1439">
        <v>0.36</v>
      </c>
      <c r="R1439" t="s">
        <v>828</v>
      </c>
      <c r="S1439" t="s">
        <v>726</v>
      </c>
      <c r="T1439" s="6" t="s">
        <v>948</v>
      </c>
      <c r="U1439" s="6" t="s">
        <v>944</v>
      </c>
      <c r="V1439" s="2" t="s">
        <v>952</v>
      </c>
      <c r="W1439" t="str">
        <f t="shared" si="23"/>
        <v>New_202110</v>
      </c>
      <c r="X1439" s="2" t="s">
        <v>1615</v>
      </c>
    </row>
    <row r="1440" spans="1:24" hidden="1" x14ac:dyDescent="0.35">
      <c r="A1440">
        <v>11</v>
      </c>
      <c r="B1440" t="s">
        <v>726</v>
      </c>
      <c r="C1440" s="1">
        <v>44872</v>
      </c>
      <c r="D1440" t="s">
        <v>647</v>
      </c>
      <c r="E1440" t="s">
        <v>18</v>
      </c>
      <c r="F1440" t="s">
        <v>19</v>
      </c>
      <c r="G1440" t="s">
        <v>20</v>
      </c>
      <c r="H1440" t="s">
        <v>862</v>
      </c>
      <c r="I1440" t="s">
        <v>22</v>
      </c>
      <c r="J1440">
        <v>0.6</v>
      </c>
      <c r="M1440">
        <v>0.81</v>
      </c>
      <c r="Q1440" t="s">
        <v>863</v>
      </c>
      <c r="R1440" t="s">
        <v>845</v>
      </c>
      <c r="S1440" t="s">
        <v>726</v>
      </c>
      <c r="T1440" s="6" t="s">
        <v>945</v>
      </c>
      <c r="U1440" s="6" t="s">
        <v>936</v>
      </c>
      <c r="V1440" s="2" t="s">
        <v>954</v>
      </c>
      <c r="W1440" t="str">
        <f t="shared" si="23"/>
        <v>New_202211</v>
      </c>
      <c r="X1440" s="2" t="s">
        <v>1615</v>
      </c>
    </row>
    <row r="1441" spans="1:24" hidden="1" x14ac:dyDescent="0.35">
      <c r="A1441">
        <v>11</v>
      </c>
      <c r="B1441" t="s">
        <v>726</v>
      </c>
      <c r="C1441" s="1">
        <v>45131</v>
      </c>
      <c r="D1441" t="s">
        <v>887</v>
      </c>
      <c r="E1441" t="s">
        <v>18</v>
      </c>
      <c r="F1441" t="s">
        <v>43</v>
      </c>
      <c r="G1441" t="s">
        <v>20</v>
      </c>
      <c r="H1441" t="s">
        <v>888</v>
      </c>
      <c r="I1441" t="s">
        <v>22</v>
      </c>
      <c r="J1441">
        <v>0.66</v>
      </c>
      <c r="M1441">
        <v>0.56000000000000005</v>
      </c>
      <c r="R1441" t="s">
        <v>813</v>
      </c>
      <c r="S1441" t="s">
        <v>726</v>
      </c>
      <c r="T1441" s="6" t="s">
        <v>936</v>
      </c>
      <c r="U1441" s="6" t="s">
        <v>935</v>
      </c>
      <c r="V1441" s="2" t="s">
        <v>955</v>
      </c>
      <c r="W1441" t="str">
        <f t="shared" si="23"/>
        <v>New_20237</v>
      </c>
      <c r="X1441" s="2" t="s">
        <v>1615</v>
      </c>
    </row>
    <row r="1442" spans="1:24" hidden="1" x14ac:dyDescent="0.35">
      <c r="A1442">
        <v>12</v>
      </c>
      <c r="B1442" t="s">
        <v>726</v>
      </c>
      <c r="C1442" s="1">
        <v>44139</v>
      </c>
      <c r="D1442" t="s">
        <v>749</v>
      </c>
      <c r="E1442" t="s">
        <v>18</v>
      </c>
      <c r="F1442" t="s">
        <v>19</v>
      </c>
      <c r="G1442" t="s">
        <v>116</v>
      </c>
      <c r="H1442" t="s">
        <v>750</v>
      </c>
      <c r="I1442" t="s">
        <v>22</v>
      </c>
      <c r="J1442">
        <v>0.67400000000000004</v>
      </c>
      <c r="R1442" t="s">
        <v>751</v>
      </c>
      <c r="S1442" t="s">
        <v>726</v>
      </c>
      <c r="T1442" s="6" t="s">
        <v>945</v>
      </c>
      <c r="U1442" s="6" t="s">
        <v>946</v>
      </c>
      <c r="V1442" s="2" t="s">
        <v>923</v>
      </c>
      <c r="W1442" t="str">
        <f t="shared" si="23"/>
        <v>New_202011</v>
      </c>
      <c r="X1442" s="2" t="s">
        <v>1615</v>
      </c>
    </row>
    <row r="1443" spans="1:24" hidden="1" x14ac:dyDescent="0.35">
      <c r="A1443">
        <v>12</v>
      </c>
      <c r="B1443" t="s">
        <v>726</v>
      </c>
      <c r="C1443" s="1">
        <v>44510</v>
      </c>
      <c r="D1443" t="s">
        <v>831</v>
      </c>
      <c r="E1443" t="s">
        <v>18</v>
      </c>
      <c r="F1443" t="s">
        <v>43</v>
      </c>
      <c r="G1443" t="s">
        <v>832</v>
      </c>
      <c r="H1443" t="s">
        <v>833</v>
      </c>
      <c r="I1443" t="s">
        <v>41</v>
      </c>
      <c r="J1443">
        <v>0.97499999999999998</v>
      </c>
      <c r="M1443">
        <v>0.62</v>
      </c>
      <c r="R1443" t="s">
        <v>823</v>
      </c>
      <c r="S1443" t="s">
        <v>726</v>
      </c>
      <c r="T1443" s="6" t="s">
        <v>945</v>
      </c>
      <c r="U1443" s="6" t="s">
        <v>948</v>
      </c>
      <c r="V1443" s="2" t="s">
        <v>952</v>
      </c>
      <c r="W1443" t="str">
        <f t="shared" si="23"/>
        <v>New_202111</v>
      </c>
      <c r="X1443" s="2" t="s">
        <v>1615</v>
      </c>
    </row>
    <row r="1444" spans="1:24" hidden="1" x14ac:dyDescent="0.35">
      <c r="A1444">
        <v>12</v>
      </c>
      <c r="B1444" t="s">
        <v>726</v>
      </c>
      <c r="C1444" s="1">
        <v>44904</v>
      </c>
      <c r="D1444" t="s">
        <v>864</v>
      </c>
      <c r="E1444" t="s">
        <v>18</v>
      </c>
      <c r="F1444" t="s">
        <v>32</v>
      </c>
      <c r="G1444" t="s">
        <v>26</v>
      </c>
      <c r="H1444" t="s">
        <v>865</v>
      </c>
      <c r="I1444" t="s">
        <v>22</v>
      </c>
      <c r="J1444">
        <v>0.67700000000000005</v>
      </c>
      <c r="M1444">
        <v>0.73</v>
      </c>
      <c r="R1444" t="s">
        <v>813</v>
      </c>
      <c r="S1444" t="s">
        <v>726</v>
      </c>
      <c r="T1444" s="6" t="s">
        <v>949</v>
      </c>
      <c r="U1444" s="6" t="s">
        <v>942</v>
      </c>
      <c r="V1444" s="2" t="s">
        <v>954</v>
      </c>
      <c r="W1444" t="str">
        <f t="shared" si="23"/>
        <v>New_202212</v>
      </c>
      <c r="X1444" s="2" t="s">
        <v>1615</v>
      </c>
    </row>
    <row r="1445" spans="1:24" hidden="1" x14ac:dyDescent="0.35">
      <c r="A1445">
        <v>12</v>
      </c>
      <c r="B1445" t="s">
        <v>726</v>
      </c>
      <c r="C1445" s="1">
        <v>45140</v>
      </c>
      <c r="D1445" t="s">
        <v>889</v>
      </c>
      <c r="E1445" t="s">
        <v>18</v>
      </c>
      <c r="F1445" t="s">
        <v>19</v>
      </c>
      <c r="G1445" t="s">
        <v>26</v>
      </c>
      <c r="H1445" t="s">
        <v>890</v>
      </c>
      <c r="I1445" t="s">
        <v>22</v>
      </c>
      <c r="J1445">
        <v>0.88</v>
      </c>
      <c r="M1445">
        <v>0.79</v>
      </c>
      <c r="Q1445" t="s">
        <v>323</v>
      </c>
      <c r="S1445" t="s">
        <v>726</v>
      </c>
      <c r="T1445" s="6" t="s">
        <v>940</v>
      </c>
      <c r="U1445" s="6" t="s">
        <v>921</v>
      </c>
      <c r="V1445" s="2" t="s">
        <v>955</v>
      </c>
      <c r="W1445" t="str">
        <f t="shared" si="23"/>
        <v>New_20238</v>
      </c>
      <c r="X1445" s="2" t="s">
        <v>1615</v>
      </c>
    </row>
    <row r="1446" spans="1:24" hidden="1" x14ac:dyDescent="0.35">
      <c r="A1446">
        <v>13</v>
      </c>
      <c r="B1446" t="s">
        <v>726</v>
      </c>
      <c r="C1446" s="1">
        <v>44139</v>
      </c>
      <c r="D1446" t="s">
        <v>752</v>
      </c>
      <c r="E1446" t="s">
        <v>18</v>
      </c>
      <c r="F1446" t="s">
        <v>19</v>
      </c>
      <c r="G1446" t="s">
        <v>20</v>
      </c>
      <c r="H1446" t="s">
        <v>753</v>
      </c>
      <c r="I1446" t="s">
        <v>22</v>
      </c>
      <c r="J1446">
        <v>0.72399999999999998</v>
      </c>
      <c r="R1446" t="s">
        <v>754</v>
      </c>
      <c r="S1446" t="s">
        <v>726</v>
      </c>
      <c r="T1446" s="6" t="s">
        <v>945</v>
      </c>
      <c r="U1446" s="6" t="s">
        <v>946</v>
      </c>
      <c r="V1446" s="2" t="s">
        <v>923</v>
      </c>
      <c r="W1446" t="str">
        <f t="shared" si="23"/>
        <v>New_202011</v>
      </c>
      <c r="X1446" s="2" t="s">
        <v>1615</v>
      </c>
    </row>
    <row r="1447" spans="1:24" hidden="1" x14ac:dyDescent="0.35">
      <c r="A1447">
        <v>13</v>
      </c>
      <c r="B1447" t="s">
        <v>726</v>
      </c>
      <c r="C1447" s="1">
        <v>44511</v>
      </c>
      <c r="D1447" t="s">
        <v>834</v>
      </c>
      <c r="E1447" t="s">
        <v>18</v>
      </c>
      <c r="F1447" t="s">
        <v>43</v>
      </c>
      <c r="G1447" t="s">
        <v>20</v>
      </c>
      <c r="H1447" t="s">
        <v>835</v>
      </c>
      <c r="I1447" t="s">
        <v>41</v>
      </c>
      <c r="J1447">
        <v>0.85399999999999998</v>
      </c>
      <c r="M1447">
        <v>0.74</v>
      </c>
      <c r="R1447" t="s">
        <v>823</v>
      </c>
      <c r="S1447" t="s">
        <v>726</v>
      </c>
      <c r="T1447" s="6" t="s">
        <v>945</v>
      </c>
      <c r="U1447" s="6" t="s">
        <v>945</v>
      </c>
      <c r="V1447" s="2" t="s">
        <v>952</v>
      </c>
      <c r="W1447" t="str">
        <f t="shared" si="23"/>
        <v>New_202111</v>
      </c>
      <c r="X1447" s="2" t="s">
        <v>1615</v>
      </c>
    </row>
    <row r="1448" spans="1:24" hidden="1" x14ac:dyDescent="0.35">
      <c r="A1448">
        <v>13</v>
      </c>
      <c r="B1448" t="s">
        <v>726</v>
      </c>
      <c r="C1448" s="1">
        <v>45161</v>
      </c>
      <c r="D1448" t="s">
        <v>719</v>
      </c>
      <c r="E1448" t="s">
        <v>18</v>
      </c>
      <c r="F1448" t="s">
        <v>43</v>
      </c>
      <c r="G1448" t="s">
        <v>20</v>
      </c>
      <c r="H1448" t="s">
        <v>891</v>
      </c>
      <c r="I1448" t="s">
        <v>41</v>
      </c>
      <c r="J1448">
        <v>0.73</v>
      </c>
      <c r="M1448">
        <v>0.51</v>
      </c>
      <c r="S1448" t="s">
        <v>726</v>
      </c>
      <c r="T1448" s="6" t="s">
        <v>940</v>
      </c>
      <c r="U1448" s="6" t="s">
        <v>934</v>
      </c>
      <c r="V1448" s="2" t="s">
        <v>955</v>
      </c>
      <c r="W1448" t="str">
        <f t="shared" si="23"/>
        <v>New_20238</v>
      </c>
      <c r="X1448" s="2" t="s">
        <v>1615</v>
      </c>
    </row>
    <row r="1449" spans="1:24" hidden="1" x14ac:dyDescent="0.35">
      <c r="A1449">
        <v>14</v>
      </c>
      <c r="B1449" t="s">
        <v>726</v>
      </c>
      <c r="C1449" s="1">
        <v>44140</v>
      </c>
      <c r="D1449" t="s">
        <v>755</v>
      </c>
      <c r="E1449" t="s">
        <v>18</v>
      </c>
      <c r="F1449" t="s">
        <v>39</v>
      </c>
      <c r="G1449" t="s">
        <v>20</v>
      </c>
      <c r="H1449" t="s">
        <v>756</v>
      </c>
      <c r="I1449" t="s">
        <v>41</v>
      </c>
      <c r="J1449">
        <v>0.78100000000000003</v>
      </c>
      <c r="M1449">
        <v>0.90910000000000002</v>
      </c>
      <c r="S1449" t="s">
        <v>726</v>
      </c>
      <c r="T1449" s="6" t="s">
        <v>945</v>
      </c>
      <c r="U1449" s="6" t="s">
        <v>947</v>
      </c>
      <c r="V1449" s="2" t="s">
        <v>923</v>
      </c>
      <c r="W1449" t="str">
        <f t="shared" si="23"/>
        <v>New_202011</v>
      </c>
      <c r="X1449" s="2" t="s">
        <v>1615</v>
      </c>
    </row>
    <row r="1450" spans="1:24" hidden="1" x14ac:dyDescent="0.35">
      <c r="A1450">
        <v>14</v>
      </c>
      <c r="B1450" t="s">
        <v>726</v>
      </c>
      <c r="C1450" s="1">
        <v>44518</v>
      </c>
      <c r="D1450" t="s">
        <v>836</v>
      </c>
      <c r="E1450" t="s">
        <v>18</v>
      </c>
      <c r="F1450" t="s">
        <v>43</v>
      </c>
      <c r="G1450" t="s">
        <v>20</v>
      </c>
      <c r="H1450" t="s">
        <v>837</v>
      </c>
      <c r="I1450" t="s">
        <v>22</v>
      </c>
      <c r="J1450">
        <v>0.82699999999999996</v>
      </c>
      <c r="M1450">
        <v>0.81</v>
      </c>
      <c r="R1450" t="s">
        <v>823</v>
      </c>
      <c r="S1450" t="s">
        <v>726</v>
      </c>
      <c r="T1450" s="6" t="s">
        <v>945</v>
      </c>
      <c r="U1450" s="6" t="s">
        <v>930</v>
      </c>
      <c r="V1450" s="2" t="s">
        <v>952</v>
      </c>
      <c r="W1450" t="str">
        <f t="shared" si="23"/>
        <v>New_202111</v>
      </c>
      <c r="X1450" s="2" t="s">
        <v>1615</v>
      </c>
    </row>
    <row r="1451" spans="1:24" hidden="1" x14ac:dyDescent="0.35">
      <c r="A1451">
        <v>14</v>
      </c>
      <c r="B1451" t="s">
        <v>726</v>
      </c>
      <c r="C1451" s="1">
        <v>45166</v>
      </c>
      <c r="D1451" t="s">
        <v>717</v>
      </c>
      <c r="E1451" t="s">
        <v>18</v>
      </c>
      <c r="F1451" t="s">
        <v>43</v>
      </c>
      <c r="G1451" t="s">
        <v>20</v>
      </c>
      <c r="H1451" t="s">
        <v>718</v>
      </c>
      <c r="I1451" t="s">
        <v>41</v>
      </c>
      <c r="J1451">
        <v>0.76</v>
      </c>
      <c r="M1451">
        <v>0.79</v>
      </c>
      <c r="S1451" t="s">
        <v>726</v>
      </c>
      <c r="T1451" s="6" t="s">
        <v>940</v>
      </c>
      <c r="U1451" s="6" t="s">
        <v>926</v>
      </c>
      <c r="V1451" s="2" t="s">
        <v>955</v>
      </c>
      <c r="W1451" t="str">
        <f t="shared" si="23"/>
        <v>New_20238</v>
      </c>
      <c r="X1451" s="2" t="s">
        <v>1615</v>
      </c>
    </row>
    <row r="1452" spans="1:24" hidden="1" x14ac:dyDescent="0.35">
      <c r="A1452">
        <v>15</v>
      </c>
      <c r="B1452" t="s">
        <v>726</v>
      </c>
      <c r="C1452" s="1">
        <v>44140</v>
      </c>
      <c r="D1452" t="s">
        <v>757</v>
      </c>
      <c r="E1452" t="s">
        <v>18</v>
      </c>
      <c r="F1452" t="s">
        <v>148</v>
      </c>
      <c r="G1452" t="s">
        <v>538</v>
      </c>
      <c r="H1452" t="s">
        <v>758</v>
      </c>
      <c r="I1452" t="s">
        <v>148</v>
      </c>
      <c r="M1452">
        <v>0.68179999999999996</v>
      </c>
      <c r="S1452" t="s">
        <v>726</v>
      </c>
      <c r="T1452" s="6" t="s">
        <v>945</v>
      </c>
      <c r="U1452" s="6" t="s">
        <v>947</v>
      </c>
      <c r="V1452" s="2" t="s">
        <v>923</v>
      </c>
      <c r="W1452" t="str">
        <f t="shared" si="23"/>
        <v>New_202011</v>
      </c>
      <c r="X1452" s="2" t="s">
        <v>1615</v>
      </c>
    </row>
    <row r="1453" spans="1:24" hidden="1" x14ac:dyDescent="0.35">
      <c r="A1453">
        <v>15</v>
      </c>
      <c r="B1453" t="s">
        <v>726</v>
      </c>
      <c r="C1453" s="1">
        <v>44528</v>
      </c>
      <c r="D1453" t="s">
        <v>838</v>
      </c>
      <c r="E1453" t="s">
        <v>18</v>
      </c>
      <c r="F1453" t="s">
        <v>43</v>
      </c>
      <c r="G1453" t="s">
        <v>168</v>
      </c>
      <c r="H1453" t="s">
        <v>839</v>
      </c>
      <c r="I1453" t="s">
        <v>22</v>
      </c>
      <c r="J1453" t="s">
        <v>840</v>
      </c>
      <c r="M1453">
        <v>0.92</v>
      </c>
      <c r="P1453" t="s">
        <v>710</v>
      </c>
      <c r="R1453" t="s">
        <v>823</v>
      </c>
      <c r="S1453" t="s">
        <v>726</v>
      </c>
      <c r="T1453" s="6" t="s">
        <v>945</v>
      </c>
      <c r="U1453" s="6" t="s">
        <v>926</v>
      </c>
      <c r="V1453" s="2" t="s">
        <v>952</v>
      </c>
      <c r="W1453" t="str">
        <f t="shared" si="23"/>
        <v>New_202111</v>
      </c>
      <c r="X1453" s="2" t="s">
        <v>1615</v>
      </c>
    </row>
    <row r="1454" spans="1:24" hidden="1" x14ac:dyDescent="0.35">
      <c r="A1454">
        <v>15</v>
      </c>
      <c r="B1454" t="s">
        <v>726</v>
      </c>
      <c r="C1454" s="1">
        <v>45244</v>
      </c>
      <c r="D1454" t="s">
        <v>892</v>
      </c>
      <c r="E1454" t="s">
        <v>18</v>
      </c>
      <c r="F1454" t="s">
        <v>19</v>
      </c>
      <c r="G1454" t="s">
        <v>762</v>
      </c>
      <c r="H1454" t="s">
        <v>893</v>
      </c>
      <c r="I1454" t="s">
        <v>22</v>
      </c>
      <c r="J1454">
        <v>0.9</v>
      </c>
      <c r="M1454">
        <v>0.93</v>
      </c>
      <c r="Q1454" t="s">
        <v>894</v>
      </c>
      <c r="S1454" t="s">
        <v>726</v>
      </c>
      <c r="T1454" s="6" t="s">
        <v>945</v>
      </c>
      <c r="U1454" s="6" t="s">
        <v>951</v>
      </c>
      <c r="V1454" s="2" t="s">
        <v>955</v>
      </c>
      <c r="W1454" t="str">
        <f t="shared" si="23"/>
        <v>New_202311</v>
      </c>
      <c r="X1454" s="2" t="s">
        <v>1615</v>
      </c>
    </row>
    <row r="1455" spans="1:24" hidden="1" x14ac:dyDescent="0.35">
      <c r="A1455">
        <v>16</v>
      </c>
      <c r="B1455" t="s">
        <v>726</v>
      </c>
      <c r="C1455" s="1">
        <v>44140</v>
      </c>
      <c r="D1455" t="s">
        <v>759</v>
      </c>
      <c r="E1455" t="s">
        <v>18</v>
      </c>
      <c r="F1455" t="s">
        <v>148</v>
      </c>
      <c r="G1455" t="s">
        <v>20</v>
      </c>
      <c r="H1455" t="s">
        <v>760</v>
      </c>
      <c r="I1455" t="s">
        <v>148</v>
      </c>
      <c r="M1455">
        <v>0.77270000000000005</v>
      </c>
      <c r="S1455" t="s">
        <v>726</v>
      </c>
      <c r="T1455" s="6" t="s">
        <v>945</v>
      </c>
      <c r="U1455" s="6" t="s">
        <v>947</v>
      </c>
      <c r="V1455" s="2" t="s">
        <v>923</v>
      </c>
      <c r="W1455" t="str">
        <f t="shared" si="23"/>
        <v>New_202011</v>
      </c>
      <c r="X1455" s="2" t="s">
        <v>1615</v>
      </c>
    </row>
    <row r="1456" spans="1:24" hidden="1" x14ac:dyDescent="0.35">
      <c r="A1456">
        <v>16</v>
      </c>
      <c r="B1456" t="s">
        <v>726</v>
      </c>
      <c r="C1456" s="1">
        <v>44540</v>
      </c>
      <c r="D1456" t="s">
        <v>4210</v>
      </c>
      <c r="E1456" t="s">
        <v>18</v>
      </c>
      <c r="F1456" t="s">
        <v>43</v>
      </c>
      <c r="G1456" t="s">
        <v>26</v>
      </c>
      <c r="H1456" t="s">
        <v>841</v>
      </c>
      <c r="I1456" t="s">
        <v>41</v>
      </c>
      <c r="J1456">
        <v>0.85399999999999998</v>
      </c>
      <c r="M1456">
        <v>0.78</v>
      </c>
      <c r="R1456" t="s">
        <v>823</v>
      </c>
      <c r="S1456" t="s">
        <v>726</v>
      </c>
      <c r="T1456" s="6" t="s">
        <v>949</v>
      </c>
      <c r="U1456" s="6" t="s">
        <v>948</v>
      </c>
      <c r="V1456" s="2" t="s">
        <v>952</v>
      </c>
      <c r="W1456" t="str">
        <f t="shared" si="23"/>
        <v>New_202112</v>
      </c>
      <c r="X1456" s="2" t="s">
        <v>1615</v>
      </c>
    </row>
    <row r="1457" spans="1:24" hidden="1" x14ac:dyDescent="0.35">
      <c r="A1457">
        <v>16</v>
      </c>
      <c r="B1457" t="s">
        <v>726</v>
      </c>
      <c r="C1457" s="1">
        <v>45257</v>
      </c>
      <c r="D1457" t="s">
        <v>895</v>
      </c>
      <c r="E1457" t="s">
        <v>18</v>
      </c>
      <c r="F1457" t="s">
        <v>19</v>
      </c>
      <c r="G1457" t="s">
        <v>896</v>
      </c>
      <c r="H1457" t="s">
        <v>897</v>
      </c>
      <c r="I1457" t="s">
        <v>22</v>
      </c>
      <c r="J1457">
        <v>0.9</v>
      </c>
      <c r="M1457">
        <v>0.86</v>
      </c>
      <c r="Q1457" t="s">
        <v>881</v>
      </c>
      <c r="S1457" t="s">
        <v>726</v>
      </c>
      <c r="T1457" s="6" t="s">
        <v>945</v>
      </c>
      <c r="U1457" s="6" t="s">
        <v>925</v>
      </c>
      <c r="V1457" s="2" t="s">
        <v>955</v>
      </c>
      <c r="W1457" t="str">
        <f t="shared" si="23"/>
        <v>New_202311</v>
      </c>
      <c r="X1457" s="2" t="s">
        <v>1615</v>
      </c>
    </row>
    <row r="1458" spans="1:24" hidden="1" x14ac:dyDescent="0.35">
      <c r="A1458">
        <v>17</v>
      </c>
      <c r="B1458" t="s">
        <v>726</v>
      </c>
      <c r="C1458" s="1">
        <v>44141</v>
      </c>
      <c r="D1458" t="s">
        <v>761</v>
      </c>
      <c r="E1458" t="s">
        <v>18</v>
      </c>
      <c r="F1458" t="s">
        <v>19</v>
      </c>
      <c r="G1458" t="s">
        <v>762</v>
      </c>
      <c r="H1458" t="s">
        <v>763</v>
      </c>
      <c r="I1458" t="s">
        <v>22</v>
      </c>
      <c r="J1458">
        <v>0.64800000000000002</v>
      </c>
      <c r="R1458" t="s">
        <v>754</v>
      </c>
      <c r="S1458" t="s">
        <v>726</v>
      </c>
      <c r="T1458" s="6" t="s">
        <v>945</v>
      </c>
      <c r="U1458" s="6" t="s">
        <v>927</v>
      </c>
      <c r="V1458" s="2" t="s">
        <v>923</v>
      </c>
      <c r="W1458" t="str">
        <f t="shared" si="23"/>
        <v>New_202011</v>
      </c>
      <c r="X1458" s="2" t="s">
        <v>1615</v>
      </c>
    </row>
    <row r="1459" spans="1:24" hidden="1" x14ac:dyDescent="0.35">
      <c r="A1459">
        <v>17</v>
      </c>
      <c r="B1459" t="s">
        <v>726</v>
      </c>
      <c r="C1459" s="1">
        <v>45259</v>
      </c>
      <c r="D1459" t="s">
        <v>898</v>
      </c>
      <c r="E1459" t="s">
        <v>18</v>
      </c>
      <c r="F1459" t="s">
        <v>43</v>
      </c>
      <c r="G1459" t="s">
        <v>73</v>
      </c>
      <c r="H1459" t="s">
        <v>899</v>
      </c>
      <c r="I1459" t="s">
        <v>22</v>
      </c>
      <c r="J1459">
        <v>0.72099999999999997</v>
      </c>
      <c r="M1459">
        <v>0.57999999999999996</v>
      </c>
      <c r="S1459" t="s">
        <v>726</v>
      </c>
      <c r="T1459" s="6" t="s">
        <v>945</v>
      </c>
      <c r="U1459" s="6" t="s">
        <v>937</v>
      </c>
      <c r="V1459" s="2" t="s">
        <v>955</v>
      </c>
      <c r="W1459" t="str">
        <f t="shared" si="23"/>
        <v>New_202311</v>
      </c>
      <c r="X1459" s="2" t="s">
        <v>1615</v>
      </c>
    </row>
    <row r="1460" spans="1:24" hidden="1" x14ac:dyDescent="0.35">
      <c r="A1460">
        <v>18</v>
      </c>
      <c r="B1460" t="s">
        <v>726</v>
      </c>
      <c r="C1460" s="1">
        <v>44141</v>
      </c>
      <c r="D1460" t="s">
        <v>4209</v>
      </c>
      <c r="E1460" t="s">
        <v>18</v>
      </c>
      <c r="F1460" t="s">
        <v>19</v>
      </c>
      <c r="G1460" t="s">
        <v>20</v>
      </c>
      <c r="H1460" t="s">
        <v>764</v>
      </c>
      <c r="I1460" t="s">
        <v>41</v>
      </c>
      <c r="J1460">
        <v>0.72699999999999998</v>
      </c>
      <c r="S1460" t="s">
        <v>726</v>
      </c>
      <c r="T1460" s="6" t="s">
        <v>945</v>
      </c>
      <c r="U1460" s="6" t="s">
        <v>927</v>
      </c>
      <c r="V1460" s="2" t="s">
        <v>923</v>
      </c>
      <c r="W1460" t="str">
        <f t="shared" si="23"/>
        <v>New_202011</v>
      </c>
      <c r="X1460" s="2" t="s">
        <v>1615</v>
      </c>
    </row>
    <row r="1461" spans="1:24" hidden="1" x14ac:dyDescent="0.35">
      <c r="A1461">
        <v>18</v>
      </c>
      <c r="B1461" t="s">
        <v>726</v>
      </c>
      <c r="C1461" s="1">
        <v>45260</v>
      </c>
      <c r="D1461" t="s">
        <v>900</v>
      </c>
      <c r="E1461" t="s">
        <v>18</v>
      </c>
      <c r="F1461" t="s">
        <v>19</v>
      </c>
      <c r="G1461" t="s">
        <v>20</v>
      </c>
      <c r="H1461" t="s">
        <v>901</v>
      </c>
      <c r="I1461" t="s">
        <v>22</v>
      </c>
      <c r="J1461">
        <v>0.8</v>
      </c>
      <c r="M1461">
        <v>0.85</v>
      </c>
      <c r="Q1461" t="s">
        <v>881</v>
      </c>
      <c r="S1461" t="s">
        <v>726</v>
      </c>
      <c r="T1461" s="6" t="s">
        <v>945</v>
      </c>
      <c r="U1461" s="6" t="s">
        <v>938</v>
      </c>
      <c r="V1461" s="2" t="s">
        <v>955</v>
      </c>
      <c r="W1461" t="str">
        <f t="shared" si="23"/>
        <v>New_202311</v>
      </c>
      <c r="X1461" s="2" t="s">
        <v>1615</v>
      </c>
    </row>
    <row r="1462" spans="1:24" hidden="1" x14ac:dyDescent="0.35">
      <c r="A1462">
        <v>19</v>
      </c>
      <c r="B1462" t="s">
        <v>726</v>
      </c>
      <c r="C1462" s="1">
        <v>44158</v>
      </c>
      <c r="D1462" t="s">
        <v>765</v>
      </c>
      <c r="E1462" t="s">
        <v>18</v>
      </c>
      <c r="F1462" t="s">
        <v>148</v>
      </c>
      <c r="G1462" t="s">
        <v>20</v>
      </c>
      <c r="H1462" t="s">
        <v>766</v>
      </c>
      <c r="I1462" t="s">
        <v>148</v>
      </c>
      <c r="M1462">
        <v>0.68</v>
      </c>
      <c r="S1462" t="s">
        <v>726</v>
      </c>
      <c r="T1462" s="6" t="s">
        <v>945</v>
      </c>
      <c r="U1462" s="6" t="s">
        <v>934</v>
      </c>
      <c r="V1462" s="2" t="s">
        <v>923</v>
      </c>
      <c r="W1462" t="str">
        <f t="shared" si="23"/>
        <v>New_202011</v>
      </c>
      <c r="X1462" s="2" t="s">
        <v>1615</v>
      </c>
    </row>
    <row r="1463" spans="1:24" hidden="1" x14ac:dyDescent="0.35">
      <c r="A1463">
        <v>20</v>
      </c>
      <c r="B1463" t="s">
        <v>726</v>
      </c>
      <c r="C1463" s="1">
        <v>44158</v>
      </c>
      <c r="D1463" t="s">
        <v>767</v>
      </c>
      <c r="E1463" t="s">
        <v>18</v>
      </c>
      <c r="F1463" t="s">
        <v>148</v>
      </c>
      <c r="G1463" t="s">
        <v>261</v>
      </c>
      <c r="H1463" t="s">
        <v>768</v>
      </c>
      <c r="I1463" t="s">
        <v>148</v>
      </c>
      <c r="M1463">
        <v>0.6</v>
      </c>
      <c r="S1463" t="s">
        <v>726</v>
      </c>
      <c r="T1463" s="6" t="s">
        <v>945</v>
      </c>
      <c r="U1463" s="6" t="s">
        <v>934</v>
      </c>
      <c r="V1463" s="2" t="s">
        <v>923</v>
      </c>
      <c r="W1463" t="str">
        <f t="shared" si="23"/>
        <v>New_202011</v>
      </c>
      <c r="X1463" s="2" t="s">
        <v>1615</v>
      </c>
    </row>
    <row r="1464" spans="1:24" hidden="1" x14ac:dyDescent="0.35">
      <c r="A1464">
        <v>21</v>
      </c>
      <c r="B1464" t="s">
        <v>726</v>
      </c>
      <c r="C1464" s="1">
        <v>44159</v>
      </c>
      <c r="D1464" t="s">
        <v>769</v>
      </c>
      <c r="E1464" t="s">
        <v>18</v>
      </c>
      <c r="F1464" t="s">
        <v>39</v>
      </c>
      <c r="G1464" t="s">
        <v>20</v>
      </c>
      <c r="H1464" t="s">
        <v>770</v>
      </c>
      <c r="I1464" t="s">
        <v>41</v>
      </c>
      <c r="J1464">
        <v>0.88600000000000001</v>
      </c>
      <c r="M1464">
        <v>0.81</v>
      </c>
      <c r="S1464" t="s">
        <v>726</v>
      </c>
      <c r="T1464" s="6" t="s">
        <v>945</v>
      </c>
      <c r="U1464" s="6" t="s">
        <v>935</v>
      </c>
      <c r="V1464" s="2" t="s">
        <v>923</v>
      </c>
      <c r="W1464" t="str">
        <f t="shared" si="23"/>
        <v>New_202011</v>
      </c>
      <c r="X1464" s="2" t="s">
        <v>1615</v>
      </c>
    </row>
    <row r="1465" spans="1:24" hidden="1" x14ac:dyDescent="0.35">
      <c r="A1465">
        <v>22</v>
      </c>
      <c r="B1465" t="s">
        <v>726</v>
      </c>
      <c r="C1465" s="1">
        <v>44159</v>
      </c>
      <c r="D1465" t="s">
        <v>771</v>
      </c>
      <c r="E1465" t="s">
        <v>18</v>
      </c>
      <c r="F1465" t="s">
        <v>148</v>
      </c>
      <c r="G1465" t="s">
        <v>20</v>
      </c>
      <c r="H1465" t="s">
        <v>772</v>
      </c>
      <c r="I1465" t="s">
        <v>148</v>
      </c>
      <c r="M1465">
        <v>0.64</v>
      </c>
      <c r="S1465" t="s">
        <v>726</v>
      </c>
      <c r="T1465" s="6" t="s">
        <v>945</v>
      </c>
      <c r="U1465" s="6" t="s">
        <v>935</v>
      </c>
      <c r="V1465" s="2" t="s">
        <v>923</v>
      </c>
      <c r="W1465" t="str">
        <f t="shared" si="23"/>
        <v>New_202011</v>
      </c>
      <c r="X1465" s="2" t="s">
        <v>1615</v>
      </c>
    </row>
    <row r="1466" spans="1:24" hidden="1" x14ac:dyDescent="0.35">
      <c r="A1466">
        <v>23</v>
      </c>
      <c r="B1466" t="s">
        <v>726</v>
      </c>
      <c r="C1466" s="1">
        <v>44159</v>
      </c>
      <c r="D1466" t="s">
        <v>773</v>
      </c>
      <c r="E1466" t="s">
        <v>18</v>
      </c>
      <c r="F1466" t="s">
        <v>39</v>
      </c>
      <c r="G1466" t="s">
        <v>20</v>
      </c>
      <c r="H1466" t="s">
        <v>774</v>
      </c>
      <c r="I1466" t="s">
        <v>41</v>
      </c>
      <c r="J1466">
        <v>0.77300000000000002</v>
      </c>
      <c r="M1466">
        <v>0.8</v>
      </c>
      <c r="S1466" t="s">
        <v>726</v>
      </c>
      <c r="T1466" s="6" t="s">
        <v>945</v>
      </c>
      <c r="U1466" s="6" t="s">
        <v>935</v>
      </c>
      <c r="V1466" s="2" t="s">
        <v>923</v>
      </c>
      <c r="W1466" t="str">
        <f t="shared" si="23"/>
        <v>New_202011</v>
      </c>
      <c r="X1466" s="2" t="s">
        <v>1615</v>
      </c>
    </row>
    <row r="1467" spans="1:24" hidden="1" x14ac:dyDescent="0.35">
      <c r="A1467">
        <v>24</v>
      </c>
      <c r="B1467" t="s">
        <v>726</v>
      </c>
      <c r="C1467" s="1">
        <v>44160</v>
      </c>
      <c r="D1467" t="s">
        <v>775</v>
      </c>
      <c r="E1467" t="s">
        <v>18</v>
      </c>
      <c r="F1467" t="s">
        <v>39</v>
      </c>
      <c r="G1467" t="s">
        <v>20</v>
      </c>
      <c r="H1467" t="s">
        <v>776</v>
      </c>
      <c r="I1467" t="s">
        <v>22</v>
      </c>
      <c r="J1467">
        <v>0.77800000000000002</v>
      </c>
      <c r="M1467">
        <v>0.6</v>
      </c>
      <c r="S1467" t="s">
        <v>726</v>
      </c>
      <c r="T1467" s="6" t="s">
        <v>945</v>
      </c>
      <c r="U1467" s="6" t="s">
        <v>922</v>
      </c>
      <c r="V1467" s="2" t="s">
        <v>923</v>
      </c>
      <c r="W1467" t="str">
        <f t="shared" si="23"/>
        <v>New_202011</v>
      </c>
      <c r="X1467" s="2" t="s">
        <v>1615</v>
      </c>
    </row>
    <row r="1468" spans="1:24" hidden="1" x14ac:dyDescent="0.35">
      <c r="A1468">
        <v>25</v>
      </c>
      <c r="B1468" t="s">
        <v>726</v>
      </c>
      <c r="C1468" s="1">
        <v>44162</v>
      </c>
      <c r="D1468" t="s">
        <v>777</v>
      </c>
      <c r="E1468" t="s">
        <v>18</v>
      </c>
      <c r="F1468" t="s">
        <v>19</v>
      </c>
      <c r="G1468" t="s">
        <v>20</v>
      </c>
      <c r="H1468" t="s">
        <v>778</v>
      </c>
      <c r="I1468" t="s">
        <v>41</v>
      </c>
      <c r="J1468">
        <v>0.73099999999999998</v>
      </c>
      <c r="M1468">
        <v>0.68</v>
      </c>
      <c r="S1468" t="s">
        <v>726</v>
      </c>
      <c r="T1468" s="6" t="s">
        <v>945</v>
      </c>
      <c r="U1468" s="6" t="s">
        <v>925</v>
      </c>
      <c r="V1468" s="2" t="s">
        <v>923</v>
      </c>
      <c r="W1468" t="str">
        <f t="shared" si="23"/>
        <v>New_202011</v>
      </c>
      <c r="X1468" s="2" t="s">
        <v>1615</v>
      </c>
    </row>
    <row r="1469" spans="1:24" hidden="1" x14ac:dyDescent="0.35">
      <c r="A1469">
        <v>26</v>
      </c>
      <c r="B1469" t="s">
        <v>726</v>
      </c>
      <c r="C1469" s="1">
        <v>44162</v>
      </c>
      <c r="D1469" t="s">
        <v>779</v>
      </c>
      <c r="E1469" t="s">
        <v>18</v>
      </c>
      <c r="F1469" t="s">
        <v>19</v>
      </c>
      <c r="G1469" t="s">
        <v>26</v>
      </c>
      <c r="H1469" t="s">
        <v>780</v>
      </c>
      <c r="I1469" t="s">
        <v>22</v>
      </c>
      <c r="J1469">
        <v>0.83</v>
      </c>
      <c r="M1469">
        <v>0.75</v>
      </c>
      <c r="S1469" t="s">
        <v>726</v>
      </c>
      <c r="T1469" s="6" t="s">
        <v>945</v>
      </c>
      <c r="U1469" s="6" t="s">
        <v>925</v>
      </c>
      <c r="V1469" s="2" t="s">
        <v>923</v>
      </c>
      <c r="W1469" t="str">
        <f t="shared" si="23"/>
        <v>New_202011</v>
      </c>
      <c r="X1469" s="2" t="s">
        <v>1615</v>
      </c>
    </row>
    <row r="1470" spans="1:24" hidden="1" x14ac:dyDescent="0.35">
      <c r="A1470">
        <v>27</v>
      </c>
      <c r="B1470" t="s">
        <v>726</v>
      </c>
      <c r="C1470" s="1">
        <v>44165</v>
      </c>
      <c r="D1470" t="s">
        <v>781</v>
      </c>
      <c r="E1470" t="s">
        <v>18</v>
      </c>
      <c r="F1470" t="s">
        <v>19</v>
      </c>
      <c r="G1470" t="s">
        <v>20</v>
      </c>
      <c r="H1470" t="s">
        <v>782</v>
      </c>
      <c r="I1470" t="s">
        <v>41</v>
      </c>
      <c r="J1470">
        <v>0.66700000000000004</v>
      </c>
      <c r="M1470">
        <v>0.74</v>
      </c>
      <c r="S1470" t="s">
        <v>726</v>
      </c>
      <c r="T1470" s="6" t="s">
        <v>945</v>
      </c>
      <c r="U1470" s="6" t="s">
        <v>938</v>
      </c>
      <c r="V1470" s="2" t="s">
        <v>923</v>
      </c>
      <c r="W1470" t="str">
        <f t="shared" si="23"/>
        <v>New_202011</v>
      </c>
      <c r="X1470" s="2" t="s">
        <v>1615</v>
      </c>
    </row>
    <row r="1471" spans="1:24" hidden="1" x14ac:dyDescent="0.35">
      <c r="A1471">
        <v>28</v>
      </c>
      <c r="B1471" t="s">
        <v>726</v>
      </c>
      <c r="C1471" s="1">
        <v>44165</v>
      </c>
      <c r="D1471" t="s">
        <v>783</v>
      </c>
      <c r="E1471" t="s">
        <v>18</v>
      </c>
      <c r="F1471" t="s">
        <v>19</v>
      </c>
      <c r="G1471" t="s">
        <v>82</v>
      </c>
      <c r="H1471" t="s">
        <v>784</v>
      </c>
      <c r="I1471" t="s">
        <v>22</v>
      </c>
      <c r="J1471">
        <v>0.83299999999999996</v>
      </c>
      <c r="M1471">
        <v>0.78</v>
      </c>
      <c r="S1471" t="s">
        <v>726</v>
      </c>
      <c r="T1471" s="6" t="s">
        <v>945</v>
      </c>
      <c r="U1471" s="6" t="s">
        <v>938</v>
      </c>
      <c r="V1471" s="2" t="s">
        <v>923</v>
      </c>
      <c r="W1471" t="str">
        <f t="shared" si="23"/>
        <v>New_202011</v>
      </c>
      <c r="X1471" s="2" t="s">
        <v>1615</v>
      </c>
    </row>
    <row r="1472" spans="1:24" hidden="1" x14ac:dyDescent="0.35">
      <c r="A1472">
        <v>29</v>
      </c>
      <c r="B1472" t="s">
        <v>726</v>
      </c>
      <c r="C1472" s="1">
        <v>44166</v>
      </c>
      <c r="D1472" t="s">
        <v>785</v>
      </c>
      <c r="E1472" t="s">
        <v>18</v>
      </c>
      <c r="F1472" t="s">
        <v>148</v>
      </c>
      <c r="G1472" t="s">
        <v>20</v>
      </c>
      <c r="H1472" t="s">
        <v>786</v>
      </c>
      <c r="I1472" t="s">
        <v>148</v>
      </c>
      <c r="M1472">
        <v>0.56000000000000005</v>
      </c>
      <c r="S1472" t="s">
        <v>726</v>
      </c>
      <c r="T1472" s="6" t="s">
        <v>949</v>
      </c>
      <c r="U1472" s="6" t="s">
        <v>953</v>
      </c>
      <c r="V1472" s="2" t="s">
        <v>923</v>
      </c>
      <c r="W1472" t="str">
        <f t="shared" si="23"/>
        <v>New_202012</v>
      </c>
      <c r="X1472" s="2" t="s">
        <v>1615</v>
      </c>
    </row>
    <row r="1473" spans="1:24" hidden="1" x14ac:dyDescent="0.35">
      <c r="A1473">
        <v>30</v>
      </c>
      <c r="B1473" t="s">
        <v>726</v>
      </c>
      <c r="C1473" s="1">
        <v>44166</v>
      </c>
      <c r="D1473" t="s">
        <v>787</v>
      </c>
      <c r="E1473" t="s">
        <v>18</v>
      </c>
      <c r="F1473" t="s">
        <v>19</v>
      </c>
      <c r="G1473" t="s">
        <v>20</v>
      </c>
      <c r="H1473" t="s">
        <v>788</v>
      </c>
      <c r="I1473" t="s">
        <v>22</v>
      </c>
      <c r="J1473">
        <v>0.88700000000000001</v>
      </c>
      <c r="M1473">
        <v>0.72</v>
      </c>
      <c r="S1473" t="s">
        <v>726</v>
      </c>
      <c r="T1473" s="6" t="s">
        <v>949</v>
      </c>
      <c r="U1473" s="6" t="s">
        <v>953</v>
      </c>
      <c r="V1473" s="2" t="s">
        <v>923</v>
      </c>
      <c r="W1473" t="str">
        <f t="shared" si="23"/>
        <v>New_202012</v>
      </c>
      <c r="X1473" s="2" t="s">
        <v>1615</v>
      </c>
    </row>
    <row r="1474" spans="1:24" hidden="1" x14ac:dyDescent="0.35">
      <c r="A1474">
        <v>31</v>
      </c>
      <c r="B1474" t="s">
        <v>726</v>
      </c>
      <c r="C1474" s="1">
        <v>44173</v>
      </c>
      <c r="D1474" t="s">
        <v>789</v>
      </c>
      <c r="E1474" t="s">
        <v>18</v>
      </c>
      <c r="F1474" t="s">
        <v>39</v>
      </c>
      <c r="G1474" t="s">
        <v>116</v>
      </c>
      <c r="H1474" t="s">
        <v>790</v>
      </c>
      <c r="I1474" t="s">
        <v>41</v>
      </c>
      <c r="J1474">
        <v>0.81799999999999995</v>
      </c>
      <c r="M1474">
        <v>0.88</v>
      </c>
      <c r="S1474" t="s">
        <v>726</v>
      </c>
      <c r="T1474" s="6" t="s">
        <v>949</v>
      </c>
      <c r="U1474" s="6" t="s">
        <v>940</v>
      </c>
      <c r="V1474" s="2" t="s">
        <v>923</v>
      </c>
      <c r="W1474" t="str">
        <f t="shared" ref="W1474:W1537" si="24">CONCATENATE(B1474,"_",V1474,T1474)</f>
        <v>New_202012</v>
      </c>
      <c r="X1474" s="2" t="s">
        <v>1615</v>
      </c>
    </row>
    <row r="1475" spans="1:24" hidden="1" x14ac:dyDescent="0.35">
      <c r="A1475">
        <v>32</v>
      </c>
      <c r="B1475" t="s">
        <v>726</v>
      </c>
      <c r="C1475" s="1">
        <v>44173</v>
      </c>
      <c r="D1475" t="s">
        <v>791</v>
      </c>
      <c r="E1475" t="s">
        <v>18</v>
      </c>
      <c r="F1475" t="s">
        <v>39</v>
      </c>
      <c r="G1475" t="s">
        <v>20</v>
      </c>
      <c r="H1475" t="s">
        <v>792</v>
      </c>
      <c r="I1475" t="s">
        <v>41</v>
      </c>
      <c r="J1475">
        <v>0.76200000000000001</v>
      </c>
      <c r="M1475">
        <v>0.89</v>
      </c>
      <c r="S1475" t="s">
        <v>726</v>
      </c>
      <c r="T1475" s="6" t="s">
        <v>949</v>
      </c>
      <c r="U1475" s="6" t="s">
        <v>940</v>
      </c>
      <c r="V1475" s="2" t="s">
        <v>923</v>
      </c>
      <c r="W1475" t="str">
        <f t="shared" si="24"/>
        <v>New_202012</v>
      </c>
      <c r="X1475" s="2" t="s">
        <v>1615</v>
      </c>
    </row>
    <row r="1476" spans="1:24" hidden="1" x14ac:dyDescent="0.35">
      <c r="A1476">
        <v>33</v>
      </c>
      <c r="B1476" t="s">
        <v>726</v>
      </c>
      <c r="C1476" s="1">
        <v>44173</v>
      </c>
      <c r="D1476" t="s">
        <v>793</v>
      </c>
      <c r="E1476" t="s">
        <v>18</v>
      </c>
      <c r="F1476" t="s">
        <v>32</v>
      </c>
      <c r="G1476" t="s">
        <v>20</v>
      </c>
      <c r="H1476" t="s">
        <v>794</v>
      </c>
      <c r="I1476" t="s">
        <v>41</v>
      </c>
      <c r="J1476">
        <v>0.88600000000000001</v>
      </c>
      <c r="M1476">
        <v>0.88</v>
      </c>
      <c r="S1476" t="s">
        <v>726</v>
      </c>
      <c r="T1476" s="6" t="s">
        <v>949</v>
      </c>
      <c r="U1476" s="6" t="s">
        <v>940</v>
      </c>
      <c r="V1476" s="2" t="s">
        <v>923</v>
      </c>
      <c r="W1476" t="str">
        <f t="shared" si="24"/>
        <v>New_202012</v>
      </c>
      <c r="X1476" s="2" t="s">
        <v>1615</v>
      </c>
    </row>
    <row r="1477" spans="1:24" hidden="1" x14ac:dyDescent="0.35">
      <c r="A1477">
        <v>34</v>
      </c>
      <c r="B1477" t="s">
        <v>726</v>
      </c>
      <c r="C1477" s="1">
        <v>44180</v>
      </c>
      <c r="D1477" t="s">
        <v>795</v>
      </c>
      <c r="E1477" t="s">
        <v>18</v>
      </c>
      <c r="F1477" t="s">
        <v>52</v>
      </c>
      <c r="G1477" t="s">
        <v>26</v>
      </c>
      <c r="H1477" t="s">
        <v>796</v>
      </c>
      <c r="I1477" t="s">
        <v>41</v>
      </c>
      <c r="J1477">
        <v>0.96299999999999997</v>
      </c>
      <c r="M1477">
        <v>0.94</v>
      </c>
      <c r="S1477" t="s">
        <v>726</v>
      </c>
      <c r="T1477" s="6" t="s">
        <v>949</v>
      </c>
      <c r="U1477" s="6" t="s">
        <v>943</v>
      </c>
      <c r="V1477" s="2" t="s">
        <v>923</v>
      </c>
      <c r="W1477" t="str">
        <f t="shared" si="24"/>
        <v>New_202012</v>
      </c>
      <c r="X1477" s="2" t="s">
        <v>1615</v>
      </c>
    </row>
    <row r="1478" spans="1:24" hidden="1" x14ac:dyDescent="0.35">
      <c r="A1478">
        <v>35</v>
      </c>
      <c r="B1478" t="s">
        <v>726</v>
      </c>
      <c r="C1478" s="1">
        <v>44188</v>
      </c>
      <c r="D1478" t="s">
        <v>797</v>
      </c>
      <c r="E1478" t="s">
        <v>18</v>
      </c>
      <c r="F1478" t="s">
        <v>39</v>
      </c>
      <c r="G1478" t="s">
        <v>20</v>
      </c>
      <c r="H1478" t="s">
        <v>798</v>
      </c>
      <c r="I1478" t="s">
        <v>22</v>
      </c>
      <c r="J1478">
        <v>0.98799999999999999</v>
      </c>
      <c r="M1478">
        <v>0.92</v>
      </c>
      <c r="S1478" t="s">
        <v>726</v>
      </c>
      <c r="T1478" s="6" t="s">
        <v>949</v>
      </c>
      <c r="U1478" s="6" t="s">
        <v>934</v>
      </c>
      <c r="V1478" s="2" t="s">
        <v>923</v>
      </c>
      <c r="W1478" t="str">
        <f t="shared" si="24"/>
        <v>New_202012</v>
      </c>
      <c r="X1478" s="2" t="s">
        <v>1615</v>
      </c>
    </row>
    <row r="1479" spans="1:24" hidden="1" x14ac:dyDescent="0.35">
      <c r="A1479">
        <v>36</v>
      </c>
      <c r="B1479" t="s">
        <v>726</v>
      </c>
      <c r="C1479" s="1">
        <v>44188</v>
      </c>
      <c r="D1479" t="s">
        <v>799</v>
      </c>
      <c r="E1479" t="s">
        <v>18</v>
      </c>
      <c r="F1479" t="s">
        <v>148</v>
      </c>
      <c r="G1479" t="s">
        <v>20</v>
      </c>
      <c r="H1479" t="s">
        <v>800</v>
      </c>
      <c r="I1479" t="s">
        <v>41</v>
      </c>
      <c r="M1479">
        <v>0.68</v>
      </c>
      <c r="S1479" t="s">
        <v>726</v>
      </c>
      <c r="T1479" s="6" t="s">
        <v>949</v>
      </c>
      <c r="U1479" s="6" t="s">
        <v>934</v>
      </c>
      <c r="V1479" s="2" t="s">
        <v>923</v>
      </c>
      <c r="W1479" t="str">
        <f t="shared" si="24"/>
        <v>New_202012</v>
      </c>
      <c r="X1479" s="2" t="s">
        <v>1615</v>
      </c>
    </row>
    <row r="1480" spans="1:24" hidden="1" x14ac:dyDescent="0.35">
      <c r="A1480">
        <v>37</v>
      </c>
      <c r="B1480" t="s">
        <v>726</v>
      </c>
      <c r="C1480" s="1">
        <v>44188</v>
      </c>
      <c r="D1480" t="s">
        <v>801</v>
      </c>
      <c r="E1480" t="s">
        <v>18</v>
      </c>
      <c r="F1480" t="s">
        <v>148</v>
      </c>
      <c r="G1480" t="s">
        <v>20</v>
      </c>
      <c r="H1480" t="s">
        <v>802</v>
      </c>
      <c r="I1480" t="s">
        <v>41</v>
      </c>
      <c r="M1480">
        <v>0.76</v>
      </c>
      <c r="S1480" t="s">
        <v>726</v>
      </c>
      <c r="T1480" s="6" t="s">
        <v>949</v>
      </c>
      <c r="U1480" s="6" t="s">
        <v>934</v>
      </c>
      <c r="V1480" s="2" t="s">
        <v>923</v>
      </c>
      <c r="W1480" t="str">
        <f t="shared" si="24"/>
        <v>New_202012</v>
      </c>
      <c r="X1480" s="2" t="s">
        <v>1615</v>
      </c>
    </row>
    <row r="1481" spans="1:24" hidden="1" x14ac:dyDescent="0.35">
      <c r="A1481">
        <v>38</v>
      </c>
      <c r="B1481" t="s">
        <v>726</v>
      </c>
      <c r="C1481" s="1">
        <v>44195</v>
      </c>
      <c r="D1481" t="s">
        <v>803</v>
      </c>
      <c r="E1481" t="s">
        <v>18</v>
      </c>
      <c r="F1481" t="s">
        <v>148</v>
      </c>
      <c r="G1481" t="s">
        <v>20</v>
      </c>
      <c r="H1481" t="s">
        <v>804</v>
      </c>
      <c r="I1481" t="s">
        <v>41</v>
      </c>
      <c r="M1481">
        <v>0.56000000000000005</v>
      </c>
      <c r="S1481" t="s">
        <v>726</v>
      </c>
      <c r="T1481" s="6" t="s">
        <v>949</v>
      </c>
      <c r="U1481" s="6" t="s">
        <v>938</v>
      </c>
      <c r="V1481" s="2" t="s">
        <v>923</v>
      </c>
      <c r="W1481" t="str">
        <f t="shared" si="24"/>
        <v>New_202012</v>
      </c>
      <c r="X1481" s="2" t="s">
        <v>1615</v>
      </c>
    </row>
    <row r="1482" spans="1:24" hidden="1" x14ac:dyDescent="0.35">
      <c r="A1482">
        <v>6</v>
      </c>
      <c r="B1482" t="s">
        <v>726</v>
      </c>
      <c r="C1482" s="1">
        <v>45551</v>
      </c>
      <c r="D1482" t="s">
        <v>1647</v>
      </c>
      <c r="E1482" t="s">
        <v>18</v>
      </c>
      <c r="F1482" t="s">
        <v>43</v>
      </c>
      <c r="G1482" t="s">
        <v>82</v>
      </c>
      <c r="H1482" t="s">
        <v>1648</v>
      </c>
      <c r="I1482" t="s">
        <v>41</v>
      </c>
      <c r="J1482">
        <v>0.69</v>
      </c>
      <c r="M1482">
        <v>0.85</v>
      </c>
      <c r="N1482" t="s">
        <v>1649</v>
      </c>
      <c r="S1482" t="s">
        <v>726</v>
      </c>
      <c r="T1482" s="5">
        <v>9</v>
      </c>
      <c r="U1482" s="5">
        <v>16</v>
      </c>
      <c r="V1482" s="2" t="s">
        <v>956</v>
      </c>
      <c r="W1482" t="str">
        <f t="shared" si="24"/>
        <v>New_20249</v>
      </c>
      <c r="X1482" s="2" t="s">
        <v>1615</v>
      </c>
    </row>
    <row r="1483" spans="1:24" hidden="1" x14ac:dyDescent="0.35">
      <c r="A1483">
        <v>5</v>
      </c>
      <c r="B1483" t="s">
        <v>726</v>
      </c>
      <c r="C1483" s="1">
        <v>45415</v>
      </c>
      <c r="D1483" t="s">
        <v>1947</v>
      </c>
      <c r="E1483" t="s">
        <v>18</v>
      </c>
      <c r="F1483" t="s">
        <v>43</v>
      </c>
      <c r="G1483" t="s">
        <v>1603</v>
      </c>
      <c r="H1483" t="s">
        <v>1948</v>
      </c>
      <c r="I1483" t="s">
        <v>22</v>
      </c>
      <c r="J1483">
        <v>0.92</v>
      </c>
      <c r="M1483">
        <v>0.92</v>
      </c>
      <c r="Q1483" t="s">
        <v>1949</v>
      </c>
      <c r="R1483" t="s">
        <v>1950</v>
      </c>
      <c r="S1483" t="s">
        <v>726</v>
      </c>
      <c r="T1483" s="5" t="s">
        <v>947</v>
      </c>
      <c r="U1483" s="5" t="s">
        <v>941</v>
      </c>
      <c r="V1483" t="s">
        <v>956</v>
      </c>
      <c r="W1483" t="str">
        <f t="shared" si="24"/>
        <v>New_20245</v>
      </c>
      <c r="X1483" s="2" t="s">
        <v>1616</v>
      </c>
    </row>
    <row r="1484" spans="1:24" hidden="1" x14ac:dyDescent="0.35">
      <c r="A1484">
        <v>6</v>
      </c>
      <c r="B1484" t="s">
        <v>726</v>
      </c>
      <c r="C1484" s="1">
        <v>45422</v>
      </c>
      <c r="D1484" t="s">
        <v>1951</v>
      </c>
      <c r="E1484" t="s">
        <v>18</v>
      </c>
      <c r="F1484" t="s">
        <v>43</v>
      </c>
      <c r="G1484" t="s">
        <v>1606</v>
      </c>
      <c r="H1484" t="s">
        <v>1952</v>
      </c>
      <c r="I1484" t="s">
        <v>41</v>
      </c>
      <c r="J1484">
        <v>0.92900000000000005</v>
      </c>
      <c r="M1484">
        <v>0.87</v>
      </c>
      <c r="S1484" t="s">
        <v>726</v>
      </c>
      <c r="T1484" s="5" t="s">
        <v>947</v>
      </c>
      <c r="U1484" s="5" t="s">
        <v>948</v>
      </c>
      <c r="V1484" t="s">
        <v>956</v>
      </c>
      <c r="W1484" t="str">
        <f t="shared" si="24"/>
        <v>New_20245</v>
      </c>
      <c r="X1484" s="2" t="s">
        <v>1616</v>
      </c>
    </row>
    <row r="1485" spans="1:24" hidden="1" x14ac:dyDescent="0.35">
      <c r="A1485">
        <v>7</v>
      </c>
      <c r="B1485" t="s">
        <v>726</v>
      </c>
      <c r="C1485" s="1">
        <v>45446</v>
      </c>
      <c r="D1485" t="s">
        <v>1953</v>
      </c>
      <c r="E1485" t="s">
        <v>18</v>
      </c>
      <c r="F1485" t="s">
        <v>1602</v>
      </c>
      <c r="G1485" t="s">
        <v>1609</v>
      </c>
      <c r="H1485" t="s">
        <v>1954</v>
      </c>
      <c r="I1485" t="s">
        <v>22</v>
      </c>
      <c r="J1485">
        <v>0.92300000000000004</v>
      </c>
      <c r="M1485">
        <v>0.78</v>
      </c>
      <c r="S1485" t="s">
        <v>726</v>
      </c>
      <c r="T1485" s="5" t="s">
        <v>927</v>
      </c>
      <c r="U1485" s="5" t="s">
        <v>941</v>
      </c>
      <c r="V1485" t="s">
        <v>956</v>
      </c>
      <c r="W1485" t="str">
        <f t="shared" si="24"/>
        <v>New_20246</v>
      </c>
      <c r="X1485" s="2" t="s">
        <v>1616</v>
      </c>
    </row>
    <row r="1486" spans="1:24" hidden="1" x14ac:dyDescent="0.35">
      <c r="A1486">
        <v>8</v>
      </c>
      <c r="B1486" t="s">
        <v>726</v>
      </c>
      <c r="C1486" s="1">
        <v>45453</v>
      </c>
      <c r="D1486" t="s">
        <v>1955</v>
      </c>
      <c r="E1486" t="s">
        <v>18</v>
      </c>
      <c r="F1486" t="s">
        <v>19</v>
      </c>
      <c r="G1486" t="s">
        <v>1720</v>
      </c>
      <c r="H1486" t="s">
        <v>1956</v>
      </c>
      <c r="I1486" t="s">
        <v>22</v>
      </c>
      <c r="J1486">
        <v>0.92300000000000004</v>
      </c>
      <c r="M1486">
        <v>0.95</v>
      </c>
      <c r="R1486" t="s">
        <v>50</v>
      </c>
      <c r="S1486" t="s">
        <v>726</v>
      </c>
      <c r="T1486" s="5" t="s">
        <v>927</v>
      </c>
      <c r="U1486" s="5" t="s">
        <v>948</v>
      </c>
      <c r="V1486" t="s">
        <v>956</v>
      </c>
      <c r="W1486" t="str">
        <f t="shared" si="24"/>
        <v>New_20246</v>
      </c>
      <c r="X1486" s="2" t="s">
        <v>1616</v>
      </c>
    </row>
    <row r="1487" spans="1:24" hidden="1" x14ac:dyDescent="0.35">
      <c r="A1487">
        <v>9</v>
      </c>
      <c r="B1487" t="s">
        <v>726</v>
      </c>
      <c r="C1487" s="1">
        <v>45457</v>
      </c>
      <c r="D1487" t="s">
        <v>1957</v>
      </c>
      <c r="E1487" t="s">
        <v>18</v>
      </c>
      <c r="F1487" t="s">
        <v>19</v>
      </c>
      <c r="G1487" t="s">
        <v>1603</v>
      </c>
      <c r="H1487" t="s">
        <v>1958</v>
      </c>
      <c r="I1487" t="s">
        <v>22</v>
      </c>
      <c r="J1487">
        <v>1</v>
      </c>
      <c r="M1487">
        <v>0.98</v>
      </c>
      <c r="Q1487" t="s">
        <v>279</v>
      </c>
      <c r="R1487" t="s">
        <v>1959</v>
      </c>
      <c r="S1487" t="s">
        <v>726</v>
      </c>
      <c r="T1487" s="5" t="s">
        <v>927</v>
      </c>
      <c r="U1487" s="5" t="s">
        <v>951</v>
      </c>
      <c r="V1487" t="s">
        <v>956</v>
      </c>
      <c r="W1487" t="str">
        <f t="shared" si="24"/>
        <v>New_20246</v>
      </c>
      <c r="X1487" s="2" t="s">
        <v>1616</v>
      </c>
    </row>
    <row r="1488" spans="1:24" hidden="1" x14ac:dyDescent="0.35">
      <c r="A1488">
        <v>10</v>
      </c>
      <c r="B1488" t="s">
        <v>726</v>
      </c>
      <c r="C1488" s="1">
        <v>45460</v>
      </c>
      <c r="D1488" t="s">
        <v>1960</v>
      </c>
      <c r="E1488" t="s">
        <v>18</v>
      </c>
      <c r="F1488" t="s">
        <v>39</v>
      </c>
      <c r="G1488" t="s">
        <v>1606</v>
      </c>
      <c r="H1488" t="s">
        <v>1961</v>
      </c>
      <c r="I1488" t="s">
        <v>41</v>
      </c>
      <c r="J1488">
        <v>0.89100000000000001</v>
      </c>
      <c r="M1488">
        <v>0.89</v>
      </c>
      <c r="S1488" t="s">
        <v>726</v>
      </c>
      <c r="T1488" s="5" t="s">
        <v>927</v>
      </c>
      <c r="U1488" s="5" t="s">
        <v>929</v>
      </c>
      <c r="V1488" t="s">
        <v>956</v>
      </c>
      <c r="W1488" t="str">
        <f t="shared" si="24"/>
        <v>New_20246</v>
      </c>
      <c r="X1488" s="2" t="s">
        <v>1616</v>
      </c>
    </row>
    <row r="1489" spans="1:24" hidden="1" x14ac:dyDescent="0.35">
      <c r="A1489">
        <v>11</v>
      </c>
      <c r="B1489" t="s">
        <v>726</v>
      </c>
      <c r="C1489" s="1">
        <v>45462</v>
      </c>
      <c r="D1489" t="s">
        <v>1962</v>
      </c>
      <c r="E1489" t="s">
        <v>18</v>
      </c>
      <c r="F1489" t="s">
        <v>19</v>
      </c>
      <c r="G1489" t="s">
        <v>1720</v>
      </c>
      <c r="H1489" t="s">
        <v>1963</v>
      </c>
      <c r="I1489" t="s">
        <v>22</v>
      </c>
      <c r="J1489">
        <v>0.92200000000000004</v>
      </c>
      <c r="M1489">
        <v>0.84</v>
      </c>
      <c r="Q1489" t="s">
        <v>165</v>
      </c>
      <c r="S1489" t="s">
        <v>726</v>
      </c>
      <c r="T1489" s="5" t="s">
        <v>927</v>
      </c>
      <c r="U1489" s="5" t="s">
        <v>931</v>
      </c>
      <c r="V1489" t="s">
        <v>956</v>
      </c>
      <c r="W1489" t="str">
        <f t="shared" si="24"/>
        <v>New_20246</v>
      </c>
      <c r="X1489" s="2" t="s">
        <v>1616</v>
      </c>
    </row>
    <row r="1490" spans="1:24" hidden="1" x14ac:dyDescent="0.35">
      <c r="A1490">
        <v>12</v>
      </c>
      <c r="B1490" t="s">
        <v>726</v>
      </c>
      <c r="C1490" s="1">
        <v>45464</v>
      </c>
      <c r="D1490" t="s">
        <v>1964</v>
      </c>
      <c r="E1490" t="s">
        <v>18</v>
      </c>
      <c r="F1490" t="s">
        <v>43</v>
      </c>
      <c r="G1490" t="s">
        <v>1606</v>
      </c>
      <c r="H1490" t="s">
        <v>1965</v>
      </c>
      <c r="I1490" t="s">
        <v>41</v>
      </c>
      <c r="J1490">
        <v>0.96799999999999997</v>
      </c>
      <c r="M1490">
        <v>0.87</v>
      </c>
      <c r="S1490" t="s">
        <v>726</v>
      </c>
      <c r="T1490" s="5" t="s">
        <v>927</v>
      </c>
      <c r="U1490" s="5" t="s">
        <v>944</v>
      </c>
      <c r="V1490" t="s">
        <v>956</v>
      </c>
      <c r="W1490" t="str">
        <f t="shared" si="24"/>
        <v>New_20246</v>
      </c>
      <c r="X1490" s="2" t="s">
        <v>1616</v>
      </c>
    </row>
    <row r="1491" spans="1:24" hidden="1" x14ac:dyDescent="0.35">
      <c r="A1491">
        <v>13</v>
      </c>
      <c r="B1491" t="s">
        <v>726</v>
      </c>
      <c r="C1491" s="1">
        <v>45477</v>
      </c>
      <c r="D1491" t="s">
        <v>1966</v>
      </c>
      <c r="E1491" t="s">
        <v>18</v>
      </c>
      <c r="F1491" t="s">
        <v>43</v>
      </c>
      <c r="G1491" t="s">
        <v>1609</v>
      </c>
      <c r="H1491" t="s">
        <v>1967</v>
      </c>
      <c r="I1491" t="s">
        <v>41</v>
      </c>
      <c r="J1491">
        <v>1</v>
      </c>
      <c r="M1491">
        <v>0.96</v>
      </c>
      <c r="S1491" t="s">
        <v>726</v>
      </c>
      <c r="T1491" s="5" t="s">
        <v>936</v>
      </c>
      <c r="U1491" s="5" t="s">
        <v>946</v>
      </c>
      <c r="V1491" t="s">
        <v>956</v>
      </c>
      <c r="W1491" t="str">
        <f t="shared" si="24"/>
        <v>New_20247</v>
      </c>
      <c r="X1491" s="2" t="s">
        <v>1616</v>
      </c>
    </row>
    <row r="1492" spans="1:24" hidden="1" x14ac:dyDescent="0.35">
      <c r="A1492">
        <v>14</v>
      </c>
      <c r="B1492" t="s">
        <v>726</v>
      </c>
      <c r="C1492" s="1">
        <v>45503</v>
      </c>
      <c r="D1492" t="s">
        <v>1968</v>
      </c>
      <c r="E1492" t="s">
        <v>18</v>
      </c>
      <c r="F1492" t="s">
        <v>43</v>
      </c>
      <c r="G1492" t="s">
        <v>1609</v>
      </c>
      <c r="H1492" t="s">
        <v>1969</v>
      </c>
      <c r="I1492" t="s">
        <v>22</v>
      </c>
      <c r="J1492">
        <v>0.97599999999999998</v>
      </c>
      <c r="M1492">
        <v>0.93</v>
      </c>
      <c r="Q1492" t="s">
        <v>1970</v>
      </c>
      <c r="S1492" t="s">
        <v>726</v>
      </c>
      <c r="T1492" s="5" t="s">
        <v>936</v>
      </c>
      <c r="U1492" s="5" t="s">
        <v>938</v>
      </c>
      <c r="V1492" t="s">
        <v>956</v>
      </c>
      <c r="W1492" t="str">
        <f t="shared" si="24"/>
        <v>New_20247</v>
      </c>
      <c r="X1492" s="2" t="s">
        <v>1616</v>
      </c>
    </row>
    <row r="1493" spans="1:24" hidden="1" x14ac:dyDescent="0.35">
      <c r="A1493">
        <v>15</v>
      </c>
      <c r="B1493" t="s">
        <v>726</v>
      </c>
      <c r="C1493" s="1">
        <v>45518</v>
      </c>
      <c r="D1493" t="s">
        <v>1971</v>
      </c>
      <c r="E1493" t="s">
        <v>18</v>
      </c>
      <c r="F1493" t="s">
        <v>43</v>
      </c>
      <c r="G1493" t="s">
        <v>1606</v>
      </c>
      <c r="H1493" t="s">
        <v>1972</v>
      </c>
      <c r="I1493" t="s">
        <v>41</v>
      </c>
      <c r="J1493">
        <v>0.93200000000000005</v>
      </c>
      <c r="M1493">
        <v>0.64</v>
      </c>
      <c r="S1493" t="s">
        <v>726</v>
      </c>
      <c r="T1493" s="5" t="s">
        <v>940</v>
      </c>
      <c r="U1493" s="5" t="s">
        <v>951</v>
      </c>
      <c r="V1493" t="s">
        <v>956</v>
      </c>
      <c r="W1493" t="str">
        <f t="shared" si="24"/>
        <v>New_20248</v>
      </c>
      <c r="X1493" s="2" t="s">
        <v>1616</v>
      </c>
    </row>
    <row r="1494" spans="1:24" hidden="1" x14ac:dyDescent="0.35">
      <c r="A1494">
        <v>7</v>
      </c>
      <c r="B1494" t="s">
        <v>726</v>
      </c>
      <c r="C1494" s="1">
        <v>45590</v>
      </c>
      <c r="D1494" t="s">
        <v>2268</v>
      </c>
      <c r="E1494" t="s">
        <v>18</v>
      </c>
      <c r="F1494" t="s">
        <v>43</v>
      </c>
      <c r="G1494" t="s">
        <v>26</v>
      </c>
      <c r="H1494" t="s">
        <v>2269</v>
      </c>
      <c r="I1494" t="s">
        <v>22</v>
      </c>
      <c r="J1494">
        <v>0.59</v>
      </c>
      <c r="M1494">
        <v>0.88</v>
      </c>
      <c r="R1494" t="s">
        <v>3284</v>
      </c>
      <c r="S1494" t="s">
        <v>726</v>
      </c>
      <c r="T1494" s="5">
        <v>10</v>
      </c>
      <c r="U1494" s="5">
        <v>25</v>
      </c>
      <c r="V1494">
        <v>2024</v>
      </c>
      <c r="W1494" t="str">
        <f t="shared" si="24"/>
        <v>New_202410</v>
      </c>
      <c r="X1494" s="2" t="s">
        <v>1615</v>
      </c>
    </row>
    <row r="1495" spans="1:24" ht="87" hidden="1" x14ac:dyDescent="0.35">
      <c r="A1495">
        <v>16</v>
      </c>
      <c r="B1495" t="s">
        <v>726</v>
      </c>
      <c r="C1495" s="1">
        <v>45579</v>
      </c>
      <c r="D1495" t="s">
        <v>3289</v>
      </c>
      <c r="E1495" t="s">
        <v>18</v>
      </c>
      <c r="F1495" t="s">
        <v>19</v>
      </c>
      <c r="G1495" t="s">
        <v>1606</v>
      </c>
      <c r="H1495" t="s">
        <v>3290</v>
      </c>
      <c r="I1495" t="s">
        <v>22</v>
      </c>
      <c r="J1495">
        <v>1</v>
      </c>
      <c r="M1495">
        <v>0.95</v>
      </c>
      <c r="O1495" s="7"/>
      <c r="P1495" s="7" t="s">
        <v>3291</v>
      </c>
      <c r="Q1495" s="1"/>
      <c r="S1495" t="s">
        <v>726</v>
      </c>
      <c r="T1495" s="6" t="s">
        <v>948</v>
      </c>
      <c r="U1495" s="6" t="s">
        <v>951</v>
      </c>
      <c r="V1495" s="2" t="s">
        <v>956</v>
      </c>
      <c r="W1495" t="str">
        <f t="shared" si="24"/>
        <v>New_202410</v>
      </c>
      <c r="X1495" s="2" t="s">
        <v>1616</v>
      </c>
    </row>
    <row r="1496" spans="1:24" hidden="1" x14ac:dyDescent="0.35">
      <c r="A1496">
        <v>17</v>
      </c>
      <c r="B1496" t="s">
        <v>726</v>
      </c>
      <c r="C1496" s="1">
        <v>45581</v>
      </c>
      <c r="D1496" t="s">
        <v>3292</v>
      </c>
      <c r="E1496" t="s">
        <v>18</v>
      </c>
      <c r="F1496" t="s">
        <v>19</v>
      </c>
      <c r="G1496" t="s">
        <v>1606</v>
      </c>
      <c r="H1496" t="s">
        <v>3293</v>
      </c>
      <c r="I1496" t="s">
        <v>22</v>
      </c>
      <c r="J1496">
        <v>0.84799999999999998</v>
      </c>
      <c r="M1496">
        <v>0.78</v>
      </c>
      <c r="O1496"/>
      <c r="Q1496" s="1"/>
      <c r="S1496" t="s">
        <v>726</v>
      </c>
      <c r="T1496" s="6" t="s">
        <v>948</v>
      </c>
      <c r="U1496" s="6" t="s">
        <v>928</v>
      </c>
      <c r="V1496" s="2" t="s">
        <v>956</v>
      </c>
      <c r="W1496" t="str">
        <f t="shared" si="24"/>
        <v>New_202410</v>
      </c>
      <c r="X1496" s="2" t="s">
        <v>1616</v>
      </c>
    </row>
    <row r="1497" spans="1:24" hidden="1" x14ac:dyDescent="0.35">
      <c r="A1497">
        <v>18</v>
      </c>
      <c r="B1497" t="s">
        <v>726</v>
      </c>
      <c r="C1497" s="1">
        <v>45583</v>
      </c>
      <c r="D1497" t="s">
        <v>3294</v>
      </c>
      <c r="E1497" t="s">
        <v>18</v>
      </c>
      <c r="F1497" t="s">
        <v>19</v>
      </c>
      <c r="G1497" t="s">
        <v>1759</v>
      </c>
      <c r="H1497" t="s">
        <v>3295</v>
      </c>
      <c r="I1497" t="s">
        <v>22</v>
      </c>
      <c r="J1497">
        <v>0.92400000000000004</v>
      </c>
      <c r="M1497">
        <v>0.63</v>
      </c>
      <c r="O1497"/>
      <c r="Q1497" s="1"/>
      <c r="S1497" t="s">
        <v>726</v>
      </c>
      <c r="T1497" s="6" t="s">
        <v>948</v>
      </c>
      <c r="U1497" s="6" t="s">
        <v>930</v>
      </c>
      <c r="V1497" s="2" t="s">
        <v>956</v>
      </c>
      <c r="W1497" t="str">
        <f t="shared" si="24"/>
        <v>New_202410</v>
      </c>
      <c r="X1497" s="2" t="s">
        <v>1616</v>
      </c>
    </row>
    <row r="1498" spans="1:24" hidden="1" x14ac:dyDescent="0.35">
      <c r="A1498">
        <v>19</v>
      </c>
      <c r="B1498" t="s">
        <v>726</v>
      </c>
      <c r="C1498" s="1">
        <v>45596</v>
      </c>
      <c r="D1498" t="s">
        <v>3296</v>
      </c>
      <c r="E1498" t="s">
        <v>18</v>
      </c>
      <c r="F1498" t="s">
        <v>43</v>
      </c>
      <c r="G1498" t="s">
        <v>1753</v>
      </c>
      <c r="H1498" t="s">
        <v>3297</v>
      </c>
      <c r="I1498" t="s">
        <v>22</v>
      </c>
      <c r="J1498">
        <v>0.75</v>
      </c>
      <c r="M1498">
        <v>0.65</v>
      </c>
      <c r="O1498"/>
      <c r="P1498" t="s">
        <v>3298</v>
      </c>
      <c r="Q1498" s="1"/>
      <c r="S1498" t="s">
        <v>726</v>
      </c>
      <c r="T1498" s="6" t="s">
        <v>948</v>
      </c>
      <c r="U1498" s="6" t="s">
        <v>939</v>
      </c>
      <c r="V1498" s="2" t="s">
        <v>956</v>
      </c>
      <c r="W1498" t="str">
        <f t="shared" si="24"/>
        <v>New_202410</v>
      </c>
      <c r="X1498" s="2" t="s">
        <v>1616</v>
      </c>
    </row>
    <row r="1499" spans="1:24" ht="101.5" hidden="1" x14ac:dyDescent="0.35">
      <c r="A1499">
        <v>20</v>
      </c>
      <c r="B1499" t="s">
        <v>726</v>
      </c>
      <c r="C1499" s="1">
        <v>45604</v>
      </c>
      <c r="D1499" t="s">
        <v>3299</v>
      </c>
      <c r="E1499" t="s">
        <v>18</v>
      </c>
      <c r="F1499" t="s">
        <v>19</v>
      </c>
      <c r="G1499" t="s">
        <v>1603</v>
      </c>
      <c r="H1499" t="s">
        <v>3300</v>
      </c>
      <c r="I1499" t="s">
        <v>22</v>
      </c>
      <c r="J1499">
        <v>0.97799999999999998</v>
      </c>
      <c r="M1499">
        <v>0.95</v>
      </c>
      <c r="O1499" s="7"/>
      <c r="P1499" s="7" t="s">
        <v>3343</v>
      </c>
      <c r="Q1499" s="1"/>
      <c r="S1499" t="s">
        <v>726</v>
      </c>
      <c r="T1499" s="6" t="s">
        <v>945</v>
      </c>
      <c r="U1499" s="6" t="s">
        <v>940</v>
      </c>
      <c r="V1499" s="2" t="s">
        <v>956</v>
      </c>
      <c r="W1499" t="str">
        <f t="shared" si="24"/>
        <v>New_202411</v>
      </c>
      <c r="X1499" s="2" t="s">
        <v>1616</v>
      </c>
    </row>
    <row r="1500" spans="1:24" hidden="1" x14ac:dyDescent="0.35">
      <c r="A1500">
        <v>21</v>
      </c>
      <c r="B1500" t="s">
        <v>726</v>
      </c>
      <c r="C1500" s="1">
        <v>45616</v>
      </c>
      <c r="D1500" t="s">
        <v>3301</v>
      </c>
      <c r="E1500" t="s">
        <v>18</v>
      </c>
      <c r="F1500" t="s">
        <v>43</v>
      </c>
      <c r="G1500" t="s">
        <v>1606</v>
      </c>
      <c r="H1500" t="s">
        <v>3302</v>
      </c>
      <c r="I1500" t="s">
        <v>22</v>
      </c>
      <c r="J1500">
        <v>0.99199999999999999</v>
      </c>
      <c r="M1500">
        <v>0.98</v>
      </c>
      <c r="O1500"/>
      <c r="P1500" t="s">
        <v>3303</v>
      </c>
      <c r="Q1500" t="s">
        <v>3304</v>
      </c>
      <c r="S1500" t="s">
        <v>726</v>
      </c>
      <c r="T1500" s="6" t="s">
        <v>945</v>
      </c>
      <c r="U1500" s="6" t="s">
        <v>932</v>
      </c>
      <c r="V1500" s="2" t="s">
        <v>956</v>
      </c>
      <c r="W1500" t="str">
        <f t="shared" si="24"/>
        <v>New_202411</v>
      </c>
      <c r="X1500" s="2" t="s">
        <v>1616</v>
      </c>
    </row>
    <row r="1501" spans="1:24" hidden="1" x14ac:dyDescent="0.35">
      <c r="A1501">
        <v>1</v>
      </c>
      <c r="B1501" t="s">
        <v>726</v>
      </c>
      <c r="C1501" s="1">
        <v>45705</v>
      </c>
      <c r="D1501" t="s">
        <v>3546</v>
      </c>
      <c r="E1501" t="s">
        <v>18</v>
      </c>
      <c r="F1501" t="s">
        <v>19</v>
      </c>
      <c r="G1501" t="s">
        <v>1606</v>
      </c>
      <c r="H1501" t="s">
        <v>3547</v>
      </c>
      <c r="I1501" t="s">
        <v>22</v>
      </c>
      <c r="J1501">
        <v>0.79500000000000004</v>
      </c>
      <c r="M1501">
        <v>0.92</v>
      </c>
      <c r="Q1501" t="s">
        <v>50</v>
      </c>
      <c r="S1501" t="s">
        <v>726</v>
      </c>
      <c r="T1501" s="5" t="s">
        <v>921</v>
      </c>
      <c r="U1501" s="5" t="s">
        <v>929</v>
      </c>
      <c r="V1501" t="s">
        <v>1650</v>
      </c>
      <c r="W1501" t="str">
        <f t="shared" si="24"/>
        <v>New_20252</v>
      </c>
      <c r="X1501" t="s">
        <v>1616</v>
      </c>
    </row>
    <row r="1502" spans="1:24" hidden="1" x14ac:dyDescent="0.35">
      <c r="A1502">
        <v>2</v>
      </c>
      <c r="B1502" t="s">
        <v>726</v>
      </c>
      <c r="C1502" s="1">
        <v>45714</v>
      </c>
      <c r="D1502" t="s">
        <v>3548</v>
      </c>
      <c r="E1502" t="s">
        <v>18</v>
      </c>
      <c r="F1502" t="s">
        <v>43</v>
      </c>
      <c r="G1502" t="s">
        <v>1606</v>
      </c>
      <c r="H1502" t="s">
        <v>3549</v>
      </c>
      <c r="I1502" t="s">
        <v>22</v>
      </c>
      <c r="J1502">
        <v>0.94599999999999995</v>
      </c>
      <c r="M1502">
        <v>0.85</v>
      </c>
      <c r="P1502" t="s">
        <v>3550</v>
      </c>
      <c r="S1502" t="s">
        <v>726</v>
      </c>
      <c r="T1502" s="5" t="s">
        <v>921</v>
      </c>
      <c r="U1502" s="5" t="s">
        <v>924</v>
      </c>
      <c r="V1502" t="s">
        <v>1650</v>
      </c>
      <c r="W1502" t="str">
        <f t="shared" si="24"/>
        <v>New_20252</v>
      </c>
      <c r="X1502" t="s">
        <v>1616</v>
      </c>
    </row>
    <row r="1503" spans="1:24" hidden="1" x14ac:dyDescent="0.35">
      <c r="A1503">
        <v>3</v>
      </c>
      <c r="B1503" t="s">
        <v>726</v>
      </c>
      <c r="C1503" s="1">
        <v>45715</v>
      </c>
      <c r="D1503" t="s">
        <v>3551</v>
      </c>
      <c r="E1503" t="s">
        <v>18</v>
      </c>
      <c r="F1503" t="s">
        <v>19</v>
      </c>
      <c r="G1503" t="s">
        <v>1606</v>
      </c>
      <c r="H1503" t="s">
        <v>3552</v>
      </c>
      <c r="I1503" t="s">
        <v>22</v>
      </c>
      <c r="J1503">
        <v>0.90800000000000003</v>
      </c>
      <c r="M1503">
        <v>0.98</v>
      </c>
      <c r="P1503" t="s">
        <v>3553</v>
      </c>
      <c r="Q1503" t="s">
        <v>3554</v>
      </c>
      <c r="S1503" t="s">
        <v>726</v>
      </c>
      <c r="T1503" s="5" t="s">
        <v>921</v>
      </c>
      <c r="U1503" s="5" t="s">
        <v>925</v>
      </c>
      <c r="V1503" t="s">
        <v>1650</v>
      </c>
      <c r="W1503" t="str">
        <f t="shared" si="24"/>
        <v>New_20252</v>
      </c>
      <c r="X1503" t="s">
        <v>1616</v>
      </c>
    </row>
    <row r="1504" spans="1:24" hidden="1" x14ac:dyDescent="0.35">
      <c r="A1504">
        <v>1</v>
      </c>
      <c r="B1504" t="s">
        <v>726</v>
      </c>
      <c r="C1504" s="1">
        <v>45734</v>
      </c>
      <c r="D1504" t="s">
        <v>3612</v>
      </c>
      <c r="E1504" t="s">
        <v>18</v>
      </c>
      <c r="F1504" t="s">
        <v>43</v>
      </c>
      <c r="G1504" t="s">
        <v>20</v>
      </c>
      <c r="H1504" t="s">
        <v>3613</v>
      </c>
      <c r="I1504" t="s">
        <v>22</v>
      </c>
      <c r="J1504">
        <v>0.93</v>
      </c>
      <c r="M1504">
        <v>0.76</v>
      </c>
      <c r="S1504" t="s">
        <v>726</v>
      </c>
      <c r="T1504" s="5" t="s">
        <v>941</v>
      </c>
      <c r="U1504" s="5" t="s">
        <v>930</v>
      </c>
      <c r="V1504" t="s">
        <v>1650</v>
      </c>
      <c r="W1504" t="str">
        <f t="shared" si="24"/>
        <v>New_20253</v>
      </c>
      <c r="X1504" t="s">
        <v>1615</v>
      </c>
    </row>
    <row r="1505" spans="1:24" hidden="1" x14ac:dyDescent="0.35">
      <c r="A1505">
        <v>1</v>
      </c>
      <c r="B1505" t="s">
        <v>1092</v>
      </c>
      <c r="C1505" s="1">
        <v>45302.57104166667</v>
      </c>
      <c r="D1505" t="s">
        <v>1062</v>
      </c>
      <c r="S1505" t="s">
        <v>1092</v>
      </c>
      <c r="T1505" s="6" t="s">
        <v>953</v>
      </c>
      <c r="U1505" s="6" t="s">
        <v>945</v>
      </c>
      <c r="V1505" s="2" t="s">
        <v>956</v>
      </c>
      <c r="W1505" t="str">
        <f t="shared" si="24"/>
        <v>SA_New_20241</v>
      </c>
      <c r="X1505" s="2" t="s">
        <v>1615</v>
      </c>
    </row>
    <row r="1506" spans="1:24" hidden="1" x14ac:dyDescent="0.35">
      <c r="A1506">
        <v>2</v>
      </c>
      <c r="B1506" t="s">
        <v>1092</v>
      </c>
      <c r="C1506" s="1">
        <v>45307.401597222219</v>
      </c>
      <c r="D1506" t="s">
        <v>1063</v>
      </c>
      <c r="S1506" t="s">
        <v>1092</v>
      </c>
      <c r="T1506" s="6" t="s">
        <v>953</v>
      </c>
      <c r="U1506" s="6" t="s">
        <v>928</v>
      </c>
      <c r="V1506" s="2" t="s">
        <v>956</v>
      </c>
      <c r="W1506" t="str">
        <f t="shared" si="24"/>
        <v>SA_New_20241</v>
      </c>
      <c r="X1506" s="2" t="s">
        <v>1615</v>
      </c>
    </row>
    <row r="1507" spans="1:24" hidden="1" x14ac:dyDescent="0.35">
      <c r="A1507">
        <v>3</v>
      </c>
      <c r="B1507" t="s">
        <v>1092</v>
      </c>
      <c r="C1507" s="1">
        <v>45308</v>
      </c>
      <c r="D1507" t="s">
        <v>1064</v>
      </c>
      <c r="S1507" t="s">
        <v>1092</v>
      </c>
      <c r="T1507" s="6" t="s">
        <v>953</v>
      </c>
      <c r="U1507" s="6" t="s">
        <v>929</v>
      </c>
      <c r="V1507" s="2" t="s">
        <v>956</v>
      </c>
      <c r="W1507" t="str">
        <f t="shared" si="24"/>
        <v>SA_New_20241</v>
      </c>
      <c r="X1507" s="2" t="s">
        <v>1615</v>
      </c>
    </row>
    <row r="1508" spans="1:24" hidden="1" x14ac:dyDescent="0.35">
      <c r="A1508">
        <v>4</v>
      </c>
      <c r="B1508" t="s">
        <v>1092</v>
      </c>
      <c r="C1508" s="1">
        <v>45315</v>
      </c>
      <c r="D1508" t="s">
        <v>1065</v>
      </c>
      <c r="S1508" t="s">
        <v>1092</v>
      </c>
      <c r="T1508" s="6" t="s">
        <v>953</v>
      </c>
      <c r="U1508" s="6" t="s">
        <v>935</v>
      </c>
      <c r="V1508" s="2" t="s">
        <v>956</v>
      </c>
      <c r="W1508" t="str">
        <f t="shared" si="24"/>
        <v>SA_New_20241</v>
      </c>
      <c r="X1508" s="2" t="s">
        <v>1615</v>
      </c>
    </row>
    <row r="1509" spans="1:24" hidden="1" x14ac:dyDescent="0.35">
      <c r="A1509">
        <v>5</v>
      </c>
      <c r="B1509" t="s">
        <v>1092</v>
      </c>
      <c r="C1509" s="1">
        <v>45316</v>
      </c>
      <c r="D1509" t="s">
        <v>1066</v>
      </c>
      <c r="S1509" t="s">
        <v>1092</v>
      </c>
      <c r="T1509" s="6" t="s">
        <v>953</v>
      </c>
      <c r="U1509" s="6" t="s">
        <v>922</v>
      </c>
      <c r="V1509" s="2" t="s">
        <v>956</v>
      </c>
      <c r="W1509" t="str">
        <f t="shared" si="24"/>
        <v>SA_New_20241</v>
      </c>
      <c r="X1509" s="2" t="s">
        <v>1615</v>
      </c>
    </row>
    <row r="1510" spans="1:24" hidden="1" x14ac:dyDescent="0.35">
      <c r="A1510">
        <v>6</v>
      </c>
      <c r="B1510" t="s">
        <v>1092</v>
      </c>
      <c r="C1510" s="1">
        <v>45323</v>
      </c>
      <c r="D1510" t="s">
        <v>1067</v>
      </c>
      <c r="S1510" t="s">
        <v>1092</v>
      </c>
      <c r="T1510" s="6" t="s">
        <v>921</v>
      </c>
      <c r="U1510" s="6" t="s">
        <v>953</v>
      </c>
      <c r="V1510" s="2" t="s">
        <v>956</v>
      </c>
      <c r="W1510" t="str">
        <f t="shared" si="24"/>
        <v>SA_New_20242</v>
      </c>
      <c r="X1510" s="2" t="s">
        <v>1615</v>
      </c>
    </row>
    <row r="1511" spans="1:24" hidden="1" x14ac:dyDescent="0.35">
      <c r="A1511">
        <v>7</v>
      </c>
      <c r="B1511" t="s">
        <v>1092</v>
      </c>
      <c r="C1511" s="1">
        <v>45327</v>
      </c>
      <c r="D1511" t="s">
        <v>1068</v>
      </c>
      <c r="S1511" t="s">
        <v>1092</v>
      </c>
      <c r="T1511" s="6" t="s">
        <v>921</v>
      </c>
      <c r="U1511" s="6" t="s">
        <v>947</v>
      </c>
      <c r="V1511" s="2" t="s">
        <v>956</v>
      </c>
      <c r="W1511" t="str">
        <f t="shared" si="24"/>
        <v>SA_New_20242</v>
      </c>
      <c r="X1511" s="2" t="s">
        <v>1615</v>
      </c>
    </row>
    <row r="1512" spans="1:24" hidden="1" x14ac:dyDescent="0.35">
      <c r="A1512">
        <v>8</v>
      </c>
      <c r="B1512" t="s">
        <v>1092</v>
      </c>
      <c r="C1512" s="1">
        <v>45360.489618055559</v>
      </c>
      <c r="D1512" t="s">
        <v>1069</v>
      </c>
      <c r="S1512" t="s">
        <v>1092</v>
      </c>
      <c r="T1512" s="6" t="s">
        <v>941</v>
      </c>
      <c r="U1512" s="6" t="s">
        <v>942</v>
      </c>
      <c r="V1512" s="2" t="s">
        <v>956</v>
      </c>
      <c r="W1512" t="str">
        <f t="shared" si="24"/>
        <v>SA_New_20243</v>
      </c>
      <c r="X1512" s="2" t="s">
        <v>1615</v>
      </c>
    </row>
    <row r="1513" spans="1:24" hidden="1" x14ac:dyDescent="0.35">
      <c r="A1513">
        <v>9</v>
      </c>
      <c r="B1513" t="s">
        <v>1092</v>
      </c>
      <c r="C1513" s="1">
        <v>45377.73541666667</v>
      </c>
      <c r="D1513" t="s">
        <v>1070</v>
      </c>
      <c r="S1513" t="s">
        <v>1092</v>
      </c>
      <c r="T1513" s="6" t="s">
        <v>941</v>
      </c>
      <c r="U1513" s="6" t="s">
        <v>924</v>
      </c>
      <c r="V1513" s="2" t="s">
        <v>956</v>
      </c>
      <c r="W1513" t="str">
        <f t="shared" si="24"/>
        <v>SA_New_20243</v>
      </c>
      <c r="X1513" s="2" t="s">
        <v>1615</v>
      </c>
    </row>
    <row r="1514" spans="1:24" hidden="1" x14ac:dyDescent="0.35">
      <c r="A1514">
        <v>10</v>
      </c>
      <c r="B1514" t="s">
        <v>1092</v>
      </c>
      <c r="C1514" s="1">
        <v>45386.599305555559</v>
      </c>
      <c r="D1514" t="s">
        <v>1071</v>
      </c>
      <c r="S1514" t="s">
        <v>1092</v>
      </c>
      <c r="T1514" s="6" t="s">
        <v>946</v>
      </c>
      <c r="U1514" s="6" t="s">
        <v>946</v>
      </c>
      <c r="V1514" s="2" t="s">
        <v>956</v>
      </c>
      <c r="W1514" t="str">
        <f t="shared" si="24"/>
        <v>SA_New_20244</v>
      </c>
      <c r="X1514" s="2" t="s">
        <v>1615</v>
      </c>
    </row>
    <row r="1515" spans="1:24" hidden="1" x14ac:dyDescent="0.35">
      <c r="A1515">
        <v>11</v>
      </c>
      <c r="B1515" t="s">
        <v>1092</v>
      </c>
      <c r="C1515" s="1">
        <v>45393.470520833333</v>
      </c>
      <c r="D1515" t="s">
        <v>1072</v>
      </c>
      <c r="S1515" t="s">
        <v>1092</v>
      </c>
      <c r="T1515" s="6" t="s">
        <v>946</v>
      </c>
      <c r="U1515" s="6" t="s">
        <v>945</v>
      </c>
      <c r="V1515" s="2" t="s">
        <v>956</v>
      </c>
      <c r="W1515" t="str">
        <f t="shared" si="24"/>
        <v>SA_New_20244</v>
      </c>
      <c r="X1515" s="2" t="s">
        <v>1615</v>
      </c>
    </row>
    <row r="1516" spans="1:24" hidden="1" x14ac:dyDescent="0.35">
      <c r="A1516">
        <v>12</v>
      </c>
      <c r="B1516" t="s">
        <v>1092</v>
      </c>
      <c r="C1516" s="1">
        <v>45393.531354166669</v>
      </c>
      <c r="D1516" t="s">
        <v>1073</v>
      </c>
      <c r="S1516" t="s">
        <v>1092</v>
      </c>
      <c r="T1516" s="6" t="s">
        <v>946</v>
      </c>
      <c r="U1516" s="6" t="s">
        <v>945</v>
      </c>
      <c r="V1516" s="2" t="s">
        <v>956</v>
      </c>
      <c r="W1516" t="str">
        <f t="shared" si="24"/>
        <v>SA_New_20244</v>
      </c>
      <c r="X1516" s="2" t="s">
        <v>1615</v>
      </c>
    </row>
    <row r="1517" spans="1:24" hidden="1" x14ac:dyDescent="0.35">
      <c r="A1517">
        <v>13</v>
      </c>
      <c r="B1517" t="s">
        <v>1092</v>
      </c>
      <c r="C1517" s="1">
        <v>45398.410451388889</v>
      </c>
      <c r="D1517" t="s">
        <v>1074</v>
      </c>
      <c r="S1517" t="s">
        <v>1092</v>
      </c>
      <c r="T1517" s="6" t="s">
        <v>946</v>
      </c>
      <c r="U1517" s="6" t="s">
        <v>928</v>
      </c>
      <c r="V1517" s="2" t="s">
        <v>956</v>
      </c>
      <c r="W1517" t="str">
        <f t="shared" si="24"/>
        <v>SA_New_20244</v>
      </c>
      <c r="X1517" s="2" t="s">
        <v>1615</v>
      </c>
    </row>
    <row r="1518" spans="1:24" hidden="1" x14ac:dyDescent="0.35">
      <c r="A1518">
        <v>14</v>
      </c>
      <c r="B1518" t="s">
        <v>1092</v>
      </c>
      <c r="C1518" s="1">
        <v>45398.413877314815</v>
      </c>
      <c r="D1518" t="s">
        <v>1075</v>
      </c>
      <c r="S1518" t="s">
        <v>1092</v>
      </c>
      <c r="T1518" s="6" t="s">
        <v>946</v>
      </c>
      <c r="U1518" s="6" t="s">
        <v>928</v>
      </c>
      <c r="V1518" s="2" t="s">
        <v>956</v>
      </c>
      <c r="W1518" t="str">
        <f t="shared" si="24"/>
        <v>SA_New_20244</v>
      </c>
      <c r="X1518" s="2" t="s">
        <v>1615</v>
      </c>
    </row>
    <row r="1519" spans="1:24" hidden="1" x14ac:dyDescent="0.35">
      <c r="A1519">
        <v>15</v>
      </c>
      <c r="B1519" t="s">
        <v>1092</v>
      </c>
      <c r="C1519" s="1">
        <v>45405.412326388891</v>
      </c>
      <c r="D1519" t="s">
        <v>1076</v>
      </c>
      <c r="S1519" t="s">
        <v>1092</v>
      </c>
      <c r="T1519" s="6" t="s">
        <v>946</v>
      </c>
      <c r="U1519" s="6" t="s">
        <v>934</v>
      </c>
      <c r="V1519" s="2" t="s">
        <v>956</v>
      </c>
      <c r="W1519" t="str">
        <f t="shared" si="24"/>
        <v>SA_New_20244</v>
      </c>
      <c r="X1519" s="2" t="s">
        <v>1615</v>
      </c>
    </row>
    <row r="1520" spans="1:24" hidden="1" x14ac:dyDescent="0.35">
      <c r="A1520">
        <v>16</v>
      </c>
      <c r="B1520" t="s">
        <v>1092</v>
      </c>
      <c r="C1520" s="1">
        <v>45406.571585648147</v>
      </c>
      <c r="D1520" t="s">
        <v>1077</v>
      </c>
      <c r="S1520" t="s">
        <v>1092</v>
      </c>
      <c r="T1520" s="6" t="s">
        <v>946</v>
      </c>
      <c r="U1520" s="6" t="s">
        <v>935</v>
      </c>
      <c r="V1520" s="2" t="s">
        <v>956</v>
      </c>
      <c r="W1520" t="str">
        <f t="shared" si="24"/>
        <v>SA_New_20244</v>
      </c>
      <c r="X1520" s="2" t="s">
        <v>1615</v>
      </c>
    </row>
    <row r="1521" spans="1:24" hidden="1" x14ac:dyDescent="0.35">
      <c r="A1521">
        <v>17</v>
      </c>
      <c r="B1521" t="s">
        <v>1092</v>
      </c>
      <c r="C1521" s="1">
        <v>45408.40761574074</v>
      </c>
      <c r="D1521" t="s">
        <v>1078</v>
      </c>
      <c r="S1521" t="s">
        <v>1092</v>
      </c>
      <c r="T1521" s="6" t="s">
        <v>946</v>
      </c>
      <c r="U1521" s="6" t="s">
        <v>924</v>
      </c>
      <c r="V1521" s="2" t="s">
        <v>956</v>
      </c>
      <c r="W1521" t="str">
        <f t="shared" si="24"/>
        <v>SA_New_20244</v>
      </c>
      <c r="X1521" s="2" t="s">
        <v>1615</v>
      </c>
    </row>
    <row r="1522" spans="1:24" hidden="1" x14ac:dyDescent="0.35">
      <c r="A1522">
        <v>18</v>
      </c>
      <c r="B1522" t="s">
        <v>1092</v>
      </c>
      <c r="C1522" s="1">
        <v>45408.588935185187</v>
      </c>
      <c r="D1522" t="s">
        <v>1079</v>
      </c>
      <c r="S1522" t="s">
        <v>1092</v>
      </c>
      <c r="T1522" s="6" t="s">
        <v>946</v>
      </c>
      <c r="U1522" s="6" t="s">
        <v>924</v>
      </c>
      <c r="V1522" s="2" t="s">
        <v>956</v>
      </c>
      <c r="W1522" t="str">
        <f t="shared" si="24"/>
        <v>SA_New_20244</v>
      </c>
      <c r="X1522" s="2" t="s">
        <v>1615</v>
      </c>
    </row>
    <row r="1523" spans="1:24" hidden="1" x14ac:dyDescent="0.35">
      <c r="A1523">
        <v>19</v>
      </c>
      <c r="B1523" t="s">
        <v>1092</v>
      </c>
      <c r="C1523" s="1">
        <v>45414.659803240742</v>
      </c>
      <c r="D1523" t="s">
        <v>1080</v>
      </c>
      <c r="S1523" t="s">
        <v>1092</v>
      </c>
      <c r="T1523" s="6" t="s">
        <v>947</v>
      </c>
      <c r="U1523" s="6" t="s">
        <v>921</v>
      </c>
      <c r="V1523" s="2" t="s">
        <v>956</v>
      </c>
      <c r="W1523" t="str">
        <f t="shared" si="24"/>
        <v>SA_New_20245</v>
      </c>
      <c r="X1523" s="2" t="s">
        <v>1615</v>
      </c>
    </row>
    <row r="1524" spans="1:24" hidden="1" x14ac:dyDescent="0.35">
      <c r="A1524">
        <v>20</v>
      </c>
      <c r="B1524" t="s">
        <v>1092</v>
      </c>
      <c r="C1524" s="1">
        <v>45422.627893518518</v>
      </c>
      <c r="D1524" t="s">
        <v>1081</v>
      </c>
      <c r="S1524" t="s">
        <v>1092</v>
      </c>
      <c r="T1524" s="6" t="s">
        <v>947</v>
      </c>
      <c r="U1524" s="6" t="s">
        <v>948</v>
      </c>
      <c r="V1524" s="2" t="s">
        <v>956</v>
      </c>
      <c r="W1524" t="str">
        <f t="shared" si="24"/>
        <v>SA_New_20245</v>
      </c>
      <c r="X1524" s="2" t="s">
        <v>1615</v>
      </c>
    </row>
    <row r="1525" spans="1:24" hidden="1" x14ac:dyDescent="0.35">
      <c r="A1525">
        <v>21</v>
      </c>
      <c r="B1525" t="s">
        <v>1092</v>
      </c>
      <c r="C1525" s="1">
        <v>45429.418634259258</v>
      </c>
      <c r="D1525" t="s">
        <v>1082</v>
      </c>
      <c r="S1525" t="s">
        <v>1092</v>
      </c>
      <c r="T1525" s="6" t="s">
        <v>947</v>
      </c>
      <c r="U1525" s="6" t="s">
        <v>929</v>
      </c>
      <c r="V1525" s="2" t="s">
        <v>956</v>
      </c>
      <c r="W1525" t="str">
        <f t="shared" si="24"/>
        <v>SA_New_20245</v>
      </c>
      <c r="X1525" s="2" t="s">
        <v>1615</v>
      </c>
    </row>
    <row r="1526" spans="1:24" hidden="1" x14ac:dyDescent="0.35">
      <c r="A1526">
        <v>22</v>
      </c>
      <c r="B1526" t="s">
        <v>1092</v>
      </c>
      <c r="C1526" s="1">
        <v>45429.431226851855</v>
      </c>
      <c r="D1526" t="s">
        <v>1083</v>
      </c>
      <c r="S1526" t="s">
        <v>1092</v>
      </c>
      <c r="T1526" s="6" t="s">
        <v>947</v>
      </c>
      <c r="U1526" s="6" t="s">
        <v>929</v>
      </c>
      <c r="V1526" s="2" t="s">
        <v>956</v>
      </c>
      <c r="W1526" t="str">
        <f t="shared" si="24"/>
        <v>SA_New_20245</v>
      </c>
      <c r="X1526" s="2" t="s">
        <v>1615</v>
      </c>
    </row>
    <row r="1527" spans="1:24" hidden="1" x14ac:dyDescent="0.35">
      <c r="A1527">
        <v>23</v>
      </c>
      <c r="B1527" t="s">
        <v>1092</v>
      </c>
      <c r="C1527" s="1">
        <v>45443.667071759257</v>
      </c>
      <c r="D1527" t="s">
        <v>1084</v>
      </c>
      <c r="S1527" t="s">
        <v>1092</v>
      </c>
      <c r="T1527" s="6" t="s">
        <v>947</v>
      </c>
      <c r="U1527" s="6" t="s">
        <v>939</v>
      </c>
      <c r="V1527" s="2" t="s">
        <v>956</v>
      </c>
      <c r="W1527" t="str">
        <f t="shared" si="24"/>
        <v>SA_New_20245</v>
      </c>
      <c r="X1527" s="2" t="s">
        <v>1615</v>
      </c>
    </row>
    <row r="1528" spans="1:24" hidden="1" x14ac:dyDescent="0.35">
      <c r="A1528">
        <v>24</v>
      </c>
      <c r="B1528" t="s">
        <v>1092</v>
      </c>
      <c r="C1528" s="1">
        <v>45444.718333333331</v>
      </c>
      <c r="D1528" t="s">
        <v>1085</v>
      </c>
      <c r="S1528" t="s">
        <v>1092</v>
      </c>
      <c r="T1528" s="6" t="s">
        <v>927</v>
      </c>
      <c r="U1528" s="6" t="s">
        <v>953</v>
      </c>
      <c r="V1528" s="2" t="s">
        <v>956</v>
      </c>
      <c r="W1528" t="str">
        <f t="shared" si="24"/>
        <v>SA_New_20246</v>
      </c>
      <c r="X1528" s="2" t="s">
        <v>1615</v>
      </c>
    </row>
    <row r="1529" spans="1:24" hidden="1" x14ac:dyDescent="0.35">
      <c r="A1529">
        <v>25</v>
      </c>
      <c r="B1529" t="s">
        <v>1092</v>
      </c>
      <c r="C1529" s="1">
        <v>45446.651354166665</v>
      </c>
      <c r="D1529" t="s">
        <v>1086</v>
      </c>
      <c r="S1529" t="s">
        <v>1092</v>
      </c>
      <c r="T1529" s="6" t="s">
        <v>927</v>
      </c>
      <c r="U1529" s="6" t="s">
        <v>941</v>
      </c>
      <c r="V1529" s="2" t="s">
        <v>956</v>
      </c>
      <c r="W1529" t="str">
        <f t="shared" si="24"/>
        <v>SA_New_20246</v>
      </c>
      <c r="X1529" s="2" t="s">
        <v>1615</v>
      </c>
    </row>
    <row r="1530" spans="1:24" hidden="1" x14ac:dyDescent="0.35">
      <c r="A1530">
        <v>26</v>
      </c>
      <c r="B1530" t="s">
        <v>1092</v>
      </c>
      <c r="C1530" s="1">
        <v>45450</v>
      </c>
      <c r="D1530" t="s">
        <v>1087</v>
      </c>
      <c r="S1530" t="s">
        <v>1092</v>
      </c>
      <c r="T1530" s="6" t="s">
        <v>927</v>
      </c>
      <c r="U1530" s="6" t="s">
        <v>936</v>
      </c>
      <c r="V1530" s="2" t="s">
        <v>956</v>
      </c>
      <c r="W1530" t="str">
        <f t="shared" si="24"/>
        <v>SA_New_20246</v>
      </c>
      <c r="X1530" s="2" t="s">
        <v>1615</v>
      </c>
    </row>
    <row r="1531" spans="1:24" hidden="1" x14ac:dyDescent="0.35">
      <c r="A1531">
        <v>27</v>
      </c>
      <c r="B1531" t="s">
        <v>1092</v>
      </c>
      <c r="C1531" s="1">
        <v>45451</v>
      </c>
      <c r="D1531" t="s">
        <v>1088</v>
      </c>
      <c r="S1531" t="s">
        <v>1092</v>
      </c>
      <c r="T1531" s="6" t="s">
        <v>927</v>
      </c>
      <c r="U1531" s="6" t="s">
        <v>940</v>
      </c>
      <c r="V1531" s="2" t="s">
        <v>956</v>
      </c>
      <c r="W1531" t="str">
        <f t="shared" si="24"/>
        <v>SA_New_20246</v>
      </c>
      <c r="X1531" s="2" t="s">
        <v>1615</v>
      </c>
    </row>
    <row r="1532" spans="1:24" hidden="1" x14ac:dyDescent="0.35">
      <c r="A1532">
        <v>28</v>
      </c>
      <c r="B1532" t="s">
        <v>1092</v>
      </c>
      <c r="C1532" s="1">
        <v>45463</v>
      </c>
      <c r="D1532" t="s">
        <v>1089</v>
      </c>
      <c r="S1532" t="s">
        <v>1092</v>
      </c>
      <c r="T1532" s="6" t="s">
        <v>927</v>
      </c>
      <c r="U1532" s="6" t="s">
        <v>932</v>
      </c>
      <c r="V1532" s="2" t="s">
        <v>956</v>
      </c>
      <c r="W1532" t="str">
        <f t="shared" si="24"/>
        <v>SA_New_20246</v>
      </c>
      <c r="X1532" s="2" t="s">
        <v>1615</v>
      </c>
    </row>
    <row r="1533" spans="1:24" hidden="1" x14ac:dyDescent="0.35">
      <c r="A1533">
        <v>29</v>
      </c>
      <c r="B1533" t="s">
        <v>1092</v>
      </c>
      <c r="C1533" s="1">
        <v>45467</v>
      </c>
      <c r="D1533" t="s">
        <v>1090</v>
      </c>
      <c r="S1533" t="s">
        <v>1092</v>
      </c>
      <c r="T1533" s="6" t="s">
        <v>927</v>
      </c>
      <c r="U1533" s="6" t="s">
        <v>935</v>
      </c>
      <c r="V1533" s="2" t="s">
        <v>956</v>
      </c>
      <c r="W1533" t="str">
        <f t="shared" si="24"/>
        <v>SA_New_20246</v>
      </c>
      <c r="X1533" s="2" t="s">
        <v>1615</v>
      </c>
    </row>
    <row r="1534" spans="1:24" hidden="1" x14ac:dyDescent="0.35">
      <c r="A1534">
        <v>30</v>
      </c>
      <c r="B1534" t="s">
        <v>1092</v>
      </c>
      <c r="C1534" s="1">
        <v>45468</v>
      </c>
      <c r="D1534" t="s">
        <v>1091</v>
      </c>
      <c r="S1534" t="s">
        <v>1092</v>
      </c>
      <c r="T1534" s="6" t="s">
        <v>927</v>
      </c>
      <c r="U1534" s="6" t="s">
        <v>922</v>
      </c>
      <c r="V1534" s="2" t="s">
        <v>956</v>
      </c>
      <c r="W1534" t="str">
        <f t="shared" si="24"/>
        <v>SA_New_20246</v>
      </c>
      <c r="X1534" s="2" t="s">
        <v>1615</v>
      </c>
    </row>
    <row r="1535" spans="1:24" hidden="1" x14ac:dyDescent="0.35">
      <c r="A1535">
        <v>1</v>
      </c>
      <c r="B1535" t="s">
        <v>1092</v>
      </c>
      <c r="C1535" s="1">
        <v>45293</v>
      </c>
      <c r="D1535" t="s">
        <v>1973</v>
      </c>
      <c r="F1535" t="s">
        <v>1974</v>
      </c>
      <c r="G1535" t="s">
        <v>1606</v>
      </c>
      <c r="H1535" t="s">
        <v>1975</v>
      </c>
      <c r="I1535" t="s">
        <v>1976</v>
      </c>
      <c r="S1535" t="s">
        <v>1092</v>
      </c>
      <c r="T1535" s="5" t="s">
        <v>953</v>
      </c>
      <c r="U1535" s="5" t="s">
        <v>921</v>
      </c>
      <c r="V1535" t="s">
        <v>956</v>
      </c>
      <c r="W1535" t="str">
        <f t="shared" si="24"/>
        <v>SA_New_20241</v>
      </c>
      <c r="X1535" s="2" t="s">
        <v>1616</v>
      </c>
    </row>
    <row r="1536" spans="1:24" hidden="1" x14ac:dyDescent="0.35">
      <c r="A1536">
        <v>2</v>
      </c>
      <c r="B1536" t="s">
        <v>1092</v>
      </c>
      <c r="C1536" s="1">
        <v>45293</v>
      </c>
      <c r="D1536" t="s">
        <v>1977</v>
      </c>
      <c r="F1536" t="s">
        <v>1978</v>
      </c>
      <c r="G1536" t="s">
        <v>1606</v>
      </c>
      <c r="H1536" t="s">
        <v>1979</v>
      </c>
      <c r="I1536" t="s">
        <v>1976</v>
      </c>
      <c r="S1536" t="s">
        <v>1092</v>
      </c>
      <c r="T1536" s="5" t="s">
        <v>953</v>
      </c>
      <c r="U1536" s="5" t="s">
        <v>921</v>
      </c>
      <c r="V1536" t="s">
        <v>956</v>
      </c>
      <c r="W1536" t="str">
        <f t="shared" si="24"/>
        <v>SA_New_20241</v>
      </c>
      <c r="X1536" s="2" t="s">
        <v>1616</v>
      </c>
    </row>
    <row r="1537" spans="1:24" hidden="1" x14ac:dyDescent="0.35">
      <c r="A1537">
        <v>3</v>
      </c>
      <c r="B1537" t="s">
        <v>1092</v>
      </c>
      <c r="C1537" s="1">
        <v>45293</v>
      </c>
      <c r="D1537" t="s">
        <v>1980</v>
      </c>
      <c r="F1537" t="s">
        <v>1981</v>
      </c>
      <c r="G1537" t="s">
        <v>1606</v>
      </c>
      <c r="H1537" t="s">
        <v>1982</v>
      </c>
      <c r="I1537" t="s">
        <v>1983</v>
      </c>
      <c r="S1537" t="s">
        <v>1092</v>
      </c>
      <c r="T1537" s="5" t="s">
        <v>953</v>
      </c>
      <c r="U1537" s="5" t="s">
        <v>921</v>
      </c>
      <c r="V1537" t="s">
        <v>956</v>
      </c>
      <c r="W1537" t="str">
        <f t="shared" si="24"/>
        <v>SA_New_20241</v>
      </c>
      <c r="X1537" s="2" t="s">
        <v>1616</v>
      </c>
    </row>
    <row r="1538" spans="1:24" hidden="1" x14ac:dyDescent="0.35">
      <c r="A1538">
        <v>4</v>
      </c>
      <c r="B1538" t="s">
        <v>1092</v>
      </c>
      <c r="C1538" s="1">
        <v>45293</v>
      </c>
      <c r="D1538" t="s">
        <v>1984</v>
      </c>
      <c r="F1538" t="s">
        <v>1985</v>
      </c>
      <c r="G1538" t="s">
        <v>1609</v>
      </c>
      <c r="H1538" t="s">
        <v>1986</v>
      </c>
      <c r="I1538" t="s">
        <v>1983</v>
      </c>
      <c r="S1538" t="s">
        <v>1092</v>
      </c>
      <c r="T1538" s="5" t="s">
        <v>953</v>
      </c>
      <c r="U1538" s="5" t="s">
        <v>921</v>
      </c>
      <c r="V1538" t="s">
        <v>956</v>
      </c>
      <c r="W1538" t="str">
        <f t="shared" ref="W1538:W1601" si="25">CONCATENATE(B1538,"_",V1538,T1538)</f>
        <v>SA_New_20241</v>
      </c>
      <c r="X1538" s="2" t="s">
        <v>1616</v>
      </c>
    </row>
    <row r="1539" spans="1:24" hidden="1" x14ac:dyDescent="0.35">
      <c r="A1539">
        <v>5</v>
      </c>
      <c r="B1539" t="s">
        <v>1092</v>
      </c>
      <c r="C1539" s="1">
        <v>45293</v>
      </c>
      <c r="D1539" t="s">
        <v>1987</v>
      </c>
      <c r="F1539" t="s">
        <v>1981</v>
      </c>
      <c r="G1539" t="s">
        <v>1606</v>
      </c>
      <c r="H1539" t="s">
        <v>1988</v>
      </c>
      <c r="I1539" t="s">
        <v>1989</v>
      </c>
      <c r="S1539" t="s">
        <v>1092</v>
      </c>
      <c r="T1539" s="5" t="s">
        <v>953</v>
      </c>
      <c r="U1539" s="5" t="s">
        <v>921</v>
      </c>
      <c r="V1539" t="s">
        <v>956</v>
      </c>
      <c r="W1539" t="str">
        <f t="shared" si="25"/>
        <v>SA_New_20241</v>
      </c>
      <c r="X1539" s="2" t="s">
        <v>1616</v>
      </c>
    </row>
    <row r="1540" spans="1:24" hidden="1" x14ac:dyDescent="0.35">
      <c r="A1540">
        <v>6</v>
      </c>
      <c r="B1540" t="s">
        <v>1092</v>
      </c>
      <c r="C1540" s="1">
        <v>45299</v>
      </c>
      <c r="D1540" t="s">
        <v>1990</v>
      </c>
      <c r="F1540" t="s">
        <v>1991</v>
      </c>
      <c r="G1540" t="s">
        <v>1606</v>
      </c>
      <c r="H1540" t="s">
        <v>1992</v>
      </c>
      <c r="I1540" t="s">
        <v>1993</v>
      </c>
      <c r="S1540" t="s">
        <v>1092</v>
      </c>
      <c r="T1540" s="5" t="s">
        <v>953</v>
      </c>
      <c r="U1540" s="5" t="s">
        <v>940</v>
      </c>
      <c r="V1540" t="s">
        <v>956</v>
      </c>
      <c r="W1540" t="str">
        <f t="shared" si="25"/>
        <v>SA_New_20241</v>
      </c>
      <c r="X1540" s="2" t="s">
        <v>1616</v>
      </c>
    </row>
    <row r="1541" spans="1:24" hidden="1" x14ac:dyDescent="0.35">
      <c r="A1541">
        <v>7</v>
      </c>
      <c r="B1541" t="s">
        <v>1092</v>
      </c>
      <c r="C1541" s="1">
        <v>45299</v>
      </c>
      <c r="D1541" t="s">
        <v>1994</v>
      </c>
      <c r="F1541" t="s">
        <v>1991</v>
      </c>
      <c r="G1541" t="s">
        <v>1606</v>
      </c>
      <c r="H1541" t="s">
        <v>1995</v>
      </c>
      <c r="I1541" t="s">
        <v>1993</v>
      </c>
      <c r="S1541" t="s">
        <v>1092</v>
      </c>
      <c r="T1541" s="5" t="s">
        <v>953</v>
      </c>
      <c r="U1541" s="5" t="s">
        <v>940</v>
      </c>
      <c r="V1541" t="s">
        <v>956</v>
      </c>
      <c r="W1541" t="str">
        <f t="shared" si="25"/>
        <v>SA_New_20241</v>
      </c>
      <c r="X1541" s="2" t="s">
        <v>1616</v>
      </c>
    </row>
    <row r="1542" spans="1:24" hidden="1" x14ac:dyDescent="0.35">
      <c r="A1542">
        <v>8</v>
      </c>
      <c r="B1542" t="s">
        <v>1092</v>
      </c>
      <c r="C1542" s="1">
        <v>45299</v>
      </c>
      <c r="D1542" t="s">
        <v>1996</v>
      </c>
      <c r="F1542" t="s">
        <v>1991</v>
      </c>
      <c r="G1542" t="s">
        <v>1603</v>
      </c>
      <c r="H1542" t="s">
        <v>1997</v>
      </c>
      <c r="I1542" t="s">
        <v>1993</v>
      </c>
      <c r="S1542" t="s">
        <v>1092</v>
      </c>
      <c r="T1542" s="5" t="s">
        <v>953</v>
      </c>
      <c r="U1542" s="5" t="s">
        <v>940</v>
      </c>
      <c r="V1542" t="s">
        <v>956</v>
      </c>
      <c r="W1542" t="str">
        <f t="shared" si="25"/>
        <v>SA_New_20241</v>
      </c>
      <c r="X1542" s="2" t="s">
        <v>1616</v>
      </c>
    </row>
    <row r="1543" spans="1:24" hidden="1" x14ac:dyDescent="0.35">
      <c r="A1543">
        <v>9</v>
      </c>
      <c r="B1543" t="s">
        <v>1092</v>
      </c>
      <c r="C1543" s="1">
        <v>45299</v>
      </c>
      <c r="D1543" t="s">
        <v>1998</v>
      </c>
      <c r="F1543" t="s">
        <v>1974</v>
      </c>
      <c r="G1543" t="s">
        <v>1603</v>
      </c>
      <c r="H1543" t="s">
        <v>1999</v>
      </c>
      <c r="I1543" t="s">
        <v>1976</v>
      </c>
      <c r="S1543" t="s">
        <v>1092</v>
      </c>
      <c r="T1543" s="5" t="s">
        <v>953</v>
      </c>
      <c r="U1543" s="5" t="s">
        <v>940</v>
      </c>
      <c r="V1543" t="s">
        <v>956</v>
      </c>
      <c r="W1543" t="str">
        <f t="shared" si="25"/>
        <v>SA_New_20241</v>
      </c>
      <c r="X1543" s="2" t="s">
        <v>1616</v>
      </c>
    </row>
    <row r="1544" spans="1:24" hidden="1" x14ac:dyDescent="0.35">
      <c r="A1544">
        <v>10</v>
      </c>
      <c r="B1544" t="s">
        <v>1092</v>
      </c>
      <c r="C1544" s="1">
        <v>45299</v>
      </c>
      <c r="D1544" t="s">
        <v>2000</v>
      </c>
      <c r="F1544" t="s">
        <v>1974</v>
      </c>
      <c r="G1544" t="s">
        <v>168</v>
      </c>
      <c r="H1544" t="s">
        <v>2001</v>
      </c>
      <c r="I1544" t="s">
        <v>1989</v>
      </c>
      <c r="S1544" t="s">
        <v>1092</v>
      </c>
      <c r="T1544" s="5" t="s">
        <v>953</v>
      </c>
      <c r="U1544" s="5" t="s">
        <v>940</v>
      </c>
      <c r="V1544" t="s">
        <v>956</v>
      </c>
      <c r="W1544" t="str">
        <f t="shared" si="25"/>
        <v>SA_New_20241</v>
      </c>
      <c r="X1544" s="2" t="s">
        <v>1616</v>
      </c>
    </row>
    <row r="1545" spans="1:24" hidden="1" x14ac:dyDescent="0.35">
      <c r="A1545">
        <v>11</v>
      </c>
      <c r="B1545" t="s">
        <v>1092</v>
      </c>
      <c r="C1545" s="1">
        <v>45299</v>
      </c>
      <c r="D1545" t="s">
        <v>2002</v>
      </c>
      <c r="F1545" t="s">
        <v>1974</v>
      </c>
      <c r="G1545" t="s">
        <v>1606</v>
      </c>
      <c r="H1545" t="s">
        <v>2003</v>
      </c>
      <c r="I1545" t="s">
        <v>1989</v>
      </c>
      <c r="S1545" t="s">
        <v>1092</v>
      </c>
      <c r="T1545" s="5" t="s">
        <v>953</v>
      </c>
      <c r="U1545" s="5" t="s">
        <v>940</v>
      </c>
      <c r="V1545" t="s">
        <v>956</v>
      </c>
      <c r="W1545" t="str">
        <f t="shared" si="25"/>
        <v>SA_New_20241</v>
      </c>
      <c r="X1545" s="2" t="s">
        <v>1616</v>
      </c>
    </row>
    <row r="1546" spans="1:24" hidden="1" x14ac:dyDescent="0.35">
      <c r="A1546">
        <v>12</v>
      </c>
      <c r="B1546" t="s">
        <v>1092</v>
      </c>
      <c r="C1546" s="1">
        <v>45306</v>
      </c>
      <c r="D1546" t="s">
        <v>2004</v>
      </c>
      <c r="F1546" t="s">
        <v>1974</v>
      </c>
      <c r="G1546" t="s">
        <v>1603</v>
      </c>
      <c r="H1546" t="s">
        <v>2005</v>
      </c>
      <c r="I1546" t="s">
        <v>1993</v>
      </c>
      <c r="S1546" t="s">
        <v>1092</v>
      </c>
      <c r="T1546" s="5" t="s">
        <v>953</v>
      </c>
      <c r="U1546" s="5" t="s">
        <v>943</v>
      </c>
      <c r="V1546" t="s">
        <v>956</v>
      </c>
      <c r="W1546" t="str">
        <f t="shared" si="25"/>
        <v>SA_New_20241</v>
      </c>
      <c r="X1546" s="2" t="s">
        <v>1616</v>
      </c>
    </row>
    <row r="1547" spans="1:24" hidden="1" x14ac:dyDescent="0.35">
      <c r="A1547">
        <v>13</v>
      </c>
      <c r="B1547" t="s">
        <v>1092</v>
      </c>
      <c r="C1547" s="1">
        <v>45306</v>
      </c>
      <c r="D1547" t="s">
        <v>2006</v>
      </c>
      <c r="F1547" t="s">
        <v>1991</v>
      </c>
      <c r="G1547" t="s">
        <v>1606</v>
      </c>
      <c r="H1547" t="s">
        <v>2007</v>
      </c>
      <c r="I1547" t="s">
        <v>1993</v>
      </c>
      <c r="S1547" t="s">
        <v>1092</v>
      </c>
      <c r="T1547" s="5" t="s">
        <v>953</v>
      </c>
      <c r="U1547" s="5" t="s">
        <v>943</v>
      </c>
      <c r="V1547" t="s">
        <v>956</v>
      </c>
      <c r="W1547" t="str">
        <f t="shared" si="25"/>
        <v>SA_New_20241</v>
      </c>
      <c r="X1547" s="2" t="s">
        <v>1616</v>
      </c>
    </row>
    <row r="1548" spans="1:24" hidden="1" x14ac:dyDescent="0.35">
      <c r="A1548">
        <v>14</v>
      </c>
      <c r="B1548" t="s">
        <v>1092</v>
      </c>
      <c r="C1548" s="1">
        <v>45309</v>
      </c>
      <c r="D1548" t="s">
        <v>2008</v>
      </c>
      <c r="F1548" t="s">
        <v>1974</v>
      </c>
      <c r="G1548" t="s">
        <v>1606</v>
      </c>
      <c r="H1548" t="s">
        <v>2009</v>
      </c>
      <c r="I1548" t="s">
        <v>1993</v>
      </c>
      <c r="S1548" t="s">
        <v>1092</v>
      </c>
      <c r="T1548" s="5" t="s">
        <v>953</v>
      </c>
      <c r="U1548" s="5" t="s">
        <v>930</v>
      </c>
      <c r="V1548" t="s">
        <v>956</v>
      </c>
      <c r="W1548" t="str">
        <f t="shared" si="25"/>
        <v>SA_New_20241</v>
      </c>
      <c r="X1548" s="2" t="s">
        <v>1616</v>
      </c>
    </row>
    <row r="1549" spans="1:24" hidden="1" x14ac:dyDescent="0.35">
      <c r="A1549">
        <v>15</v>
      </c>
      <c r="B1549" t="s">
        <v>1092</v>
      </c>
      <c r="C1549" s="1">
        <v>45309</v>
      </c>
      <c r="D1549" t="s">
        <v>2010</v>
      </c>
      <c r="F1549" t="s">
        <v>1991</v>
      </c>
      <c r="G1549" t="s">
        <v>1609</v>
      </c>
      <c r="H1549" t="s">
        <v>2011</v>
      </c>
      <c r="I1549" t="s">
        <v>1993</v>
      </c>
      <c r="S1549" t="s">
        <v>1092</v>
      </c>
      <c r="T1549" s="5" t="s">
        <v>953</v>
      </c>
      <c r="U1549" s="5" t="s">
        <v>930</v>
      </c>
      <c r="V1549" t="s">
        <v>956</v>
      </c>
      <c r="W1549" t="str">
        <f t="shared" si="25"/>
        <v>SA_New_20241</v>
      </c>
      <c r="X1549" s="2" t="s">
        <v>1616</v>
      </c>
    </row>
    <row r="1550" spans="1:24" hidden="1" x14ac:dyDescent="0.35">
      <c r="A1550">
        <v>16</v>
      </c>
      <c r="B1550" t="s">
        <v>1092</v>
      </c>
      <c r="C1550" s="1">
        <v>45309</v>
      </c>
      <c r="D1550" t="s">
        <v>2012</v>
      </c>
      <c r="F1550" t="s">
        <v>1974</v>
      </c>
      <c r="G1550" t="s">
        <v>2013</v>
      </c>
      <c r="H1550" t="s">
        <v>2014</v>
      </c>
      <c r="I1550" t="s">
        <v>1989</v>
      </c>
      <c r="S1550" t="s">
        <v>1092</v>
      </c>
      <c r="T1550" s="5" t="s">
        <v>953</v>
      </c>
      <c r="U1550" s="5" t="s">
        <v>930</v>
      </c>
      <c r="V1550" t="s">
        <v>956</v>
      </c>
      <c r="W1550" t="str">
        <f t="shared" si="25"/>
        <v>SA_New_20241</v>
      </c>
      <c r="X1550" s="2" t="s">
        <v>1616</v>
      </c>
    </row>
    <row r="1551" spans="1:24" hidden="1" x14ac:dyDescent="0.35">
      <c r="A1551">
        <v>17</v>
      </c>
      <c r="B1551" t="s">
        <v>1092</v>
      </c>
      <c r="C1551" s="1">
        <v>45316</v>
      </c>
      <c r="D1551" t="s">
        <v>2015</v>
      </c>
      <c r="F1551" t="s">
        <v>1974</v>
      </c>
      <c r="G1551" t="s">
        <v>2016</v>
      </c>
      <c r="H1551" t="s">
        <v>2017</v>
      </c>
      <c r="I1551" t="s">
        <v>1989</v>
      </c>
      <c r="S1551" t="s">
        <v>1092</v>
      </c>
      <c r="T1551" s="5" t="s">
        <v>953</v>
      </c>
      <c r="U1551" s="5" t="s">
        <v>922</v>
      </c>
      <c r="V1551" t="s">
        <v>956</v>
      </c>
      <c r="W1551" t="str">
        <f t="shared" si="25"/>
        <v>SA_New_20241</v>
      </c>
      <c r="X1551" s="2" t="s">
        <v>1616</v>
      </c>
    </row>
    <row r="1552" spans="1:24" hidden="1" x14ac:dyDescent="0.35">
      <c r="A1552">
        <v>18</v>
      </c>
      <c r="B1552" t="s">
        <v>1092</v>
      </c>
      <c r="C1552" s="1">
        <v>45316</v>
      </c>
      <c r="D1552" t="s">
        <v>2018</v>
      </c>
      <c r="F1552" t="s">
        <v>1974</v>
      </c>
      <c r="G1552" t="s">
        <v>2019</v>
      </c>
      <c r="H1552" t="s">
        <v>2020</v>
      </c>
      <c r="I1552" t="s">
        <v>1989</v>
      </c>
      <c r="S1552" t="s">
        <v>1092</v>
      </c>
      <c r="T1552" s="5" t="s">
        <v>953</v>
      </c>
      <c r="U1552" s="5" t="s">
        <v>922</v>
      </c>
      <c r="V1552" t="s">
        <v>956</v>
      </c>
      <c r="W1552" t="str">
        <f t="shared" si="25"/>
        <v>SA_New_20241</v>
      </c>
      <c r="X1552" s="2" t="s">
        <v>1616</v>
      </c>
    </row>
    <row r="1553" spans="1:24" hidden="1" x14ac:dyDescent="0.35">
      <c r="A1553">
        <v>19</v>
      </c>
      <c r="B1553" t="s">
        <v>1092</v>
      </c>
      <c r="C1553" s="1">
        <v>45316</v>
      </c>
      <c r="D1553" t="s">
        <v>2021</v>
      </c>
      <c r="F1553" t="s">
        <v>1991</v>
      </c>
      <c r="G1553" t="s">
        <v>1606</v>
      </c>
      <c r="H1553" t="s">
        <v>2022</v>
      </c>
      <c r="I1553" t="s">
        <v>1983</v>
      </c>
      <c r="S1553" t="s">
        <v>1092</v>
      </c>
      <c r="T1553" s="5" t="s">
        <v>953</v>
      </c>
      <c r="U1553" s="5" t="s">
        <v>922</v>
      </c>
      <c r="V1553" t="s">
        <v>956</v>
      </c>
      <c r="W1553" t="str">
        <f t="shared" si="25"/>
        <v>SA_New_20241</v>
      </c>
      <c r="X1553" s="2" t="s">
        <v>1616</v>
      </c>
    </row>
    <row r="1554" spans="1:24" hidden="1" x14ac:dyDescent="0.35">
      <c r="A1554">
        <v>20</v>
      </c>
      <c r="B1554" t="s">
        <v>1092</v>
      </c>
      <c r="C1554" s="1">
        <v>45321</v>
      </c>
      <c r="D1554" t="s">
        <v>2023</v>
      </c>
      <c r="F1554" t="s">
        <v>1978</v>
      </c>
      <c r="G1554" t="s">
        <v>1911</v>
      </c>
      <c r="H1554" t="s">
        <v>2024</v>
      </c>
      <c r="I1554" t="s">
        <v>1989</v>
      </c>
      <c r="S1554" t="s">
        <v>1092</v>
      </c>
      <c r="T1554" s="5" t="s">
        <v>953</v>
      </c>
      <c r="U1554" s="5" t="s">
        <v>938</v>
      </c>
      <c r="V1554" t="s">
        <v>956</v>
      </c>
      <c r="W1554" t="str">
        <f t="shared" si="25"/>
        <v>SA_New_20241</v>
      </c>
      <c r="X1554" s="2" t="s">
        <v>1616</v>
      </c>
    </row>
    <row r="1555" spans="1:24" hidden="1" x14ac:dyDescent="0.35">
      <c r="A1555">
        <v>21</v>
      </c>
      <c r="B1555" t="s">
        <v>1092</v>
      </c>
      <c r="C1555" s="1">
        <v>45348</v>
      </c>
      <c r="D1555" t="s">
        <v>2025</v>
      </c>
      <c r="F1555" t="s">
        <v>1978</v>
      </c>
      <c r="G1555" t="s">
        <v>1606</v>
      </c>
      <c r="H1555" t="s">
        <v>2026</v>
      </c>
      <c r="I1555" t="s">
        <v>1993</v>
      </c>
      <c r="S1555" t="s">
        <v>1092</v>
      </c>
      <c r="T1555" s="5" t="s">
        <v>921</v>
      </c>
      <c r="U1555" s="5" t="s">
        <v>924</v>
      </c>
      <c r="V1555" t="s">
        <v>956</v>
      </c>
      <c r="W1555" t="str">
        <f t="shared" si="25"/>
        <v>SA_New_20242</v>
      </c>
      <c r="X1555" s="2" t="s">
        <v>1616</v>
      </c>
    </row>
    <row r="1556" spans="1:24" hidden="1" x14ac:dyDescent="0.35">
      <c r="A1556">
        <v>22</v>
      </c>
      <c r="B1556" t="s">
        <v>1092</v>
      </c>
      <c r="C1556" s="1">
        <v>45349</v>
      </c>
      <c r="D1556" t="s">
        <v>2027</v>
      </c>
      <c r="F1556" t="s">
        <v>1974</v>
      </c>
      <c r="G1556" t="s">
        <v>1606</v>
      </c>
      <c r="H1556" t="s">
        <v>2028</v>
      </c>
      <c r="I1556" t="s">
        <v>1976</v>
      </c>
      <c r="S1556" t="s">
        <v>1092</v>
      </c>
      <c r="T1556" s="5" t="s">
        <v>921</v>
      </c>
      <c r="U1556" s="5" t="s">
        <v>925</v>
      </c>
      <c r="V1556" t="s">
        <v>956</v>
      </c>
      <c r="W1556" t="str">
        <f t="shared" si="25"/>
        <v>SA_New_20242</v>
      </c>
      <c r="X1556" s="2" t="s">
        <v>1616</v>
      </c>
    </row>
    <row r="1557" spans="1:24" hidden="1" x14ac:dyDescent="0.35">
      <c r="A1557">
        <v>23</v>
      </c>
      <c r="B1557" t="s">
        <v>1092</v>
      </c>
      <c r="C1557" s="1">
        <v>45350</v>
      </c>
      <c r="D1557" t="s">
        <v>2029</v>
      </c>
      <c r="F1557" t="s">
        <v>1991</v>
      </c>
      <c r="G1557" t="s">
        <v>1606</v>
      </c>
      <c r="H1557" t="s">
        <v>2030</v>
      </c>
      <c r="I1557" t="s">
        <v>1983</v>
      </c>
      <c r="S1557" t="s">
        <v>1092</v>
      </c>
      <c r="T1557" s="5" t="s">
        <v>921</v>
      </c>
      <c r="U1557" s="5" t="s">
        <v>926</v>
      </c>
      <c r="V1557" t="s">
        <v>956</v>
      </c>
      <c r="W1557" t="str">
        <f t="shared" si="25"/>
        <v>SA_New_20242</v>
      </c>
      <c r="X1557" s="2" t="s">
        <v>1616</v>
      </c>
    </row>
    <row r="1558" spans="1:24" hidden="1" x14ac:dyDescent="0.35">
      <c r="A1558">
        <v>24</v>
      </c>
      <c r="B1558" t="s">
        <v>1092</v>
      </c>
      <c r="C1558" s="1">
        <v>45356</v>
      </c>
      <c r="D1558" t="s">
        <v>2031</v>
      </c>
      <c r="F1558" t="s">
        <v>1978</v>
      </c>
      <c r="G1558" t="s">
        <v>2032</v>
      </c>
      <c r="H1558" t="s">
        <v>2033</v>
      </c>
      <c r="I1558" t="s">
        <v>1989</v>
      </c>
      <c r="S1558" t="s">
        <v>1092</v>
      </c>
      <c r="T1558" s="5" t="s">
        <v>941</v>
      </c>
      <c r="U1558" s="5" t="s">
        <v>947</v>
      </c>
      <c r="V1558" t="s">
        <v>956</v>
      </c>
      <c r="W1558" t="str">
        <f t="shared" si="25"/>
        <v>SA_New_20243</v>
      </c>
      <c r="X1558" s="2" t="s">
        <v>1616</v>
      </c>
    </row>
    <row r="1559" spans="1:24" hidden="1" x14ac:dyDescent="0.35">
      <c r="A1559">
        <v>25</v>
      </c>
      <c r="B1559" t="s">
        <v>1092</v>
      </c>
      <c r="C1559" s="1">
        <v>45356</v>
      </c>
      <c r="D1559" t="s">
        <v>2034</v>
      </c>
      <c r="F1559" t="s">
        <v>1981</v>
      </c>
      <c r="G1559" t="s">
        <v>1609</v>
      </c>
      <c r="H1559" t="s">
        <v>2035</v>
      </c>
      <c r="I1559" t="s">
        <v>1993</v>
      </c>
      <c r="S1559" t="s">
        <v>1092</v>
      </c>
      <c r="T1559" s="5" t="s">
        <v>941</v>
      </c>
      <c r="U1559" s="5" t="s">
        <v>947</v>
      </c>
      <c r="V1559" t="s">
        <v>956</v>
      </c>
      <c r="W1559" t="str">
        <f t="shared" si="25"/>
        <v>SA_New_20243</v>
      </c>
      <c r="X1559" s="2" t="s">
        <v>1616</v>
      </c>
    </row>
    <row r="1560" spans="1:24" hidden="1" x14ac:dyDescent="0.35">
      <c r="A1560">
        <v>26</v>
      </c>
      <c r="B1560" t="s">
        <v>1092</v>
      </c>
      <c r="C1560" s="1">
        <v>45360</v>
      </c>
      <c r="D1560" t="s">
        <v>2036</v>
      </c>
      <c r="F1560" t="s">
        <v>1974</v>
      </c>
      <c r="G1560" t="s">
        <v>1603</v>
      </c>
      <c r="H1560" t="s">
        <v>2037</v>
      </c>
      <c r="I1560" t="s">
        <v>1976</v>
      </c>
      <c r="S1560" t="s">
        <v>1092</v>
      </c>
      <c r="T1560" s="5" t="s">
        <v>941</v>
      </c>
      <c r="U1560" s="5" t="s">
        <v>942</v>
      </c>
      <c r="V1560" t="s">
        <v>956</v>
      </c>
      <c r="W1560" t="str">
        <f t="shared" si="25"/>
        <v>SA_New_20243</v>
      </c>
      <c r="X1560" s="2" t="s">
        <v>1616</v>
      </c>
    </row>
    <row r="1561" spans="1:24" hidden="1" x14ac:dyDescent="0.35">
      <c r="A1561">
        <v>27</v>
      </c>
      <c r="B1561" t="s">
        <v>1092</v>
      </c>
      <c r="C1561" s="1">
        <v>45367</v>
      </c>
      <c r="D1561" t="s">
        <v>2038</v>
      </c>
      <c r="F1561" t="s">
        <v>1974</v>
      </c>
      <c r="G1561" t="s">
        <v>2039</v>
      </c>
      <c r="H1561" t="s">
        <v>2040</v>
      </c>
      <c r="I1561" t="s">
        <v>1989</v>
      </c>
      <c r="S1561" t="s">
        <v>1092</v>
      </c>
      <c r="T1561" s="5" t="s">
        <v>941</v>
      </c>
      <c r="U1561" s="5" t="s">
        <v>928</v>
      </c>
      <c r="V1561" t="s">
        <v>956</v>
      </c>
      <c r="W1561" t="str">
        <f t="shared" si="25"/>
        <v>SA_New_20243</v>
      </c>
      <c r="X1561" s="2" t="s">
        <v>1616</v>
      </c>
    </row>
    <row r="1562" spans="1:24" hidden="1" x14ac:dyDescent="0.35">
      <c r="A1562">
        <v>28</v>
      </c>
      <c r="B1562" t="s">
        <v>1092</v>
      </c>
      <c r="C1562" s="1">
        <v>45367</v>
      </c>
      <c r="D1562" t="s">
        <v>2041</v>
      </c>
      <c r="F1562" t="s">
        <v>1974</v>
      </c>
      <c r="G1562" t="s">
        <v>2039</v>
      </c>
      <c r="H1562" t="s">
        <v>2042</v>
      </c>
      <c r="I1562" t="s">
        <v>1976</v>
      </c>
      <c r="S1562" t="s">
        <v>1092</v>
      </c>
      <c r="T1562" s="5" t="s">
        <v>941</v>
      </c>
      <c r="U1562" s="5" t="s">
        <v>928</v>
      </c>
      <c r="V1562" t="s">
        <v>956</v>
      </c>
      <c r="W1562" t="str">
        <f t="shared" si="25"/>
        <v>SA_New_20243</v>
      </c>
      <c r="X1562" s="2" t="s">
        <v>1616</v>
      </c>
    </row>
    <row r="1563" spans="1:24" hidden="1" x14ac:dyDescent="0.35">
      <c r="A1563">
        <v>29</v>
      </c>
      <c r="B1563" t="s">
        <v>1092</v>
      </c>
      <c r="C1563" s="1">
        <v>45367</v>
      </c>
      <c r="D1563" t="s">
        <v>2043</v>
      </c>
      <c r="F1563" t="s">
        <v>1981</v>
      </c>
      <c r="G1563" t="s">
        <v>1603</v>
      </c>
      <c r="H1563" t="s">
        <v>2044</v>
      </c>
      <c r="I1563" t="s">
        <v>1983</v>
      </c>
      <c r="S1563" t="s">
        <v>1092</v>
      </c>
      <c r="T1563" s="5" t="s">
        <v>941</v>
      </c>
      <c r="U1563" s="5" t="s">
        <v>928</v>
      </c>
      <c r="V1563" t="s">
        <v>956</v>
      </c>
      <c r="W1563" t="str">
        <f t="shared" si="25"/>
        <v>SA_New_20243</v>
      </c>
      <c r="X1563" s="2" t="s">
        <v>1616</v>
      </c>
    </row>
    <row r="1564" spans="1:24" hidden="1" x14ac:dyDescent="0.35">
      <c r="A1564">
        <v>30</v>
      </c>
      <c r="B1564" t="s">
        <v>1092</v>
      </c>
      <c r="C1564" s="1">
        <v>45371</v>
      </c>
      <c r="D1564" t="s">
        <v>2045</v>
      </c>
      <c r="F1564" t="s">
        <v>1991</v>
      </c>
      <c r="G1564" t="s">
        <v>1606</v>
      </c>
      <c r="H1564" t="s">
        <v>2046</v>
      </c>
      <c r="I1564" t="s">
        <v>1993</v>
      </c>
      <c r="S1564" t="s">
        <v>1092</v>
      </c>
      <c r="T1564" s="5" t="s">
        <v>941</v>
      </c>
      <c r="U1564" s="5" t="s">
        <v>932</v>
      </c>
      <c r="V1564" t="s">
        <v>956</v>
      </c>
      <c r="W1564" t="str">
        <f t="shared" si="25"/>
        <v>SA_New_20243</v>
      </c>
      <c r="X1564" s="2" t="s">
        <v>1616</v>
      </c>
    </row>
    <row r="1565" spans="1:24" hidden="1" x14ac:dyDescent="0.35">
      <c r="A1565">
        <v>31</v>
      </c>
      <c r="B1565" t="s">
        <v>1092</v>
      </c>
      <c r="C1565" s="1">
        <v>45371</v>
      </c>
      <c r="D1565" t="s">
        <v>2047</v>
      </c>
      <c r="F1565" t="s">
        <v>1991</v>
      </c>
      <c r="G1565" t="s">
        <v>1606</v>
      </c>
      <c r="H1565" t="s">
        <v>2046</v>
      </c>
      <c r="I1565" t="s">
        <v>1993</v>
      </c>
      <c r="S1565" t="s">
        <v>1092</v>
      </c>
      <c r="T1565" s="5" t="s">
        <v>941</v>
      </c>
      <c r="U1565" s="5" t="s">
        <v>932</v>
      </c>
      <c r="V1565" t="s">
        <v>956</v>
      </c>
      <c r="W1565" t="str">
        <f t="shared" si="25"/>
        <v>SA_New_20243</v>
      </c>
      <c r="X1565" s="2" t="s">
        <v>1616</v>
      </c>
    </row>
    <row r="1566" spans="1:24" hidden="1" x14ac:dyDescent="0.35">
      <c r="A1566">
        <v>32</v>
      </c>
      <c r="B1566" t="s">
        <v>1092</v>
      </c>
      <c r="C1566" s="1">
        <v>45376</v>
      </c>
      <c r="D1566" t="s">
        <v>2048</v>
      </c>
      <c r="F1566" t="s">
        <v>1981</v>
      </c>
      <c r="G1566" t="s">
        <v>1609</v>
      </c>
      <c r="H1566" t="s">
        <v>2049</v>
      </c>
      <c r="I1566" t="s">
        <v>1976</v>
      </c>
      <c r="S1566" t="s">
        <v>1092</v>
      </c>
      <c r="T1566" s="5" t="s">
        <v>941</v>
      </c>
      <c r="U1566" s="5" t="s">
        <v>922</v>
      </c>
      <c r="V1566" t="s">
        <v>956</v>
      </c>
      <c r="W1566" t="str">
        <f t="shared" si="25"/>
        <v>SA_New_20243</v>
      </c>
      <c r="X1566" s="2" t="s">
        <v>1616</v>
      </c>
    </row>
    <row r="1567" spans="1:24" hidden="1" x14ac:dyDescent="0.35">
      <c r="A1567">
        <v>33</v>
      </c>
      <c r="B1567" t="s">
        <v>1092</v>
      </c>
      <c r="C1567" s="1">
        <v>45376</v>
      </c>
      <c r="D1567" t="s">
        <v>2050</v>
      </c>
      <c r="F1567" t="s">
        <v>1981</v>
      </c>
      <c r="G1567" t="s">
        <v>1606</v>
      </c>
      <c r="H1567" t="s">
        <v>2051</v>
      </c>
      <c r="I1567" t="s">
        <v>1983</v>
      </c>
      <c r="S1567" t="s">
        <v>1092</v>
      </c>
      <c r="T1567" s="5" t="s">
        <v>941</v>
      </c>
      <c r="U1567" s="5" t="s">
        <v>922</v>
      </c>
      <c r="V1567" t="s">
        <v>956</v>
      </c>
      <c r="W1567" t="str">
        <f t="shared" si="25"/>
        <v>SA_New_20243</v>
      </c>
      <c r="X1567" s="2" t="s">
        <v>1616</v>
      </c>
    </row>
    <row r="1568" spans="1:24" hidden="1" x14ac:dyDescent="0.35">
      <c r="A1568">
        <v>34</v>
      </c>
      <c r="B1568" t="s">
        <v>1092</v>
      </c>
      <c r="C1568" s="1">
        <v>45376</v>
      </c>
      <c r="D1568" t="s">
        <v>2052</v>
      </c>
      <c r="F1568" t="s">
        <v>1985</v>
      </c>
      <c r="G1568" t="s">
        <v>1606</v>
      </c>
      <c r="H1568" t="s">
        <v>2053</v>
      </c>
      <c r="I1568" t="s">
        <v>1993</v>
      </c>
      <c r="S1568" t="s">
        <v>1092</v>
      </c>
      <c r="T1568" s="5" t="s">
        <v>941</v>
      </c>
      <c r="U1568" s="5" t="s">
        <v>922</v>
      </c>
      <c r="V1568" t="s">
        <v>956</v>
      </c>
      <c r="W1568" t="str">
        <f t="shared" si="25"/>
        <v>SA_New_20243</v>
      </c>
      <c r="X1568" s="2" t="s">
        <v>1616</v>
      </c>
    </row>
    <row r="1569" spans="1:24" hidden="1" x14ac:dyDescent="0.35">
      <c r="A1569">
        <v>35</v>
      </c>
      <c r="B1569" t="s">
        <v>1092</v>
      </c>
      <c r="C1569" s="1">
        <v>45376</v>
      </c>
      <c r="D1569" t="s">
        <v>2054</v>
      </c>
      <c r="F1569" t="s">
        <v>1974</v>
      </c>
      <c r="G1569" t="s">
        <v>1911</v>
      </c>
      <c r="H1569" t="s">
        <v>2055</v>
      </c>
      <c r="I1569" t="s">
        <v>1989</v>
      </c>
      <c r="S1569" t="s">
        <v>1092</v>
      </c>
      <c r="T1569" s="5" t="s">
        <v>941</v>
      </c>
      <c r="U1569" s="5" t="s">
        <v>922</v>
      </c>
      <c r="V1569" t="s">
        <v>956</v>
      </c>
      <c r="W1569" t="str">
        <f t="shared" si="25"/>
        <v>SA_New_20243</v>
      </c>
      <c r="X1569" s="2" t="s">
        <v>1616</v>
      </c>
    </row>
    <row r="1570" spans="1:24" hidden="1" x14ac:dyDescent="0.35">
      <c r="A1570">
        <v>36</v>
      </c>
      <c r="B1570" t="s">
        <v>1092</v>
      </c>
      <c r="C1570" s="1">
        <v>45376</v>
      </c>
      <c r="D1570" t="s">
        <v>2056</v>
      </c>
      <c r="F1570" t="s">
        <v>1974</v>
      </c>
      <c r="G1570" t="s">
        <v>2039</v>
      </c>
      <c r="H1570" t="s">
        <v>2057</v>
      </c>
      <c r="I1570" t="s">
        <v>1989</v>
      </c>
      <c r="S1570" t="s">
        <v>1092</v>
      </c>
      <c r="T1570" s="5" t="s">
        <v>941</v>
      </c>
      <c r="U1570" s="5" t="s">
        <v>922</v>
      </c>
      <c r="V1570" t="s">
        <v>956</v>
      </c>
      <c r="W1570" t="str">
        <f t="shared" si="25"/>
        <v>SA_New_20243</v>
      </c>
      <c r="X1570" s="2" t="s">
        <v>1616</v>
      </c>
    </row>
    <row r="1571" spans="1:24" hidden="1" x14ac:dyDescent="0.35">
      <c r="A1571">
        <v>37</v>
      </c>
      <c r="B1571" t="s">
        <v>1092</v>
      </c>
      <c r="C1571" s="1">
        <v>45376</v>
      </c>
      <c r="D1571" t="s">
        <v>2058</v>
      </c>
      <c r="F1571" t="s">
        <v>1974</v>
      </c>
      <c r="G1571" t="s">
        <v>2039</v>
      </c>
      <c r="H1571" t="s">
        <v>2059</v>
      </c>
      <c r="I1571" t="s">
        <v>1976</v>
      </c>
      <c r="S1571" t="s">
        <v>1092</v>
      </c>
      <c r="T1571" s="5" t="s">
        <v>941</v>
      </c>
      <c r="U1571" s="5" t="s">
        <v>922</v>
      </c>
      <c r="V1571" t="s">
        <v>956</v>
      </c>
      <c r="W1571" t="str">
        <f t="shared" si="25"/>
        <v>SA_New_20243</v>
      </c>
      <c r="X1571" s="2" t="s">
        <v>1616</v>
      </c>
    </row>
    <row r="1572" spans="1:24" hidden="1" x14ac:dyDescent="0.35">
      <c r="A1572">
        <v>38</v>
      </c>
      <c r="B1572" t="s">
        <v>1092</v>
      </c>
      <c r="C1572" s="1">
        <v>45378</v>
      </c>
      <c r="D1572" t="s">
        <v>1507</v>
      </c>
      <c r="F1572" t="s">
        <v>1985</v>
      </c>
      <c r="G1572" t="s">
        <v>1606</v>
      </c>
      <c r="H1572" t="s">
        <v>2060</v>
      </c>
      <c r="I1572" t="s">
        <v>1989</v>
      </c>
      <c r="S1572" t="s">
        <v>1092</v>
      </c>
      <c r="T1572" s="5" t="s">
        <v>941</v>
      </c>
      <c r="U1572" s="5" t="s">
        <v>925</v>
      </c>
      <c r="V1572" t="s">
        <v>956</v>
      </c>
      <c r="W1572" t="str">
        <f t="shared" si="25"/>
        <v>SA_New_20243</v>
      </c>
      <c r="X1572" s="2" t="s">
        <v>1616</v>
      </c>
    </row>
    <row r="1573" spans="1:24" hidden="1" x14ac:dyDescent="0.35">
      <c r="A1573">
        <v>51</v>
      </c>
      <c r="B1573" t="s">
        <v>1092</v>
      </c>
      <c r="C1573" s="1">
        <v>45554</v>
      </c>
      <c r="D1573" t="s">
        <v>2270</v>
      </c>
      <c r="F1573" t="s">
        <v>1974</v>
      </c>
      <c r="G1573" t="s">
        <v>20</v>
      </c>
      <c r="H1573" t="s">
        <v>2271</v>
      </c>
      <c r="I1573" t="s">
        <v>1976</v>
      </c>
      <c r="S1573" t="s">
        <v>1092</v>
      </c>
      <c r="T1573" s="6" t="s">
        <v>942</v>
      </c>
      <c r="U1573" s="6" t="s">
        <v>931</v>
      </c>
      <c r="V1573" s="2" t="s">
        <v>956</v>
      </c>
      <c r="W1573" t="str">
        <f t="shared" si="25"/>
        <v>SA_New_20249</v>
      </c>
      <c r="X1573" s="2" t="s">
        <v>1615</v>
      </c>
    </row>
    <row r="1574" spans="1:24" hidden="1" x14ac:dyDescent="0.35">
      <c r="A1574">
        <v>39</v>
      </c>
      <c r="B1574" t="s">
        <v>1092</v>
      </c>
      <c r="C1574" s="1">
        <v>45384</v>
      </c>
      <c r="D1574" t="s">
        <v>2061</v>
      </c>
      <c r="F1574" t="s">
        <v>1974</v>
      </c>
      <c r="G1574" t="s">
        <v>1609</v>
      </c>
      <c r="H1574" t="s">
        <v>2062</v>
      </c>
      <c r="I1574" t="s">
        <v>1976</v>
      </c>
      <c r="S1574" t="s">
        <v>1092</v>
      </c>
      <c r="T1574" s="5" t="s">
        <v>946</v>
      </c>
      <c r="U1574" s="5" t="s">
        <v>921</v>
      </c>
      <c r="V1574" t="s">
        <v>956</v>
      </c>
      <c r="W1574" t="str">
        <f t="shared" si="25"/>
        <v>SA_New_20244</v>
      </c>
      <c r="X1574" s="2" t="s">
        <v>1616</v>
      </c>
    </row>
    <row r="1575" spans="1:24" hidden="1" x14ac:dyDescent="0.35">
      <c r="A1575">
        <v>40</v>
      </c>
      <c r="B1575" t="s">
        <v>1092</v>
      </c>
      <c r="C1575" s="1">
        <v>45384</v>
      </c>
      <c r="D1575" t="s">
        <v>2063</v>
      </c>
      <c r="F1575" t="s">
        <v>1974</v>
      </c>
      <c r="G1575" t="s">
        <v>1606</v>
      </c>
      <c r="H1575" t="s">
        <v>2064</v>
      </c>
      <c r="I1575" t="s">
        <v>1993</v>
      </c>
      <c r="S1575" t="s">
        <v>1092</v>
      </c>
      <c r="T1575" s="5" t="s">
        <v>946</v>
      </c>
      <c r="U1575" s="5" t="s">
        <v>921</v>
      </c>
      <c r="V1575" t="s">
        <v>956</v>
      </c>
      <c r="W1575" t="str">
        <f t="shared" si="25"/>
        <v>SA_New_20244</v>
      </c>
      <c r="X1575" s="2" t="s">
        <v>1616</v>
      </c>
    </row>
    <row r="1576" spans="1:24" hidden="1" x14ac:dyDescent="0.35">
      <c r="A1576">
        <v>41</v>
      </c>
      <c r="B1576" t="s">
        <v>1092</v>
      </c>
      <c r="C1576" s="1">
        <v>45384</v>
      </c>
      <c r="D1576" t="s">
        <v>2065</v>
      </c>
      <c r="F1576" t="s">
        <v>1974</v>
      </c>
      <c r="G1576" t="s">
        <v>20</v>
      </c>
      <c r="H1576" t="s">
        <v>2066</v>
      </c>
      <c r="I1576" t="s">
        <v>1989</v>
      </c>
      <c r="S1576" t="s">
        <v>1092</v>
      </c>
      <c r="T1576" s="5" t="s">
        <v>946</v>
      </c>
      <c r="U1576" s="5" t="s">
        <v>921</v>
      </c>
      <c r="V1576" t="s">
        <v>956</v>
      </c>
      <c r="W1576" t="str">
        <f t="shared" si="25"/>
        <v>SA_New_20244</v>
      </c>
      <c r="X1576" s="2" t="s">
        <v>1616</v>
      </c>
    </row>
    <row r="1577" spans="1:24" hidden="1" x14ac:dyDescent="0.35">
      <c r="A1577">
        <v>42</v>
      </c>
      <c r="B1577" t="s">
        <v>1092</v>
      </c>
      <c r="C1577" s="1">
        <v>45386</v>
      </c>
      <c r="D1577" t="s">
        <v>2067</v>
      </c>
      <c r="F1577" t="s">
        <v>1985</v>
      </c>
      <c r="G1577" t="s">
        <v>1606</v>
      </c>
      <c r="H1577" t="s">
        <v>2068</v>
      </c>
      <c r="I1577" t="s">
        <v>1983</v>
      </c>
      <c r="S1577" t="s">
        <v>1092</v>
      </c>
      <c r="T1577" s="5" t="s">
        <v>946</v>
      </c>
      <c r="U1577" s="5" t="s">
        <v>946</v>
      </c>
      <c r="V1577" t="s">
        <v>956</v>
      </c>
      <c r="W1577" t="str">
        <f t="shared" si="25"/>
        <v>SA_New_20244</v>
      </c>
      <c r="X1577" s="2" t="s">
        <v>1616</v>
      </c>
    </row>
    <row r="1578" spans="1:24" hidden="1" x14ac:dyDescent="0.35">
      <c r="A1578">
        <v>43</v>
      </c>
      <c r="B1578" t="s">
        <v>1092</v>
      </c>
      <c r="C1578" s="1">
        <v>45394</v>
      </c>
      <c r="D1578" t="s">
        <v>2069</v>
      </c>
      <c r="F1578" t="s">
        <v>2070</v>
      </c>
      <c r="G1578" t="s">
        <v>1603</v>
      </c>
      <c r="H1578" t="s">
        <v>2071</v>
      </c>
      <c r="I1578" t="s">
        <v>1993</v>
      </c>
      <c r="S1578" t="s">
        <v>1092</v>
      </c>
      <c r="T1578" s="5" t="s">
        <v>946</v>
      </c>
      <c r="U1578" s="5" t="s">
        <v>949</v>
      </c>
      <c r="V1578" t="s">
        <v>956</v>
      </c>
      <c r="W1578" t="str">
        <f t="shared" si="25"/>
        <v>SA_New_20244</v>
      </c>
      <c r="X1578" s="2" t="s">
        <v>1616</v>
      </c>
    </row>
    <row r="1579" spans="1:24" hidden="1" x14ac:dyDescent="0.35">
      <c r="A1579">
        <v>44</v>
      </c>
      <c r="B1579" t="s">
        <v>1092</v>
      </c>
      <c r="C1579" s="1">
        <v>45394</v>
      </c>
      <c r="D1579" t="s">
        <v>2072</v>
      </c>
      <c r="F1579" t="s">
        <v>1974</v>
      </c>
      <c r="G1579" t="s">
        <v>2073</v>
      </c>
      <c r="H1579" t="s">
        <v>2074</v>
      </c>
      <c r="I1579" t="s">
        <v>1983</v>
      </c>
      <c r="S1579" t="s">
        <v>1092</v>
      </c>
      <c r="T1579" s="5" t="s">
        <v>946</v>
      </c>
      <c r="U1579" s="5" t="s">
        <v>949</v>
      </c>
      <c r="V1579" t="s">
        <v>956</v>
      </c>
      <c r="W1579" t="str">
        <f t="shared" si="25"/>
        <v>SA_New_20244</v>
      </c>
      <c r="X1579" s="2" t="s">
        <v>1616</v>
      </c>
    </row>
    <row r="1580" spans="1:24" hidden="1" x14ac:dyDescent="0.35">
      <c r="A1580">
        <v>45</v>
      </c>
      <c r="B1580" t="s">
        <v>1092</v>
      </c>
      <c r="C1580" s="1">
        <v>45399</v>
      </c>
      <c r="D1580" t="s">
        <v>2075</v>
      </c>
      <c r="F1580" t="s">
        <v>2076</v>
      </c>
      <c r="G1580" t="s">
        <v>1720</v>
      </c>
      <c r="H1580" t="s">
        <v>2077</v>
      </c>
      <c r="I1580" t="s">
        <v>1983</v>
      </c>
      <c r="S1580" t="s">
        <v>1092</v>
      </c>
      <c r="T1580" s="5" t="s">
        <v>946</v>
      </c>
      <c r="U1580" s="5" t="s">
        <v>929</v>
      </c>
      <c r="V1580" t="s">
        <v>956</v>
      </c>
      <c r="W1580" t="str">
        <f t="shared" si="25"/>
        <v>SA_New_20244</v>
      </c>
      <c r="X1580" s="2" t="s">
        <v>1616</v>
      </c>
    </row>
    <row r="1581" spans="1:24" hidden="1" x14ac:dyDescent="0.35">
      <c r="A1581">
        <v>46</v>
      </c>
      <c r="B1581" t="s">
        <v>1092</v>
      </c>
      <c r="C1581" s="1">
        <v>45399</v>
      </c>
      <c r="D1581" t="s">
        <v>2078</v>
      </c>
      <c r="F1581" t="s">
        <v>2079</v>
      </c>
      <c r="G1581" t="s">
        <v>2019</v>
      </c>
      <c r="H1581" t="s">
        <v>2080</v>
      </c>
      <c r="I1581" t="s">
        <v>1993</v>
      </c>
      <c r="S1581" t="s">
        <v>1092</v>
      </c>
      <c r="T1581" s="5" t="s">
        <v>946</v>
      </c>
      <c r="U1581" s="5" t="s">
        <v>929</v>
      </c>
      <c r="V1581" t="s">
        <v>956</v>
      </c>
      <c r="W1581" t="str">
        <f t="shared" si="25"/>
        <v>SA_New_20244</v>
      </c>
      <c r="X1581" s="2" t="s">
        <v>1616</v>
      </c>
    </row>
    <row r="1582" spans="1:24" hidden="1" x14ac:dyDescent="0.35">
      <c r="A1582">
        <v>47</v>
      </c>
      <c r="B1582" t="s">
        <v>1092</v>
      </c>
      <c r="C1582" s="1">
        <v>45404</v>
      </c>
      <c r="D1582" t="s">
        <v>2081</v>
      </c>
      <c r="F1582" t="s">
        <v>1974</v>
      </c>
      <c r="G1582" t="s">
        <v>1606</v>
      </c>
      <c r="H1582" t="s">
        <v>2082</v>
      </c>
      <c r="I1582" t="s">
        <v>1976</v>
      </c>
      <c r="S1582" t="s">
        <v>1092</v>
      </c>
      <c r="T1582" s="5" t="s">
        <v>946</v>
      </c>
      <c r="U1582" s="5" t="s">
        <v>933</v>
      </c>
      <c r="V1582" t="s">
        <v>956</v>
      </c>
      <c r="W1582" t="str">
        <f t="shared" si="25"/>
        <v>SA_New_20244</v>
      </c>
      <c r="X1582" s="2" t="s">
        <v>1616</v>
      </c>
    </row>
    <row r="1583" spans="1:24" hidden="1" x14ac:dyDescent="0.35">
      <c r="A1583">
        <v>48</v>
      </c>
      <c r="B1583" t="s">
        <v>1092</v>
      </c>
      <c r="C1583" s="1">
        <v>45406</v>
      </c>
      <c r="D1583" t="s">
        <v>2083</v>
      </c>
      <c r="F1583" t="s">
        <v>1978</v>
      </c>
      <c r="G1583" t="s">
        <v>1606</v>
      </c>
      <c r="H1583" t="s">
        <v>2084</v>
      </c>
      <c r="I1583" t="s">
        <v>1993</v>
      </c>
      <c r="S1583" t="s">
        <v>1092</v>
      </c>
      <c r="T1583" s="5" t="s">
        <v>946</v>
      </c>
      <c r="U1583" s="5" t="s">
        <v>935</v>
      </c>
      <c r="V1583" t="s">
        <v>956</v>
      </c>
      <c r="W1583" t="str">
        <f t="shared" si="25"/>
        <v>SA_New_20244</v>
      </c>
      <c r="X1583" s="2" t="s">
        <v>1616</v>
      </c>
    </row>
    <row r="1584" spans="1:24" hidden="1" x14ac:dyDescent="0.35">
      <c r="A1584">
        <v>49</v>
      </c>
      <c r="B1584" t="s">
        <v>1092</v>
      </c>
      <c r="C1584" s="1">
        <v>45408</v>
      </c>
      <c r="D1584" t="s">
        <v>2085</v>
      </c>
      <c r="F1584" t="s">
        <v>2079</v>
      </c>
      <c r="G1584" t="s">
        <v>2019</v>
      </c>
      <c r="H1584" t="s">
        <v>2086</v>
      </c>
      <c r="I1584" t="s">
        <v>1993</v>
      </c>
      <c r="S1584" t="s">
        <v>1092</v>
      </c>
      <c r="T1584" s="5" t="s">
        <v>946</v>
      </c>
      <c r="U1584" s="5" t="s">
        <v>924</v>
      </c>
      <c r="V1584" t="s">
        <v>956</v>
      </c>
      <c r="W1584" t="str">
        <f t="shared" si="25"/>
        <v>SA_New_20244</v>
      </c>
      <c r="X1584" s="2" t="s">
        <v>1616</v>
      </c>
    </row>
    <row r="1585" spans="1:24" hidden="1" x14ac:dyDescent="0.35">
      <c r="A1585">
        <v>50</v>
      </c>
      <c r="B1585" t="s">
        <v>1092</v>
      </c>
      <c r="C1585" s="1">
        <v>45408</v>
      </c>
      <c r="D1585" t="s">
        <v>2087</v>
      </c>
      <c r="F1585" t="s">
        <v>2079</v>
      </c>
      <c r="G1585" t="s">
        <v>2088</v>
      </c>
      <c r="H1585" t="s">
        <v>2089</v>
      </c>
      <c r="I1585" t="s">
        <v>1993</v>
      </c>
      <c r="S1585" t="s">
        <v>1092</v>
      </c>
      <c r="T1585" s="5" t="s">
        <v>946</v>
      </c>
      <c r="U1585" s="5" t="s">
        <v>924</v>
      </c>
      <c r="V1585" t="s">
        <v>956</v>
      </c>
      <c r="W1585" t="str">
        <f t="shared" si="25"/>
        <v>SA_New_20244</v>
      </c>
      <c r="X1585" s="2" t="s">
        <v>1616</v>
      </c>
    </row>
    <row r="1586" spans="1:24" hidden="1" x14ac:dyDescent="0.35">
      <c r="A1586">
        <v>51</v>
      </c>
      <c r="B1586" t="s">
        <v>1092</v>
      </c>
      <c r="C1586" s="1">
        <v>45408</v>
      </c>
      <c r="D1586" t="s">
        <v>2090</v>
      </c>
      <c r="F1586" t="s">
        <v>1985</v>
      </c>
      <c r="G1586" t="s">
        <v>20</v>
      </c>
      <c r="H1586" t="s">
        <v>2091</v>
      </c>
      <c r="I1586" t="s">
        <v>1993</v>
      </c>
      <c r="S1586" t="s">
        <v>1092</v>
      </c>
      <c r="T1586" s="5" t="s">
        <v>946</v>
      </c>
      <c r="U1586" s="5" t="s">
        <v>924</v>
      </c>
      <c r="V1586" t="s">
        <v>956</v>
      </c>
      <c r="W1586" t="str">
        <f t="shared" si="25"/>
        <v>SA_New_20244</v>
      </c>
      <c r="X1586" s="2" t="s">
        <v>1616</v>
      </c>
    </row>
    <row r="1587" spans="1:24" hidden="1" x14ac:dyDescent="0.35">
      <c r="A1587">
        <v>52</v>
      </c>
      <c r="B1587" t="s">
        <v>1092</v>
      </c>
      <c r="C1587" s="1">
        <v>45408</v>
      </c>
      <c r="D1587" t="s">
        <v>2092</v>
      </c>
      <c r="F1587" t="s">
        <v>1978</v>
      </c>
      <c r="G1587" t="s">
        <v>1599</v>
      </c>
      <c r="H1587" t="s">
        <v>2093</v>
      </c>
      <c r="I1587" t="s">
        <v>1976</v>
      </c>
      <c r="S1587" t="s">
        <v>1092</v>
      </c>
      <c r="T1587" s="5" t="s">
        <v>946</v>
      </c>
      <c r="U1587" s="5" t="s">
        <v>924</v>
      </c>
      <c r="V1587" t="s">
        <v>956</v>
      </c>
      <c r="W1587" t="str">
        <f t="shared" si="25"/>
        <v>SA_New_20244</v>
      </c>
      <c r="X1587" s="2" t="s">
        <v>1616</v>
      </c>
    </row>
    <row r="1588" spans="1:24" hidden="1" x14ac:dyDescent="0.35">
      <c r="A1588">
        <v>53</v>
      </c>
      <c r="B1588" t="s">
        <v>1092</v>
      </c>
      <c r="C1588" s="1">
        <v>45415</v>
      </c>
      <c r="D1588" t="s">
        <v>2094</v>
      </c>
      <c r="F1588" t="s">
        <v>1978</v>
      </c>
      <c r="G1588" t="s">
        <v>1606</v>
      </c>
      <c r="H1588" t="s">
        <v>2095</v>
      </c>
      <c r="I1588" t="s">
        <v>1993</v>
      </c>
      <c r="S1588" t="s">
        <v>1092</v>
      </c>
      <c r="T1588" s="5" t="s">
        <v>947</v>
      </c>
      <c r="U1588" s="5" t="s">
        <v>941</v>
      </c>
      <c r="V1588" t="s">
        <v>956</v>
      </c>
      <c r="W1588" t="str">
        <f t="shared" si="25"/>
        <v>SA_New_20245</v>
      </c>
      <c r="X1588" s="2" t="s">
        <v>1616</v>
      </c>
    </row>
    <row r="1589" spans="1:24" hidden="1" x14ac:dyDescent="0.35">
      <c r="A1589">
        <v>54</v>
      </c>
      <c r="B1589" t="s">
        <v>1092</v>
      </c>
      <c r="C1589" s="1">
        <v>45420</v>
      </c>
      <c r="D1589" t="s">
        <v>2096</v>
      </c>
      <c r="F1589" t="s">
        <v>1978</v>
      </c>
      <c r="G1589" t="s">
        <v>1753</v>
      </c>
      <c r="H1589" t="s">
        <v>2097</v>
      </c>
      <c r="I1589" t="s">
        <v>1993</v>
      </c>
      <c r="S1589" t="s">
        <v>1092</v>
      </c>
      <c r="T1589" s="5" t="s">
        <v>947</v>
      </c>
      <c r="U1589" s="5" t="s">
        <v>940</v>
      </c>
      <c r="V1589" t="s">
        <v>956</v>
      </c>
      <c r="W1589" t="str">
        <f t="shared" si="25"/>
        <v>SA_New_20245</v>
      </c>
      <c r="X1589" s="2" t="s">
        <v>1616</v>
      </c>
    </row>
    <row r="1590" spans="1:24" hidden="1" x14ac:dyDescent="0.35">
      <c r="A1590">
        <v>55</v>
      </c>
      <c r="B1590" t="s">
        <v>1092</v>
      </c>
      <c r="C1590" s="1">
        <v>45420</v>
      </c>
      <c r="D1590" t="s">
        <v>2098</v>
      </c>
      <c r="F1590" t="s">
        <v>1981</v>
      </c>
      <c r="G1590" t="s">
        <v>1606</v>
      </c>
      <c r="H1590" t="s">
        <v>2099</v>
      </c>
      <c r="I1590" t="s">
        <v>1983</v>
      </c>
      <c r="S1590" t="s">
        <v>1092</v>
      </c>
      <c r="T1590" s="5" t="s">
        <v>947</v>
      </c>
      <c r="U1590" s="5" t="s">
        <v>940</v>
      </c>
      <c r="V1590" t="s">
        <v>956</v>
      </c>
      <c r="W1590" t="str">
        <f t="shared" si="25"/>
        <v>SA_New_20245</v>
      </c>
      <c r="X1590" s="2" t="s">
        <v>1616</v>
      </c>
    </row>
    <row r="1591" spans="1:24" hidden="1" x14ac:dyDescent="0.35">
      <c r="A1591">
        <v>56</v>
      </c>
      <c r="B1591" t="s">
        <v>1092</v>
      </c>
      <c r="C1591" s="1">
        <v>45420</v>
      </c>
      <c r="D1591" t="s">
        <v>2100</v>
      </c>
      <c r="F1591" t="s">
        <v>1991</v>
      </c>
      <c r="G1591" t="s">
        <v>1606</v>
      </c>
      <c r="H1591" t="s">
        <v>2101</v>
      </c>
      <c r="I1591" t="s">
        <v>1993</v>
      </c>
      <c r="S1591" t="s">
        <v>1092</v>
      </c>
      <c r="T1591" s="5" t="s">
        <v>947</v>
      </c>
      <c r="U1591" s="5" t="s">
        <v>940</v>
      </c>
      <c r="V1591" t="s">
        <v>956</v>
      </c>
      <c r="W1591" t="str">
        <f t="shared" si="25"/>
        <v>SA_New_20245</v>
      </c>
      <c r="X1591" s="2" t="s">
        <v>1616</v>
      </c>
    </row>
    <row r="1592" spans="1:24" hidden="1" x14ac:dyDescent="0.35">
      <c r="A1592">
        <v>57</v>
      </c>
      <c r="B1592" t="s">
        <v>1092</v>
      </c>
      <c r="C1592" s="1">
        <v>45420</v>
      </c>
      <c r="D1592" t="s">
        <v>2102</v>
      </c>
      <c r="F1592" t="s">
        <v>1991</v>
      </c>
      <c r="G1592" t="s">
        <v>1609</v>
      </c>
      <c r="H1592" t="s">
        <v>2103</v>
      </c>
      <c r="I1592" t="s">
        <v>1993</v>
      </c>
      <c r="S1592" t="s">
        <v>1092</v>
      </c>
      <c r="T1592" s="5" t="s">
        <v>947</v>
      </c>
      <c r="U1592" s="5" t="s">
        <v>940</v>
      </c>
      <c r="V1592" t="s">
        <v>956</v>
      </c>
      <c r="W1592" t="str">
        <f t="shared" si="25"/>
        <v>SA_New_20245</v>
      </c>
      <c r="X1592" s="2" t="s">
        <v>1616</v>
      </c>
    </row>
    <row r="1593" spans="1:24" hidden="1" x14ac:dyDescent="0.35">
      <c r="A1593">
        <v>1</v>
      </c>
      <c r="B1593" t="s">
        <v>1092</v>
      </c>
      <c r="C1593" s="1">
        <v>44233</v>
      </c>
      <c r="D1593" t="s">
        <v>1280</v>
      </c>
      <c r="S1593" s="3" t="s">
        <v>1092</v>
      </c>
      <c r="T1593" s="6" t="s">
        <v>921</v>
      </c>
      <c r="U1593" s="6" t="s">
        <v>927</v>
      </c>
      <c r="V1593" s="2" t="s">
        <v>952</v>
      </c>
      <c r="W1593" t="str">
        <f t="shared" si="25"/>
        <v>SA_New_20212</v>
      </c>
      <c r="X1593" s="2" t="s">
        <v>1615</v>
      </c>
    </row>
    <row r="1594" spans="1:24" hidden="1" x14ac:dyDescent="0.35">
      <c r="A1594">
        <v>1</v>
      </c>
      <c r="B1594" t="s">
        <v>1092</v>
      </c>
      <c r="C1594" s="1">
        <v>44567</v>
      </c>
      <c r="D1594" t="s">
        <v>1373</v>
      </c>
      <c r="S1594" s="3" t="s">
        <v>1092</v>
      </c>
      <c r="T1594" s="6" t="s">
        <v>953</v>
      </c>
      <c r="U1594" s="6" t="s">
        <v>927</v>
      </c>
      <c r="V1594" s="2" t="s">
        <v>954</v>
      </c>
      <c r="W1594" t="str">
        <f t="shared" si="25"/>
        <v>SA_New_20221</v>
      </c>
      <c r="X1594" s="2" t="s">
        <v>1615</v>
      </c>
    </row>
    <row r="1595" spans="1:24" hidden="1" x14ac:dyDescent="0.35">
      <c r="A1595">
        <v>1</v>
      </c>
      <c r="B1595" t="s">
        <v>1092</v>
      </c>
      <c r="C1595" s="1">
        <v>44932</v>
      </c>
      <c r="D1595" t="s">
        <v>1096</v>
      </c>
      <c r="S1595" s="3" t="s">
        <v>1092</v>
      </c>
      <c r="T1595" s="6" t="s">
        <v>953</v>
      </c>
      <c r="U1595" s="6" t="s">
        <v>927</v>
      </c>
      <c r="V1595" s="2" t="s">
        <v>955</v>
      </c>
      <c r="W1595" t="str">
        <f t="shared" si="25"/>
        <v>SA_New_20231</v>
      </c>
      <c r="X1595" s="2" t="s">
        <v>1615</v>
      </c>
    </row>
    <row r="1596" spans="1:24" hidden="1" x14ac:dyDescent="0.35">
      <c r="A1596">
        <v>52</v>
      </c>
      <c r="B1596" t="s">
        <v>1092</v>
      </c>
      <c r="C1596" s="1">
        <v>45581</v>
      </c>
      <c r="D1596" t="s">
        <v>2272</v>
      </c>
      <c r="F1596" t="s">
        <v>1981</v>
      </c>
      <c r="G1596" t="s">
        <v>20</v>
      </c>
      <c r="H1596" t="s">
        <v>2273</v>
      </c>
      <c r="I1596" t="s">
        <v>1993</v>
      </c>
      <c r="S1596" t="s">
        <v>1092</v>
      </c>
      <c r="T1596" s="6" t="s">
        <v>948</v>
      </c>
      <c r="U1596" s="6" t="s">
        <v>928</v>
      </c>
      <c r="V1596" s="2" t="s">
        <v>956</v>
      </c>
      <c r="W1596" t="str">
        <f t="shared" si="25"/>
        <v>SA_New_202410</v>
      </c>
      <c r="X1596" s="2" t="s">
        <v>1615</v>
      </c>
    </row>
    <row r="1597" spans="1:24" hidden="1" x14ac:dyDescent="0.35">
      <c r="A1597">
        <v>2</v>
      </c>
      <c r="B1597" t="s">
        <v>1092</v>
      </c>
      <c r="C1597" s="1">
        <v>44251</v>
      </c>
      <c r="D1597" t="s">
        <v>1281</v>
      </c>
      <c r="S1597" s="3" t="s">
        <v>1092</v>
      </c>
      <c r="T1597" s="6" t="s">
        <v>921</v>
      </c>
      <c r="U1597" s="6" t="s">
        <v>935</v>
      </c>
      <c r="V1597" s="2" t="s">
        <v>952</v>
      </c>
      <c r="W1597" t="str">
        <f t="shared" si="25"/>
        <v>SA_New_20212</v>
      </c>
      <c r="X1597" s="2" t="s">
        <v>1615</v>
      </c>
    </row>
    <row r="1598" spans="1:24" hidden="1" x14ac:dyDescent="0.35">
      <c r="A1598">
        <v>2</v>
      </c>
      <c r="B1598" t="s">
        <v>1092</v>
      </c>
      <c r="C1598" s="1">
        <v>44578</v>
      </c>
      <c r="D1598" t="s">
        <v>1374</v>
      </c>
      <c r="S1598" s="3" t="s">
        <v>1092</v>
      </c>
      <c r="T1598" s="6" t="s">
        <v>953</v>
      </c>
      <c r="U1598" s="6" t="s">
        <v>929</v>
      </c>
      <c r="V1598" s="2" t="s">
        <v>954</v>
      </c>
      <c r="W1598" t="str">
        <f t="shared" si="25"/>
        <v>SA_New_20221</v>
      </c>
      <c r="X1598" s="2" t="s">
        <v>1615</v>
      </c>
    </row>
    <row r="1599" spans="1:24" hidden="1" x14ac:dyDescent="0.35">
      <c r="A1599">
        <v>2</v>
      </c>
      <c r="B1599" t="s">
        <v>1092</v>
      </c>
      <c r="C1599" s="1">
        <v>44936</v>
      </c>
      <c r="D1599" t="s">
        <v>1097</v>
      </c>
      <c r="S1599" s="3" t="s">
        <v>1092</v>
      </c>
      <c r="T1599" s="6" t="s">
        <v>953</v>
      </c>
      <c r="U1599" s="6" t="s">
        <v>948</v>
      </c>
      <c r="V1599" s="2" t="s">
        <v>955</v>
      </c>
      <c r="W1599" t="str">
        <f t="shared" si="25"/>
        <v>SA_New_20231</v>
      </c>
      <c r="X1599" s="2" t="s">
        <v>1615</v>
      </c>
    </row>
    <row r="1600" spans="1:24" hidden="1" x14ac:dyDescent="0.35">
      <c r="A1600">
        <v>3</v>
      </c>
      <c r="B1600" t="s">
        <v>1092</v>
      </c>
      <c r="C1600" s="1">
        <v>44251</v>
      </c>
      <c r="D1600" t="s">
        <v>1282</v>
      </c>
      <c r="S1600" s="3" t="s">
        <v>1092</v>
      </c>
      <c r="T1600" s="6" t="s">
        <v>921</v>
      </c>
      <c r="U1600" s="6" t="s">
        <v>935</v>
      </c>
      <c r="V1600" s="2" t="s">
        <v>952</v>
      </c>
      <c r="W1600" t="str">
        <f t="shared" si="25"/>
        <v>SA_New_20212</v>
      </c>
      <c r="X1600" s="2" t="s">
        <v>1615</v>
      </c>
    </row>
    <row r="1601" spans="1:24" hidden="1" x14ac:dyDescent="0.35">
      <c r="A1601">
        <v>3</v>
      </c>
      <c r="B1601" t="s">
        <v>1092</v>
      </c>
      <c r="C1601" s="1">
        <v>44568</v>
      </c>
      <c r="D1601" t="s">
        <v>1375</v>
      </c>
      <c r="S1601" s="3" t="s">
        <v>1092</v>
      </c>
      <c r="T1601" s="6" t="s">
        <v>953</v>
      </c>
      <c r="U1601" s="6" t="s">
        <v>936</v>
      </c>
      <c r="V1601" s="2" t="s">
        <v>954</v>
      </c>
      <c r="W1601" t="str">
        <f t="shared" si="25"/>
        <v>SA_New_20221</v>
      </c>
      <c r="X1601" s="2" t="s">
        <v>1615</v>
      </c>
    </row>
    <row r="1602" spans="1:24" hidden="1" x14ac:dyDescent="0.35">
      <c r="A1602">
        <v>3</v>
      </c>
      <c r="B1602" t="s">
        <v>1092</v>
      </c>
      <c r="C1602" s="1">
        <v>44965</v>
      </c>
      <c r="D1602" t="s">
        <v>1098</v>
      </c>
      <c r="S1602" s="3" t="s">
        <v>1092</v>
      </c>
      <c r="T1602" s="6" t="s">
        <v>921</v>
      </c>
      <c r="U1602" s="6" t="s">
        <v>940</v>
      </c>
      <c r="V1602" s="2" t="s">
        <v>955</v>
      </c>
      <c r="W1602" t="str">
        <f t="shared" ref="W1602:W1665" si="26">CONCATENATE(B1602,"_",V1602,T1602)</f>
        <v>SA_New_20232</v>
      </c>
      <c r="X1602" s="2" t="s">
        <v>1615</v>
      </c>
    </row>
    <row r="1603" spans="1:24" hidden="1" x14ac:dyDescent="0.35">
      <c r="A1603">
        <v>4</v>
      </c>
      <c r="B1603" t="s">
        <v>1092</v>
      </c>
      <c r="C1603" s="1">
        <v>44263</v>
      </c>
      <c r="D1603" t="s">
        <v>1283</v>
      </c>
      <c r="S1603" s="3" t="s">
        <v>1092</v>
      </c>
      <c r="T1603" s="6" t="s">
        <v>941</v>
      </c>
      <c r="U1603" s="6" t="s">
        <v>940</v>
      </c>
      <c r="V1603" s="2" t="s">
        <v>952</v>
      </c>
      <c r="W1603" t="str">
        <f t="shared" si="26"/>
        <v>SA_New_20213</v>
      </c>
      <c r="X1603" s="2" t="s">
        <v>1615</v>
      </c>
    </row>
    <row r="1604" spans="1:24" hidden="1" x14ac:dyDescent="0.35">
      <c r="A1604">
        <v>4</v>
      </c>
      <c r="B1604" t="s">
        <v>1092</v>
      </c>
      <c r="C1604" s="1">
        <v>44581</v>
      </c>
      <c r="D1604" t="s">
        <v>1376</v>
      </c>
      <c r="S1604" s="3" t="s">
        <v>1092</v>
      </c>
      <c r="T1604" s="6" t="s">
        <v>953</v>
      </c>
      <c r="U1604" s="6" t="s">
        <v>932</v>
      </c>
      <c r="V1604" s="2" t="s">
        <v>954</v>
      </c>
      <c r="W1604" t="str">
        <f t="shared" si="26"/>
        <v>SA_New_20221</v>
      </c>
      <c r="X1604" s="2" t="s">
        <v>1615</v>
      </c>
    </row>
    <row r="1605" spans="1:24" hidden="1" x14ac:dyDescent="0.35">
      <c r="A1605">
        <v>4</v>
      </c>
      <c r="B1605" t="s">
        <v>1092</v>
      </c>
      <c r="C1605" s="1">
        <v>44966</v>
      </c>
      <c r="D1605" t="s">
        <v>1099</v>
      </c>
      <c r="S1605" s="3" t="s">
        <v>1092</v>
      </c>
      <c r="T1605" s="6" t="s">
        <v>921</v>
      </c>
      <c r="U1605" s="6" t="s">
        <v>942</v>
      </c>
      <c r="V1605" s="2" t="s">
        <v>955</v>
      </c>
      <c r="W1605" t="str">
        <f t="shared" si="26"/>
        <v>SA_New_20232</v>
      </c>
      <c r="X1605" s="2" t="s">
        <v>1615</v>
      </c>
    </row>
    <row r="1606" spans="1:24" hidden="1" x14ac:dyDescent="0.35">
      <c r="A1606">
        <v>5</v>
      </c>
      <c r="B1606" t="s">
        <v>1092</v>
      </c>
      <c r="C1606" s="1">
        <v>44266</v>
      </c>
      <c r="D1606" t="s">
        <v>1284</v>
      </c>
      <c r="S1606" s="3" t="s">
        <v>1092</v>
      </c>
      <c r="T1606" s="6" t="s">
        <v>941</v>
      </c>
      <c r="U1606" s="6" t="s">
        <v>945</v>
      </c>
      <c r="V1606" s="2" t="s">
        <v>952</v>
      </c>
      <c r="W1606" t="str">
        <f t="shared" si="26"/>
        <v>SA_New_20213</v>
      </c>
      <c r="X1606" s="2" t="s">
        <v>1615</v>
      </c>
    </row>
    <row r="1607" spans="1:24" hidden="1" x14ac:dyDescent="0.35">
      <c r="A1607">
        <v>5</v>
      </c>
      <c r="B1607" t="s">
        <v>1092</v>
      </c>
      <c r="C1607" s="1">
        <v>44583</v>
      </c>
      <c r="D1607" t="s">
        <v>1377</v>
      </c>
      <c r="S1607" s="3" t="s">
        <v>1092</v>
      </c>
      <c r="T1607" s="6" t="s">
        <v>953</v>
      </c>
      <c r="U1607" s="6" t="s">
        <v>933</v>
      </c>
      <c r="V1607" s="2" t="s">
        <v>954</v>
      </c>
      <c r="W1607" t="str">
        <f t="shared" si="26"/>
        <v>SA_New_20221</v>
      </c>
      <c r="X1607" s="2" t="s">
        <v>1615</v>
      </c>
    </row>
    <row r="1608" spans="1:24" hidden="1" x14ac:dyDescent="0.35">
      <c r="A1608">
        <v>5</v>
      </c>
      <c r="B1608" t="s">
        <v>1092</v>
      </c>
      <c r="C1608" s="1">
        <v>44966</v>
      </c>
      <c r="D1608" t="s">
        <v>1100</v>
      </c>
      <c r="S1608" s="3" t="s">
        <v>1092</v>
      </c>
      <c r="T1608" s="6" t="s">
        <v>921</v>
      </c>
      <c r="U1608" s="6" t="s">
        <v>942</v>
      </c>
      <c r="V1608" s="2" t="s">
        <v>955</v>
      </c>
      <c r="W1608" t="str">
        <f t="shared" si="26"/>
        <v>SA_New_20232</v>
      </c>
      <c r="X1608" s="2" t="s">
        <v>1615</v>
      </c>
    </row>
    <row r="1609" spans="1:24" hidden="1" x14ac:dyDescent="0.35">
      <c r="A1609">
        <v>6</v>
      </c>
      <c r="B1609" t="s">
        <v>1092</v>
      </c>
      <c r="C1609" s="1">
        <v>44266</v>
      </c>
      <c r="D1609" t="s">
        <v>1285</v>
      </c>
      <c r="S1609" s="3" t="s">
        <v>1092</v>
      </c>
      <c r="T1609" s="6" t="s">
        <v>941</v>
      </c>
      <c r="U1609" s="6" t="s">
        <v>945</v>
      </c>
      <c r="V1609" s="2" t="s">
        <v>952</v>
      </c>
      <c r="W1609" t="str">
        <f t="shared" si="26"/>
        <v>SA_New_20213</v>
      </c>
      <c r="X1609" s="2" t="s">
        <v>1615</v>
      </c>
    </row>
    <row r="1610" spans="1:24" hidden="1" x14ac:dyDescent="0.35">
      <c r="A1610">
        <v>6</v>
      </c>
      <c r="B1610" t="s">
        <v>1092</v>
      </c>
      <c r="C1610" s="1">
        <v>44584</v>
      </c>
      <c r="D1610" t="s">
        <v>1378</v>
      </c>
      <c r="S1610" s="3" t="s">
        <v>1092</v>
      </c>
      <c r="T1610" s="6" t="s">
        <v>953</v>
      </c>
      <c r="U1610" s="6" t="s">
        <v>934</v>
      </c>
      <c r="V1610" s="2" t="s">
        <v>954</v>
      </c>
      <c r="W1610" t="str">
        <f t="shared" si="26"/>
        <v>SA_New_20221</v>
      </c>
      <c r="X1610" s="2" t="s">
        <v>1615</v>
      </c>
    </row>
    <row r="1611" spans="1:24" hidden="1" x14ac:dyDescent="0.35">
      <c r="A1611">
        <v>6</v>
      </c>
      <c r="B1611" t="s">
        <v>1092</v>
      </c>
      <c r="C1611" s="1">
        <v>44970</v>
      </c>
      <c r="D1611" t="s">
        <v>1101</v>
      </c>
      <c r="S1611" s="3" t="s">
        <v>1092</v>
      </c>
      <c r="T1611" s="6" t="s">
        <v>921</v>
      </c>
      <c r="U1611" s="6" t="s">
        <v>950</v>
      </c>
      <c r="V1611" s="2" t="s">
        <v>955</v>
      </c>
      <c r="W1611" t="str">
        <f t="shared" si="26"/>
        <v>SA_New_20232</v>
      </c>
      <c r="X1611" s="2" t="s">
        <v>1615</v>
      </c>
    </row>
    <row r="1612" spans="1:24" hidden="1" x14ac:dyDescent="0.35">
      <c r="A1612">
        <v>7</v>
      </c>
      <c r="B1612" t="s">
        <v>1092</v>
      </c>
      <c r="C1612" s="1">
        <v>44271</v>
      </c>
      <c r="D1612" t="s">
        <v>1286</v>
      </c>
      <c r="S1612" s="3" t="s">
        <v>1092</v>
      </c>
      <c r="T1612" s="6" t="s">
        <v>941</v>
      </c>
      <c r="U1612" s="6" t="s">
        <v>928</v>
      </c>
      <c r="V1612" s="2" t="s">
        <v>952</v>
      </c>
      <c r="W1612" t="str">
        <f t="shared" si="26"/>
        <v>SA_New_20213</v>
      </c>
      <c r="X1612" s="2" t="s">
        <v>1615</v>
      </c>
    </row>
    <row r="1613" spans="1:24" hidden="1" x14ac:dyDescent="0.35">
      <c r="A1613">
        <v>7</v>
      </c>
      <c r="B1613" t="s">
        <v>1092</v>
      </c>
      <c r="C1613" s="1">
        <v>44586</v>
      </c>
      <c r="D1613" t="s">
        <v>1379</v>
      </c>
      <c r="S1613" s="3" t="s">
        <v>1092</v>
      </c>
      <c r="T1613" s="6" t="s">
        <v>953</v>
      </c>
      <c r="U1613" s="6" t="s">
        <v>922</v>
      </c>
      <c r="V1613" s="2" t="s">
        <v>954</v>
      </c>
      <c r="W1613" t="str">
        <f t="shared" si="26"/>
        <v>SA_New_20221</v>
      </c>
      <c r="X1613" s="2" t="s">
        <v>1615</v>
      </c>
    </row>
    <row r="1614" spans="1:24" hidden="1" x14ac:dyDescent="0.35">
      <c r="A1614">
        <v>7</v>
      </c>
      <c r="B1614" t="s">
        <v>1092</v>
      </c>
      <c r="C1614" s="1">
        <v>44970</v>
      </c>
      <c r="D1614" t="s">
        <v>1102</v>
      </c>
      <c r="S1614" s="3" t="s">
        <v>1092</v>
      </c>
      <c r="T1614" s="6" t="s">
        <v>921</v>
      </c>
      <c r="U1614" s="6" t="s">
        <v>950</v>
      </c>
      <c r="V1614" s="2" t="s">
        <v>955</v>
      </c>
      <c r="W1614" t="str">
        <f t="shared" si="26"/>
        <v>SA_New_20232</v>
      </c>
      <c r="X1614" s="2" t="s">
        <v>1615</v>
      </c>
    </row>
    <row r="1615" spans="1:24" hidden="1" x14ac:dyDescent="0.35">
      <c r="A1615">
        <v>8</v>
      </c>
      <c r="B1615" t="s">
        <v>1092</v>
      </c>
      <c r="C1615" s="1">
        <v>44270</v>
      </c>
      <c r="D1615" t="s">
        <v>1287</v>
      </c>
      <c r="S1615" s="3" t="s">
        <v>1092</v>
      </c>
      <c r="T1615" s="6" t="s">
        <v>941</v>
      </c>
      <c r="U1615" s="6" t="s">
        <v>943</v>
      </c>
      <c r="V1615" s="2" t="s">
        <v>952</v>
      </c>
      <c r="W1615" t="str">
        <f t="shared" si="26"/>
        <v>SA_New_20213</v>
      </c>
      <c r="X1615" s="2" t="s">
        <v>1615</v>
      </c>
    </row>
    <row r="1616" spans="1:24" hidden="1" x14ac:dyDescent="0.35">
      <c r="A1616">
        <v>8</v>
      </c>
      <c r="B1616" t="s">
        <v>1092</v>
      </c>
      <c r="C1616" s="1">
        <v>44586</v>
      </c>
      <c r="D1616" t="s">
        <v>1380</v>
      </c>
      <c r="S1616" s="3" t="s">
        <v>1092</v>
      </c>
      <c r="T1616" s="6" t="s">
        <v>953</v>
      </c>
      <c r="U1616" s="6" t="s">
        <v>922</v>
      </c>
      <c r="V1616" s="2" t="s">
        <v>954</v>
      </c>
      <c r="W1616" t="str">
        <f t="shared" si="26"/>
        <v>SA_New_20221</v>
      </c>
      <c r="X1616" s="2" t="s">
        <v>1615</v>
      </c>
    </row>
    <row r="1617" spans="1:24" hidden="1" x14ac:dyDescent="0.35">
      <c r="A1617">
        <v>8</v>
      </c>
      <c r="B1617" t="s">
        <v>1092</v>
      </c>
      <c r="C1617" s="1">
        <v>44973</v>
      </c>
      <c r="D1617" t="s">
        <v>1103</v>
      </c>
      <c r="S1617" s="3" t="s">
        <v>1092</v>
      </c>
      <c r="T1617" s="6" t="s">
        <v>921</v>
      </c>
      <c r="U1617" s="6" t="s">
        <v>928</v>
      </c>
      <c r="V1617" s="2" t="s">
        <v>955</v>
      </c>
      <c r="W1617" t="str">
        <f t="shared" si="26"/>
        <v>SA_New_20232</v>
      </c>
      <c r="X1617" s="2" t="s">
        <v>1615</v>
      </c>
    </row>
    <row r="1618" spans="1:24" hidden="1" x14ac:dyDescent="0.35">
      <c r="A1618">
        <v>9</v>
      </c>
      <c r="B1618" t="s">
        <v>1092</v>
      </c>
      <c r="C1618" s="1">
        <v>44271</v>
      </c>
      <c r="D1618" t="s">
        <v>1288</v>
      </c>
      <c r="S1618" s="3" t="s">
        <v>1092</v>
      </c>
      <c r="T1618" s="6" t="s">
        <v>941</v>
      </c>
      <c r="U1618" s="6" t="s">
        <v>928</v>
      </c>
      <c r="V1618" s="2" t="s">
        <v>952</v>
      </c>
      <c r="W1618" t="str">
        <f t="shared" si="26"/>
        <v>SA_New_20213</v>
      </c>
      <c r="X1618" s="2" t="s">
        <v>1615</v>
      </c>
    </row>
    <row r="1619" spans="1:24" hidden="1" x14ac:dyDescent="0.35">
      <c r="A1619">
        <v>9</v>
      </c>
      <c r="B1619" t="s">
        <v>1092</v>
      </c>
      <c r="C1619" s="1">
        <v>44586</v>
      </c>
      <c r="D1619" t="s">
        <v>385</v>
      </c>
      <c r="S1619" s="3" t="s">
        <v>1092</v>
      </c>
      <c r="T1619" s="6" t="s">
        <v>953</v>
      </c>
      <c r="U1619" s="6" t="s">
        <v>922</v>
      </c>
      <c r="V1619" s="2" t="s">
        <v>954</v>
      </c>
      <c r="W1619" t="str">
        <f t="shared" si="26"/>
        <v>SA_New_20221</v>
      </c>
      <c r="X1619" s="2" t="s">
        <v>1615</v>
      </c>
    </row>
    <row r="1620" spans="1:24" hidden="1" x14ac:dyDescent="0.35">
      <c r="A1620">
        <v>9</v>
      </c>
      <c r="B1620" t="s">
        <v>1092</v>
      </c>
      <c r="C1620" s="1">
        <v>44973</v>
      </c>
      <c r="D1620" t="s">
        <v>1104</v>
      </c>
      <c r="S1620" s="3" t="s">
        <v>1092</v>
      </c>
      <c r="T1620" s="6" t="s">
        <v>921</v>
      </c>
      <c r="U1620" s="6" t="s">
        <v>928</v>
      </c>
      <c r="V1620" s="2" t="s">
        <v>955</v>
      </c>
      <c r="W1620" t="str">
        <f t="shared" si="26"/>
        <v>SA_New_20232</v>
      </c>
      <c r="X1620" s="2" t="s">
        <v>1615</v>
      </c>
    </row>
    <row r="1621" spans="1:24" hidden="1" x14ac:dyDescent="0.35">
      <c r="A1621">
        <v>10</v>
      </c>
      <c r="B1621" t="s">
        <v>1092</v>
      </c>
      <c r="C1621" s="1">
        <v>44282</v>
      </c>
      <c r="D1621" t="s">
        <v>1289</v>
      </c>
      <c r="S1621" s="3" t="s">
        <v>1092</v>
      </c>
      <c r="T1621" s="6" t="s">
        <v>941</v>
      </c>
      <c r="U1621" s="6" t="s">
        <v>925</v>
      </c>
      <c r="V1621" s="2" t="s">
        <v>952</v>
      </c>
      <c r="W1621" t="str">
        <f t="shared" si="26"/>
        <v>SA_New_20213</v>
      </c>
      <c r="X1621" s="2" t="s">
        <v>1615</v>
      </c>
    </row>
    <row r="1622" spans="1:24" hidden="1" x14ac:dyDescent="0.35">
      <c r="A1622">
        <v>10</v>
      </c>
      <c r="B1622" t="s">
        <v>1092</v>
      </c>
      <c r="C1622" s="1">
        <v>44601</v>
      </c>
      <c r="D1622" t="s">
        <v>1381</v>
      </c>
      <c r="S1622" s="3" t="s">
        <v>1092</v>
      </c>
      <c r="T1622" s="6" t="s">
        <v>921</v>
      </c>
      <c r="U1622" s="6" t="s">
        <v>942</v>
      </c>
      <c r="V1622" s="2" t="s">
        <v>954</v>
      </c>
      <c r="W1622" t="str">
        <f t="shared" si="26"/>
        <v>SA_New_20222</v>
      </c>
      <c r="X1622" s="2" t="s">
        <v>1615</v>
      </c>
    </row>
    <row r="1623" spans="1:24" hidden="1" x14ac:dyDescent="0.35">
      <c r="A1623">
        <v>10</v>
      </c>
      <c r="B1623" t="s">
        <v>1092</v>
      </c>
      <c r="C1623" s="1">
        <v>44973</v>
      </c>
      <c r="D1623" t="s">
        <v>1105</v>
      </c>
      <c r="S1623" s="3" t="s">
        <v>1092</v>
      </c>
      <c r="T1623" s="6" t="s">
        <v>921</v>
      </c>
      <c r="U1623" s="6" t="s">
        <v>928</v>
      </c>
      <c r="V1623" s="2" t="s">
        <v>955</v>
      </c>
      <c r="W1623" t="str">
        <f t="shared" si="26"/>
        <v>SA_New_20232</v>
      </c>
      <c r="X1623" s="2" t="s">
        <v>1615</v>
      </c>
    </row>
    <row r="1624" spans="1:24" hidden="1" x14ac:dyDescent="0.35">
      <c r="A1624">
        <v>11</v>
      </c>
      <c r="B1624" t="s">
        <v>1092</v>
      </c>
      <c r="C1624" s="1">
        <v>44292</v>
      </c>
      <c r="D1624" t="s">
        <v>1290</v>
      </c>
      <c r="S1624" s="3" t="s">
        <v>1092</v>
      </c>
      <c r="T1624" s="6" t="s">
        <v>946</v>
      </c>
      <c r="U1624" s="6" t="s">
        <v>927</v>
      </c>
      <c r="V1624" s="2" t="s">
        <v>952</v>
      </c>
      <c r="W1624" t="str">
        <f t="shared" si="26"/>
        <v>SA_New_20214</v>
      </c>
      <c r="X1624" s="2" t="s">
        <v>1615</v>
      </c>
    </row>
    <row r="1625" spans="1:24" hidden="1" x14ac:dyDescent="0.35">
      <c r="A1625">
        <v>11</v>
      </c>
      <c r="B1625" t="s">
        <v>1092</v>
      </c>
      <c r="C1625" s="1">
        <v>44602</v>
      </c>
      <c r="D1625" t="s">
        <v>1382</v>
      </c>
      <c r="S1625" s="3" t="s">
        <v>1092</v>
      </c>
      <c r="T1625" s="6" t="s">
        <v>921</v>
      </c>
      <c r="U1625" s="6" t="s">
        <v>948</v>
      </c>
      <c r="V1625" s="2" t="s">
        <v>954</v>
      </c>
      <c r="W1625" t="str">
        <f t="shared" si="26"/>
        <v>SA_New_20222</v>
      </c>
      <c r="X1625" s="2" t="s">
        <v>1615</v>
      </c>
    </row>
    <row r="1626" spans="1:24" hidden="1" x14ac:dyDescent="0.35">
      <c r="A1626">
        <v>11</v>
      </c>
      <c r="B1626" t="s">
        <v>1092</v>
      </c>
      <c r="C1626" s="1">
        <v>45002</v>
      </c>
      <c r="D1626" t="s">
        <v>1106</v>
      </c>
      <c r="S1626" s="3" t="s">
        <v>1092</v>
      </c>
      <c r="T1626" s="6" t="s">
        <v>941</v>
      </c>
      <c r="U1626" s="6" t="s">
        <v>929</v>
      </c>
      <c r="V1626" s="2" t="s">
        <v>955</v>
      </c>
      <c r="W1626" t="str">
        <f t="shared" si="26"/>
        <v>SA_New_20233</v>
      </c>
      <c r="X1626" s="2" t="s">
        <v>1615</v>
      </c>
    </row>
    <row r="1627" spans="1:24" hidden="1" x14ac:dyDescent="0.35">
      <c r="A1627">
        <v>12</v>
      </c>
      <c r="B1627" t="s">
        <v>1092</v>
      </c>
      <c r="C1627" s="1">
        <v>44292</v>
      </c>
      <c r="D1627" t="s">
        <v>421</v>
      </c>
      <c r="S1627" s="3" t="s">
        <v>1092</v>
      </c>
      <c r="T1627" s="6" t="s">
        <v>946</v>
      </c>
      <c r="U1627" s="6" t="s">
        <v>927</v>
      </c>
      <c r="V1627" s="2" t="s">
        <v>952</v>
      </c>
      <c r="W1627" t="str">
        <f t="shared" si="26"/>
        <v>SA_New_20214</v>
      </c>
      <c r="X1627" s="2" t="s">
        <v>1615</v>
      </c>
    </row>
    <row r="1628" spans="1:24" hidden="1" x14ac:dyDescent="0.35">
      <c r="A1628">
        <v>12</v>
      </c>
      <c r="B1628" t="s">
        <v>1092</v>
      </c>
      <c r="C1628" s="1">
        <v>44606</v>
      </c>
      <c r="D1628" t="s">
        <v>1383</v>
      </c>
      <c r="S1628" s="3" t="s">
        <v>1092</v>
      </c>
      <c r="T1628" s="6" t="s">
        <v>921</v>
      </c>
      <c r="U1628" s="6" t="s">
        <v>951</v>
      </c>
      <c r="V1628" s="2" t="s">
        <v>954</v>
      </c>
      <c r="W1628" t="str">
        <f t="shared" si="26"/>
        <v>SA_New_20222</v>
      </c>
      <c r="X1628" s="2" t="s">
        <v>1615</v>
      </c>
    </row>
    <row r="1629" spans="1:24" hidden="1" x14ac:dyDescent="0.35">
      <c r="A1629">
        <v>12</v>
      </c>
      <c r="B1629" t="s">
        <v>1092</v>
      </c>
      <c r="C1629" s="1">
        <v>45002</v>
      </c>
      <c r="D1629" t="s">
        <v>1107</v>
      </c>
      <c r="S1629" s="3" t="s">
        <v>1092</v>
      </c>
      <c r="T1629" s="6" t="s">
        <v>941</v>
      </c>
      <c r="U1629" s="6" t="s">
        <v>929</v>
      </c>
      <c r="V1629" s="2" t="s">
        <v>955</v>
      </c>
      <c r="W1629" t="str">
        <f t="shared" si="26"/>
        <v>SA_New_20233</v>
      </c>
      <c r="X1629" s="2" t="s">
        <v>1615</v>
      </c>
    </row>
    <row r="1630" spans="1:24" hidden="1" x14ac:dyDescent="0.35">
      <c r="A1630">
        <v>13</v>
      </c>
      <c r="B1630" t="s">
        <v>1092</v>
      </c>
      <c r="C1630" s="1">
        <v>44302</v>
      </c>
      <c r="D1630" t="s">
        <v>1291</v>
      </c>
      <c r="S1630" s="3" t="s">
        <v>1092</v>
      </c>
      <c r="T1630" s="6" t="s">
        <v>946</v>
      </c>
      <c r="U1630" s="6" t="s">
        <v>928</v>
      </c>
      <c r="V1630" s="2" t="s">
        <v>952</v>
      </c>
      <c r="W1630" t="str">
        <f t="shared" si="26"/>
        <v>SA_New_20214</v>
      </c>
      <c r="X1630" s="2" t="s">
        <v>1615</v>
      </c>
    </row>
    <row r="1631" spans="1:24" hidden="1" x14ac:dyDescent="0.35">
      <c r="A1631">
        <v>13</v>
      </c>
      <c r="B1631" t="s">
        <v>1092</v>
      </c>
      <c r="C1631" s="1">
        <v>44607</v>
      </c>
      <c r="D1631" t="s">
        <v>1384</v>
      </c>
      <c r="S1631" s="3" t="s">
        <v>1092</v>
      </c>
      <c r="T1631" s="6" t="s">
        <v>921</v>
      </c>
      <c r="U1631" s="6" t="s">
        <v>943</v>
      </c>
      <c r="V1631" s="2" t="s">
        <v>954</v>
      </c>
      <c r="W1631" t="str">
        <f t="shared" si="26"/>
        <v>SA_New_20222</v>
      </c>
      <c r="X1631" s="2" t="s">
        <v>1615</v>
      </c>
    </row>
    <row r="1632" spans="1:24" hidden="1" x14ac:dyDescent="0.35">
      <c r="A1632">
        <v>13</v>
      </c>
      <c r="B1632" t="s">
        <v>1092</v>
      </c>
      <c r="C1632" s="1">
        <v>45006</v>
      </c>
      <c r="D1632" t="s">
        <v>1108</v>
      </c>
      <c r="S1632" s="3" t="s">
        <v>1092</v>
      </c>
      <c r="T1632" s="6" t="s">
        <v>941</v>
      </c>
      <c r="U1632" s="6" t="s">
        <v>944</v>
      </c>
      <c r="V1632" s="2" t="s">
        <v>955</v>
      </c>
      <c r="W1632" t="str">
        <f t="shared" si="26"/>
        <v>SA_New_20233</v>
      </c>
      <c r="X1632" s="2" t="s">
        <v>1615</v>
      </c>
    </row>
    <row r="1633" spans="1:24" hidden="1" x14ac:dyDescent="0.35">
      <c r="A1633">
        <v>14</v>
      </c>
      <c r="B1633" t="s">
        <v>1092</v>
      </c>
      <c r="C1633" s="1">
        <v>44306</v>
      </c>
      <c r="D1633" t="s">
        <v>1007</v>
      </c>
      <c r="S1633" s="3" t="s">
        <v>1092</v>
      </c>
      <c r="T1633" s="6" t="s">
        <v>946</v>
      </c>
      <c r="U1633" s="6" t="s">
        <v>932</v>
      </c>
      <c r="V1633" s="2" t="s">
        <v>952</v>
      </c>
      <c r="W1633" t="str">
        <f t="shared" si="26"/>
        <v>SA_New_20214</v>
      </c>
      <c r="X1633" s="2" t="s">
        <v>1615</v>
      </c>
    </row>
    <row r="1634" spans="1:24" hidden="1" x14ac:dyDescent="0.35">
      <c r="A1634">
        <v>14</v>
      </c>
      <c r="B1634" t="s">
        <v>1092</v>
      </c>
      <c r="C1634" s="1">
        <v>44608</v>
      </c>
      <c r="D1634" t="s">
        <v>1385</v>
      </c>
      <c r="S1634" s="3" t="s">
        <v>1092</v>
      </c>
      <c r="T1634" s="6" t="s">
        <v>921</v>
      </c>
      <c r="U1634" s="6" t="s">
        <v>928</v>
      </c>
      <c r="V1634" s="2" t="s">
        <v>954</v>
      </c>
      <c r="W1634" t="str">
        <f t="shared" si="26"/>
        <v>SA_New_20222</v>
      </c>
      <c r="X1634" s="2" t="s">
        <v>1615</v>
      </c>
    </row>
    <row r="1635" spans="1:24" hidden="1" x14ac:dyDescent="0.35">
      <c r="A1635">
        <v>14</v>
      </c>
      <c r="B1635" t="s">
        <v>1092</v>
      </c>
      <c r="C1635" s="1">
        <v>45014</v>
      </c>
      <c r="D1635" t="s">
        <v>1109</v>
      </c>
      <c r="S1635" s="3" t="s">
        <v>1092</v>
      </c>
      <c r="T1635" s="6" t="s">
        <v>941</v>
      </c>
      <c r="U1635" s="6" t="s">
        <v>937</v>
      </c>
      <c r="V1635" s="2" t="s">
        <v>955</v>
      </c>
      <c r="W1635" t="str">
        <f t="shared" si="26"/>
        <v>SA_New_20233</v>
      </c>
      <c r="X1635" s="2" t="s">
        <v>1615</v>
      </c>
    </row>
    <row r="1636" spans="1:24" hidden="1" x14ac:dyDescent="0.35">
      <c r="A1636">
        <v>15</v>
      </c>
      <c r="B1636" t="s">
        <v>1092</v>
      </c>
      <c r="C1636" s="1">
        <v>44307</v>
      </c>
      <c r="D1636" t="s">
        <v>1292</v>
      </c>
      <c r="S1636" s="3" t="s">
        <v>1092</v>
      </c>
      <c r="T1636" s="6" t="s">
        <v>946</v>
      </c>
      <c r="U1636" s="6" t="s">
        <v>944</v>
      </c>
      <c r="V1636" s="2" t="s">
        <v>952</v>
      </c>
      <c r="W1636" t="str">
        <f t="shared" si="26"/>
        <v>SA_New_20214</v>
      </c>
      <c r="X1636" s="2" t="s">
        <v>1615</v>
      </c>
    </row>
    <row r="1637" spans="1:24" hidden="1" x14ac:dyDescent="0.35">
      <c r="A1637">
        <v>15</v>
      </c>
      <c r="B1637" t="s">
        <v>1092</v>
      </c>
      <c r="C1637" s="1">
        <v>44609</v>
      </c>
      <c r="D1637" t="s">
        <v>1386</v>
      </c>
      <c r="S1637" s="3" t="s">
        <v>1092</v>
      </c>
      <c r="T1637" s="6" t="s">
        <v>921</v>
      </c>
      <c r="U1637" s="6" t="s">
        <v>929</v>
      </c>
      <c r="V1637" s="2" t="s">
        <v>954</v>
      </c>
      <c r="W1637" t="str">
        <f t="shared" si="26"/>
        <v>SA_New_20222</v>
      </c>
      <c r="X1637" s="2" t="s">
        <v>1615</v>
      </c>
    </row>
    <row r="1638" spans="1:24" hidden="1" x14ac:dyDescent="0.35">
      <c r="A1638">
        <v>15</v>
      </c>
      <c r="B1638" t="s">
        <v>1092</v>
      </c>
      <c r="C1638" s="1">
        <v>45016</v>
      </c>
      <c r="D1638" t="s">
        <v>1110</v>
      </c>
      <c r="S1638" s="3" t="s">
        <v>1092</v>
      </c>
      <c r="T1638" s="6" t="s">
        <v>941</v>
      </c>
      <c r="U1638" s="6" t="s">
        <v>939</v>
      </c>
      <c r="V1638" s="2" t="s">
        <v>955</v>
      </c>
      <c r="W1638" t="str">
        <f t="shared" si="26"/>
        <v>SA_New_20233</v>
      </c>
      <c r="X1638" s="2" t="s">
        <v>1615</v>
      </c>
    </row>
    <row r="1639" spans="1:24" hidden="1" x14ac:dyDescent="0.35">
      <c r="A1639">
        <v>16</v>
      </c>
      <c r="B1639" t="s">
        <v>1092</v>
      </c>
      <c r="C1639" s="1">
        <v>44309</v>
      </c>
      <c r="D1639" t="s">
        <v>1293</v>
      </c>
      <c r="S1639" s="3" t="s">
        <v>1092</v>
      </c>
      <c r="T1639" s="6" t="s">
        <v>946</v>
      </c>
      <c r="U1639" s="6" t="s">
        <v>934</v>
      </c>
      <c r="V1639" s="2" t="s">
        <v>952</v>
      </c>
      <c r="W1639" t="str">
        <f t="shared" si="26"/>
        <v>SA_New_20214</v>
      </c>
      <c r="X1639" s="2" t="s">
        <v>1615</v>
      </c>
    </row>
    <row r="1640" spans="1:24" hidden="1" x14ac:dyDescent="0.35">
      <c r="A1640">
        <v>16</v>
      </c>
      <c r="B1640" t="s">
        <v>1092</v>
      </c>
      <c r="C1640" s="1">
        <v>44628</v>
      </c>
      <c r="D1640" t="s">
        <v>1387</v>
      </c>
      <c r="S1640" s="3" t="s">
        <v>1092</v>
      </c>
      <c r="T1640" s="6" t="s">
        <v>941</v>
      </c>
      <c r="U1640" s="6" t="s">
        <v>940</v>
      </c>
      <c r="V1640" s="2" t="s">
        <v>954</v>
      </c>
      <c r="W1640" t="str">
        <f t="shared" si="26"/>
        <v>SA_New_20223</v>
      </c>
      <c r="X1640" s="2" t="s">
        <v>1615</v>
      </c>
    </row>
    <row r="1641" spans="1:24" hidden="1" x14ac:dyDescent="0.35">
      <c r="A1641">
        <v>16</v>
      </c>
      <c r="B1641" t="s">
        <v>1092</v>
      </c>
      <c r="C1641" s="1">
        <v>45020</v>
      </c>
      <c r="D1641" t="s">
        <v>1111</v>
      </c>
      <c r="S1641" s="3" t="s">
        <v>1092</v>
      </c>
      <c r="T1641" s="6" t="s">
        <v>946</v>
      </c>
      <c r="U1641" s="6" t="s">
        <v>946</v>
      </c>
      <c r="V1641" s="2" t="s">
        <v>955</v>
      </c>
      <c r="W1641" t="str">
        <f t="shared" si="26"/>
        <v>SA_New_20234</v>
      </c>
      <c r="X1641" s="2" t="s">
        <v>1615</v>
      </c>
    </row>
    <row r="1642" spans="1:24" hidden="1" x14ac:dyDescent="0.35">
      <c r="A1642">
        <v>17</v>
      </c>
      <c r="B1642" t="s">
        <v>1092</v>
      </c>
      <c r="C1642" s="1">
        <v>44313</v>
      </c>
      <c r="D1642" t="s">
        <v>1294</v>
      </c>
      <c r="S1642" s="3" t="s">
        <v>1092</v>
      </c>
      <c r="T1642" s="6" t="s">
        <v>946</v>
      </c>
      <c r="U1642" s="6" t="s">
        <v>925</v>
      </c>
      <c r="V1642" s="2" t="s">
        <v>952</v>
      </c>
      <c r="W1642" t="str">
        <f t="shared" si="26"/>
        <v>SA_New_20214</v>
      </c>
      <c r="X1642" s="2" t="s">
        <v>1615</v>
      </c>
    </row>
    <row r="1643" spans="1:24" hidden="1" x14ac:dyDescent="0.35">
      <c r="A1643">
        <v>17</v>
      </c>
      <c r="B1643" t="s">
        <v>1092</v>
      </c>
      <c r="C1643" s="1">
        <v>44635</v>
      </c>
      <c r="D1643" t="s">
        <v>494</v>
      </c>
      <c r="S1643" s="3" t="s">
        <v>1092</v>
      </c>
      <c r="T1643" s="6" t="s">
        <v>941</v>
      </c>
      <c r="U1643" s="6" t="s">
        <v>943</v>
      </c>
      <c r="V1643" s="2" t="s">
        <v>954</v>
      </c>
      <c r="W1643" t="str">
        <f t="shared" si="26"/>
        <v>SA_New_20223</v>
      </c>
      <c r="X1643" s="2" t="s">
        <v>1615</v>
      </c>
    </row>
    <row r="1644" spans="1:24" hidden="1" x14ac:dyDescent="0.35">
      <c r="A1644">
        <v>17</v>
      </c>
      <c r="B1644" t="s">
        <v>1092</v>
      </c>
      <c r="C1644" s="1">
        <v>45021</v>
      </c>
      <c r="D1644" t="s">
        <v>1112</v>
      </c>
      <c r="S1644" s="3" t="s">
        <v>1092</v>
      </c>
      <c r="T1644" s="6" t="s">
        <v>946</v>
      </c>
      <c r="U1644" s="6" t="s">
        <v>947</v>
      </c>
      <c r="V1644" s="2" t="s">
        <v>955</v>
      </c>
      <c r="W1644" t="str">
        <f t="shared" si="26"/>
        <v>SA_New_20234</v>
      </c>
      <c r="X1644" s="2" t="s">
        <v>1615</v>
      </c>
    </row>
    <row r="1645" spans="1:24" hidden="1" x14ac:dyDescent="0.35">
      <c r="A1645">
        <v>18</v>
      </c>
      <c r="B1645" t="s">
        <v>1092</v>
      </c>
      <c r="C1645" s="1">
        <v>44313</v>
      </c>
      <c r="D1645" t="s">
        <v>1295</v>
      </c>
      <c r="S1645" s="3" t="s">
        <v>1092</v>
      </c>
      <c r="T1645" s="6" t="s">
        <v>946</v>
      </c>
      <c r="U1645" s="6" t="s">
        <v>925</v>
      </c>
      <c r="V1645" s="2" t="s">
        <v>952</v>
      </c>
      <c r="W1645" t="str">
        <f t="shared" si="26"/>
        <v>SA_New_20214</v>
      </c>
      <c r="X1645" s="2" t="s">
        <v>1615</v>
      </c>
    </row>
    <row r="1646" spans="1:24" hidden="1" x14ac:dyDescent="0.35">
      <c r="A1646">
        <v>18</v>
      </c>
      <c r="B1646" t="s">
        <v>1092</v>
      </c>
      <c r="C1646" s="1">
        <v>44635</v>
      </c>
      <c r="D1646" t="s">
        <v>1388</v>
      </c>
      <c r="S1646" s="3" t="s">
        <v>1092</v>
      </c>
      <c r="T1646" s="6" t="s">
        <v>941</v>
      </c>
      <c r="U1646" s="6" t="s">
        <v>943</v>
      </c>
      <c r="V1646" s="2" t="s">
        <v>954</v>
      </c>
      <c r="W1646" t="str">
        <f t="shared" si="26"/>
        <v>SA_New_20223</v>
      </c>
      <c r="X1646" s="2" t="s">
        <v>1615</v>
      </c>
    </row>
    <row r="1647" spans="1:24" hidden="1" x14ac:dyDescent="0.35">
      <c r="A1647">
        <v>18</v>
      </c>
      <c r="B1647" t="s">
        <v>1092</v>
      </c>
      <c r="C1647" s="1">
        <v>45021</v>
      </c>
      <c r="D1647" t="s">
        <v>1113</v>
      </c>
      <c r="S1647" s="3" t="s">
        <v>1092</v>
      </c>
      <c r="T1647" s="6" t="s">
        <v>946</v>
      </c>
      <c r="U1647" s="6" t="s">
        <v>947</v>
      </c>
      <c r="V1647" s="2" t="s">
        <v>955</v>
      </c>
      <c r="W1647" t="str">
        <f t="shared" si="26"/>
        <v>SA_New_20234</v>
      </c>
      <c r="X1647" s="2" t="s">
        <v>1615</v>
      </c>
    </row>
    <row r="1648" spans="1:24" hidden="1" x14ac:dyDescent="0.35">
      <c r="A1648">
        <v>19</v>
      </c>
      <c r="B1648" t="s">
        <v>1092</v>
      </c>
      <c r="C1648" s="1">
        <v>44315</v>
      </c>
      <c r="D1648" t="s">
        <v>1296</v>
      </c>
      <c r="S1648" s="3" t="s">
        <v>1092</v>
      </c>
      <c r="T1648" s="6" t="s">
        <v>946</v>
      </c>
      <c r="U1648" s="6" t="s">
        <v>937</v>
      </c>
      <c r="V1648" s="2" t="s">
        <v>952</v>
      </c>
      <c r="W1648" t="str">
        <f t="shared" si="26"/>
        <v>SA_New_20214</v>
      </c>
      <c r="X1648" s="2" t="s">
        <v>1615</v>
      </c>
    </row>
    <row r="1649" spans="1:24" hidden="1" x14ac:dyDescent="0.35">
      <c r="A1649">
        <v>19</v>
      </c>
      <c r="B1649" t="s">
        <v>1092</v>
      </c>
      <c r="C1649" s="1">
        <v>44644</v>
      </c>
      <c r="D1649" t="s">
        <v>1389</v>
      </c>
      <c r="S1649" s="3" t="s">
        <v>1092</v>
      </c>
      <c r="T1649" s="6" t="s">
        <v>941</v>
      </c>
      <c r="U1649" s="6" t="s">
        <v>935</v>
      </c>
      <c r="V1649" s="2" t="s">
        <v>954</v>
      </c>
      <c r="W1649" t="str">
        <f t="shared" si="26"/>
        <v>SA_New_20223</v>
      </c>
      <c r="X1649" s="2" t="s">
        <v>1615</v>
      </c>
    </row>
    <row r="1650" spans="1:24" hidden="1" x14ac:dyDescent="0.35">
      <c r="A1650">
        <v>19</v>
      </c>
      <c r="B1650" t="s">
        <v>1092</v>
      </c>
      <c r="C1650" s="1">
        <v>45022</v>
      </c>
      <c r="D1650" t="s">
        <v>1114</v>
      </c>
      <c r="S1650" s="3" t="s">
        <v>1092</v>
      </c>
      <c r="T1650" s="6" t="s">
        <v>946</v>
      </c>
      <c r="U1650" s="6" t="s">
        <v>927</v>
      </c>
      <c r="V1650" s="2" t="s">
        <v>955</v>
      </c>
      <c r="W1650" t="str">
        <f t="shared" si="26"/>
        <v>SA_New_20234</v>
      </c>
      <c r="X1650" s="2" t="s">
        <v>1615</v>
      </c>
    </row>
    <row r="1651" spans="1:24" hidden="1" x14ac:dyDescent="0.35">
      <c r="A1651">
        <v>20</v>
      </c>
      <c r="B1651" t="s">
        <v>1092</v>
      </c>
      <c r="C1651" s="1">
        <v>44322</v>
      </c>
      <c r="D1651" t="s">
        <v>452</v>
      </c>
      <c r="S1651" s="3" t="s">
        <v>1092</v>
      </c>
      <c r="T1651" s="6" t="s">
        <v>947</v>
      </c>
      <c r="U1651" s="6" t="s">
        <v>927</v>
      </c>
      <c r="V1651" s="2" t="s">
        <v>952</v>
      </c>
      <c r="W1651" t="str">
        <f t="shared" si="26"/>
        <v>SA_New_20215</v>
      </c>
      <c r="X1651" s="2" t="s">
        <v>1615</v>
      </c>
    </row>
    <row r="1652" spans="1:24" hidden="1" x14ac:dyDescent="0.35">
      <c r="A1652">
        <v>20</v>
      </c>
      <c r="B1652" t="s">
        <v>1092</v>
      </c>
      <c r="C1652" s="1">
        <v>44649</v>
      </c>
      <c r="D1652" t="s">
        <v>1390</v>
      </c>
      <c r="S1652" s="3" t="s">
        <v>1092</v>
      </c>
      <c r="T1652" s="6" t="s">
        <v>941</v>
      </c>
      <c r="U1652" s="6" t="s">
        <v>937</v>
      </c>
      <c r="V1652" s="2" t="s">
        <v>954</v>
      </c>
      <c r="W1652" t="str">
        <f t="shared" si="26"/>
        <v>SA_New_20223</v>
      </c>
      <c r="X1652" s="2" t="s">
        <v>1615</v>
      </c>
    </row>
    <row r="1653" spans="1:24" hidden="1" x14ac:dyDescent="0.35">
      <c r="A1653">
        <v>20</v>
      </c>
      <c r="B1653" t="s">
        <v>1092</v>
      </c>
      <c r="C1653" s="1">
        <v>45022</v>
      </c>
      <c r="D1653" t="s">
        <v>1115</v>
      </c>
      <c r="S1653" s="3" t="s">
        <v>1092</v>
      </c>
      <c r="T1653" s="6" t="s">
        <v>946</v>
      </c>
      <c r="U1653" s="6" t="s">
        <v>927</v>
      </c>
      <c r="V1653" s="2" t="s">
        <v>955</v>
      </c>
      <c r="W1653" t="str">
        <f t="shared" si="26"/>
        <v>SA_New_20234</v>
      </c>
      <c r="X1653" s="2" t="s">
        <v>1615</v>
      </c>
    </row>
    <row r="1654" spans="1:24" hidden="1" x14ac:dyDescent="0.35">
      <c r="A1654">
        <v>21</v>
      </c>
      <c r="B1654" t="s">
        <v>1092</v>
      </c>
      <c r="C1654" s="1">
        <v>44322</v>
      </c>
      <c r="D1654" t="s">
        <v>334</v>
      </c>
      <c r="S1654" s="3" t="s">
        <v>1092</v>
      </c>
      <c r="T1654" s="6" t="s">
        <v>947</v>
      </c>
      <c r="U1654" s="6" t="s">
        <v>927</v>
      </c>
      <c r="V1654" s="2" t="s">
        <v>952</v>
      </c>
      <c r="W1654" t="str">
        <f t="shared" si="26"/>
        <v>SA_New_20215</v>
      </c>
      <c r="X1654" s="2" t="s">
        <v>1615</v>
      </c>
    </row>
    <row r="1655" spans="1:24" hidden="1" x14ac:dyDescent="0.35">
      <c r="A1655">
        <v>21</v>
      </c>
      <c r="B1655" t="s">
        <v>1092</v>
      </c>
      <c r="C1655" s="1">
        <v>44650</v>
      </c>
      <c r="D1655" t="s">
        <v>1391</v>
      </c>
      <c r="S1655" s="3" t="s">
        <v>1092</v>
      </c>
      <c r="T1655" s="6" t="s">
        <v>941</v>
      </c>
      <c r="U1655" s="6" t="s">
        <v>938</v>
      </c>
      <c r="V1655" s="2" t="s">
        <v>954</v>
      </c>
      <c r="W1655" t="str">
        <f t="shared" si="26"/>
        <v>SA_New_20223</v>
      </c>
      <c r="X1655" s="2" t="s">
        <v>1615</v>
      </c>
    </row>
    <row r="1656" spans="1:24" hidden="1" x14ac:dyDescent="0.35">
      <c r="A1656">
        <v>21</v>
      </c>
      <c r="B1656" t="s">
        <v>1092</v>
      </c>
      <c r="C1656" s="1">
        <v>45024</v>
      </c>
      <c r="D1656" t="s">
        <v>1116</v>
      </c>
      <c r="S1656" s="3" t="s">
        <v>1092</v>
      </c>
      <c r="T1656" s="6" t="s">
        <v>946</v>
      </c>
      <c r="U1656" s="6" t="s">
        <v>940</v>
      </c>
      <c r="V1656" s="2" t="s">
        <v>955</v>
      </c>
      <c r="W1656" t="str">
        <f t="shared" si="26"/>
        <v>SA_New_20234</v>
      </c>
      <c r="X1656" s="2" t="s">
        <v>1615</v>
      </c>
    </row>
    <row r="1657" spans="1:24" hidden="1" x14ac:dyDescent="0.35">
      <c r="A1657">
        <v>22</v>
      </c>
      <c r="B1657" t="s">
        <v>1092</v>
      </c>
      <c r="C1657" s="1">
        <v>44326</v>
      </c>
      <c r="D1657" t="s">
        <v>692</v>
      </c>
      <c r="S1657" s="3" t="s">
        <v>1092</v>
      </c>
      <c r="T1657" s="6" t="s">
        <v>947</v>
      </c>
      <c r="U1657" s="6" t="s">
        <v>948</v>
      </c>
      <c r="V1657" s="2" t="s">
        <v>952</v>
      </c>
      <c r="W1657" t="str">
        <f t="shared" si="26"/>
        <v>SA_New_20215</v>
      </c>
      <c r="X1657" s="2" t="s">
        <v>1615</v>
      </c>
    </row>
    <row r="1658" spans="1:24" hidden="1" x14ac:dyDescent="0.35">
      <c r="A1658">
        <v>22</v>
      </c>
      <c r="B1658" t="s">
        <v>1092</v>
      </c>
      <c r="C1658" s="1">
        <v>44651</v>
      </c>
      <c r="D1658" t="s">
        <v>1392</v>
      </c>
      <c r="S1658" s="3" t="s">
        <v>1092</v>
      </c>
      <c r="T1658" s="6" t="s">
        <v>941</v>
      </c>
      <c r="U1658" s="6" t="s">
        <v>939</v>
      </c>
      <c r="V1658" s="2" t="s">
        <v>954</v>
      </c>
      <c r="W1658" t="str">
        <f t="shared" si="26"/>
        <v>SA_New_20223</v>
      </c>
      <c r="X1658" s="2" t="s">
        <v>1615</v>
      </c>
    </row>
    <row r="1659" spans="1:24" hidden="1" x14ac:dyDescent="0.35">
      <c r="A1659">
        <v>22</v>
      </c>
      <c r="B1659" t="s">
        <v>1092</v>
      </c>
      <c r="C1659" s="1">
        <v>45028</v>
      </c>
      <c r="D1659" t="s">
        <v>1117</v>
      </c>
      <c r="S1659" s="3" t="s">
        <v>1092</v>
      </c>
      <c r="T1659" s="6" t="s">
        <v>946</v>
      </c>
      <c r="U1659" s="6" t="s">
        <v>949</v>
      </c>
      <c r="V1659" s="2" t="s">
        <v>955</v>
      </c>
      <c r="W1659" t="str">
        <f t="shared" si="26"/>
        <v>SA_New_20234</v>
      </c>
      <c r="X1659" s="2" t="s">
        <v>1615</v>
      </c>
    </row>
    <row r="1660" spans="1:24" hidden="1" x14ac:dyDescent="0.35">
      <c r="A1660">
        <v>23</v>
      </c>
      <c r="B1660" t="s">
        <v>1092</v>
      </c>
      <c r="C1660" s="1">
        <v>44328</v>
      </c>
      <c r="D1660" t="s">
        <v>1297</v>
      </c>
      <c r="S1660" s="3" t="s">
        <v>1092</v>
      </c>
      <c r="T1660" s="6" t="s">
        <v>947</v>
      </c>
      <c r="U1660" s="6" t="s">
        <v>949</v>
      </c>
      <c r="V1660" s="2" t="s">
        <v>952</v>
      </c>
      <c r="W1660" t="str">
        <f t="shared" si="26"/>
        <v>SA_New_20215</v>
      </c>
      <c r="X1660" s="2" t="s">
        <v>1615</v>
      </c>
    </row>
    <row r="1661" spans="1:24" hidden="1" x14ac:dyDescent="0.35">
      <c r="A1661">
        <v>23</v>
      </c>
      <c r="B1661" t="s">
        <v>1092</v>
      </c>
      <c r="C1661" s="1">
        <v>44655</v>
      </c>
      <c r="D1661" t="s">
        <v>1393</v>
      </c>
      <c r="S1661" s="3" t="s">
        <v>1092</v>
      </c>
      <c r="T1661" s="6" t="s">
        <v>946</v>
      </c>
      <c r="U1661" s="6" t="s">
        <v>946</v>
      </c>
      <c r="V1661" s="2" t="s">
        <v>954</v>
      </c>
      <c r="W1661" t="str">
        <f t="shared" si="26"/>
        <v>SA_New_20224</v>
      </c>
      <c r="X1661" s="2" t="s">
        <v>1615</v>
      </c>
    </row>
    <row r="1662" spans="1:24" hidden="1" x14ac:dyDescent="0.35">
      <c r="A1662">
        <v>23</v>
      </c>
      <c r="B1662" t="s">
        <v>1092</v>
      </c>
      <c r="C1662" s="1">
        <v>45028</v>
      </c>
      <c r="D1662" t="s">
        <v>1118</v>
      </c>
      <c r="S1662" s="3" t="s">
        <v>1092</v>
      </c>
      <c r="T1662" s="6" t="s">
        <v>946</v>
      </c>
      <c r="U1662" s="6" t="s">
        <v>949</v>
      </c>
      <c r="V1662" s="2" t="s">
        <v>955</v>
      </c>
      <c r="W1662" t="str">
        <f t="shared" si="26"/>
        <v>SA_New_20234</v>
      </c>
      <c r="X1662" s="2" t="s">
        <v>1615</v>
      </c>
    </row>
    <row r="1663" spans="1:24" hidden="1" x14ac:dyDescent="0.35">
      <c r="A1663">
        <v>24</v>
      </c>
      <c r="B1663" t="s">
        <v>1092</v>
      </c>
      <c r="C1663" s="1">
        <v>44329</v>
      </c>
      <c r="D1663" t="s">
        <v>1298</v>
      </c>
      <c r="S1663" s="3" t="s">
        <v>1092</v>
      </c>
      <c r="T1663" s="6" t="s">
        <v>947</v>
      </c>
      <c r="U1663" s="6" t="s">
        <v>950</v>
      </c>
      <c r="V1663" s="2" t="s">
        <v>952</v>
      </c>
      <c r="W1663" t="str">
        <f t="shared" si="26"/>
        <v>SA_New_20215</v>
      </c>
      <c r="X1663" s="2" t="s">
        <v>1615</v>
      </c>
    </row>
    <row r="1664" spans="1:24" hidden="1" x14ac:dyDescent="0.35">
      <c r="A1664">
        <v>24</v>
      </c>
      <c r="B1664" t="s">
        <v>1092</v>
      </c>
      <c r="C1664" s="1">
        <v>44656</v>
      </c>
      <c r="D1664" t="s">
        <v>1394</v>
      </c>
      <c r="S1664" s="3" t="s">
        <v>1092</v>
      </c>
      <c r="T1664" s="6" t="s">
        <v>946</v>
      </c>
      <c r="U1664" s="6" t="s">
        <v>947</v>
      </c>
      <c r="V1664" s="2" t="s">
        <v>954</v>
      </c>
      <c r="W1664" t="str">
        <f t="shared" si="26"/>
        <v>SA_New_20224</v>
      </c>
      <c r="X1664" s="2" t="s">
        <v>1615</v>
      </c>
    </row>
    <row r="1665" spans="1:24" hidden="1" x14ac:dyDescent="0.35">
      <c r="A1665">
        <v>24</v>
      </c>
      <c r="B1665" t="s">
        <v>1092</v>
      </c>
      <c r="C1665" s="1">
        <v>45028</v>
      </c>
      <c r="D1665" t="s">
        <v>1119</v>
      </c>
      <c r="S1665" s="3" t="s">
        <v>1092</v>
      </c>
      <c r="T1665" s="6" t="s">
        <v>946</v>
      </c>
      <c r="U1665" s="6" t="s">
        <v>949</v>
      </c>
      <c r="V1665" s="2" t="s">
        <v>955</v>
      </c>
      <c r="W1665" t="str">
        <f t="shared" si="26"/>
        <v>SA_New_20234</v>
      </c>
      <c r="X1665" s="2" t="s">
        <v>1615</v>
      </c>
    </row>
    <row r="1666" spans="1:24" hidden="1" x14ac:dyDescent="0.35">
      <c r="A1666">
        <v>25</v>
      </c>
      <c r="B1666" t="s">
        <v>1092</v>
      </c>
      <c r="C1666" s="1">
        <v>44329</v>
      </c>
      <c r="D1666" t="s">
        <v>1299</v>
      </c>
      <c r="S1666" s="3" t="s">
        <v>1092</v>
      </c>
      <c r="T1666" s="6" t="s">
        <v>947</v>
      </c>
      <c r="U1666" s="6" t="s">
        <v>950</v>
      </c>
      <c r="V1666" s="2" t="s">
        <v>952</v>
      </c>
      <c r="W1666" t="str">
        <f t="shared" ref="W1666:W1729" si="27">CONCATENATE(B1666,"_",V1666,T1666)</f>
        <v>SA_New_20215</v>
      </c>
      <c r="X1666" s="2" t="s">
        <v>1615</v>
      </c>
    </row>
    <row r="1667" spans="1:24" hidden="1" x14ac:dyDescent="0.35">
      <c r="A1667">
        <v>25</v>
      </c>
      <c r="B1667" t="s">
        <v>1092</v>
      </c>
      <c r="C1667" s="1">
        <v>44656</v>
      </c>
      <c r="D1667" t="s">
        <v>1395</v>
      </c>
      <c r="S1667" s="3" t="s">
        <v>1092</v>
      </c>
      <c r="T1667" s="6" t="s">
        <v>946</v>
      </c>
      <c r="U1667" s="6" t="s">
        <v>947</v>
      </c>
      <c r="V1667" s="2" t="s">
        <v>954</v>
      </c>
      <c r="W1667" t="str">
        <f t="shared" si="27"/>
        <v>SA_New_20224</v>
      </c>
      <c r="X1667" s="2" t="s">
        <v>1615</v>
      </c>
    </row>
    <row r="1668" spans="1:24" hidden="1" x14ac:dyDescent="0.35">
      <c r="A1668">
        <v>25</v>
      </c>
      <c r="B1668" t="s">
        <v>1092</v>
      </c>
      <c r="C1668" s="1">
        <v>45028</v>
      </c>
      <c r="D1668" t="s">
        <v>1120</v>
      </c>
      <c r="S1668" s="3" t="s">
        <v>1092</v>
      </c>
      <c r="T1668" s="6" t="s">
        <v>946</v>
      </c>
      <c r="U1668" s="6" t="s">
        <v>949</v>
      </c>
      <c r="V1668" s="2" t="s">
        <v>955</v>
      </c>
      <c r="W1668" t="str">
        <f t="shared" si="27"/>
        <v>SA_New_20234</v>
      </c>
      <c r="X1668" s="2" t="s">
        <v>1615</v>
      </c>
    </row>
    <row r="1669" spans="1:24" hidden="1" x14ac:dyDescent="0.35">
      <c r="A1669">
        <v>26</v>
      </c>
      <c r="B1669" t="s">
        <v>1092</v>
      </c>
      <c r="C1669" s="1">
        <v>44341</v>
      </c>
      <c r="D1669" t="s">
        <v>1300</v>
      </c>
      <c r="S1669" s="3" t="s">
        <v>1092</v>
      </c>
      <c r="T1669" s="6" t="s">
        <v>947</v>
      </c>
      <c r="U1669" s="6" t="s">
        <v>922</v>
      </c>
      <c r="V1669" s="2" t="s">
        <v>952</v>
      </c>
      <c r="W1669" t="str">
        <f t="shared" si="27"/>
        <v>SA_New_20215</v>
      </c>
      <c r="X1669" s="2" t="s">
        <v>1615</v>
      </c>
    </row>
    <row r="1670" spans="1:24" hidden="1" x14ac:dyDescent="0.35">
      <c r="A1670">
        <v>26</v>
      </c>
      <c r="B1670" t="s">
        <v>1092</v>
      </c>
      <c r="C1670" s="1">
        <v>44656</v>
      </c>
      <c r="D1670" t="s">
        <v>1396</v>
      </c>
      <c r="S1670" s="3" t="s">
        <v>1092</v>
      </c>
      <c r="T1670" s="6" t="s">
        <v>946</v>
      </c>
      <c r="U1670" s="6" t="s">
        <v>947</v>
      </c>
      <c r="V1670" s="2" t="s">
        <v>954</v>
      </c>
      <c r="W1670" t="str">
        <f t="shared" si="27"/>
        <v>SA_New_20224</v>
      </c>
      <c r="X1670" s="2" t="s">
        <v>1615</v>
      </c>
    </row>
    <row r="1671" spans="1:24" hidden="1" x14ac:dyDescent="0.35">
      <c r="A1671">
        <v>26</v>
      </c>
      <c r="B1671" t="s">
        <v>1092</v>
      </c>
      <c r="C1671" s="1">
        <v>45028</v>
      </c>
      <c r="D1671" t="s">
        <v>1121</v>
      </c>
      <c r="S1671" s="3" t="s">
        <v>1092</v>
      </c>
      <c r="T1671" s="6" t="s">
        <v>946</v>
      </c>
      <c r="U1671" s="6" t="s">
        <v>949</v>
      </c>
      <c r="V1671" s="2" t="s">
        <v>955</v>
      </c>
      <c r="W1671" t="str">
        <f t="shared" si="27"/>
        <v>SA_New_20234</v>
      </c>
      <c r="X1671" s="2" t="s">
        <v>1615</v>
      </c>
    </row>
    <row r="1672" spans="1:24" hidden="1" x14ac:dyDescent="0.35">
      <c r="A1672">
        <v>27</v>
      </c>
      <c r="B1672" t="s">
        <v>1092</v>
      </c>
      <c r="C1672" s="1">
        <v>44348</v>
      </c>
      <c r="D1672" t="s">
        <v>1301</v>
      </c>
      <c r="S1672" s="3" t="s">
        <v>1092</v>
      </c>
      <c r="T1672" s="6" t="s">
        <v>927</v>
      </c>
      <c r="U1672" s="6" t="s">
        <v>953</v>
      </c>
      <c r="V1672" s="2" t="s">
        <v>952</v>
      </c>
      <c r="W1672" t="str">
        <f t="shared" si="27"/>
        <v>SA_New_20216</v>
      </c>
      <c r="X1672" s="2" t="s">
        <v>1615</v>
      </c>
    </row>
    <row r="1673" spans="1:24" hidden="1" x14ac:dyDescent="0.35">
      <c r="A1673">
        <v>27</v>
      </c>
      <c r="B1673" t="s">
        <v>1092</v>
      </c>
      <c r="C1673" s="1">
        <v>44665</v>
      </c>
      <c r="D1673" t="s">
        <v>1397</v>
      </c>
      <c r="S1673" s="3" t="s">
        <v>1092</v>
      </c>
      <c r="T1673" s="6" t="s">
        <v>946</v>
      </c>
      <c r="U1673" s="6" t="s">
        <v>951</v>
      </c>
      <c r="V1673" s="2" t="s">
        <v>954</v>
      </c>
      <c r="W1673" t="str">
        <f t="shared" si="27"/>
        <v>SA_New_20224</v>
      </c>
      <c r="X1673" s="2" t="s">
        <v>1615</v>
      </c>
    </row>
    <row r="1674" spans="1:24" hidden="1" x14ac:dyDescent="0.35">
      <c r="A1674">
        <v>27</v>
      </c>
      <c r="B1674" t="s">
        <v>1092</v>
      </c>
      <c r="C1674" s="1">
        <v>45028</v>
      </c>
      <c r="D1674" t="s">
        <v>1122</v>
      </c>
      <c r="S1674" s="3" t="s">
        <v>1092</v>
      </c>
      <c r="T1674" s="6" t="s">
        <v>946</v>
      </c>
      <c r="U1674" s="6" t="s">
        <v>949</v>
      </c>
      <c r="V1674" s="2" t="s">
        <v>955</v>
      </c>
      <c r="W1674" t="str">
        <f t="shared" si="27"/>
        <v>SA_New_20234</v>
      </c>
      <c r="X1674" s="2" t="s">
        <v>1615</v>
      </c>
    </row>
    <row r="1675" spans="1:24" hidden="1" x14ac:dyDescent="0.35">
      <c r="A1675">
        <v>28</v>
      </c>
      <c r="B1675" t="s">
        <v>1092</v>
      </c>
      <c r="C1675" s="1">
        <v>44364</v>
      </c>
      <c r="D1675" t="s">
        <v>1302</v>
      </c>
      <c r="S1675" s="3" t="s">
        <v>1092</v>
      </c>
      <c r="T1675" s="6" t="s">
        <v>927</v>
      </c>
      <c r="U1675" s="6" t="s">
        <v>929</v>
      </c>
      <c r="V1675" s="2" t="s">
        <v>952</v>
      </c>
      <c r="W1675" t="str">
        <f t="shared" si="27"/>
        <v>SA_New_20216</v>
      </c>
      <c r="X1675" s="2" t="s">
        <v>1615</v>
      </c>
    </row>
    <row r="1676" spans="1:24" hidden="1" x14ac:dyDescent="0.35">
      <c r="A1676">
        <v>28</v>
      </c>
      <c r="B1676" t="s">
        <v>1092</v>
      </c>
      <c r="C1676" s="1">
        <v>44666</v>
      </c>
      <c r="D1676" t="s">
        <v>1398</v>
      </c>
      <c r="S1676" s="3" t="s">
        <v>1092</v>
      </c>
      <c r="T1676" s="6" t="s">
        <v>946</v>
      </c>
      <c r="U1676" s="6" t="s">
        <v>943</v>
      </c>
      <c r="V1676" s="2" t="s">
        <v>954</v>
      </c>
      <c r="W1676" t="str">
        <f t="shared" si="27"/>
        <v>SA_New_20224</v>
      </c>
      <c r="X1676" s="2" t="s">
        <v>1615</v>
      </c>
    </row>
    <row r="1677" spans="1:24" hidden="1" x14ac:dyDescent="0.35">
      <c r="A1677">
        <v>28</v>
      </c>
      <c r="B1677" t="s">
        <v>1092</v>
      </c>
      <c r="C1677" s="1">
        <v>45034</v>
      </c>
      <c r="D1677" t="s">
        <v>1123</v>
      </c>
      <c r="S1677" s="3" t="s">
        <v>1092</v>
      </c>
      <c r="T1677" s="6" t="s">
        <v>946</v>
      </c>
      <c r="U1677" s="6" t="s">
        <v>930</v>
      </c>
      <c r="V1677" s="2" t="s">
        <v>955</v>
      </c>
      <c r="W1677" t="str">
        <f t="shared" si="27"/>
        <v>SA_New_20234</v>
      </c>
      <c r="X1677" s="2" t="s">
        <v>1615</v>
      </c>
    </row>
    <row r="1678" spans="1:24" hidden="1" x14ac:dyDescent="0.35">
      <c r="A1678">
        <v>29</v>
      </c>
      <c r="B1678" t="s">
        <v>1092</v>
      </c>
      <c r="C1678" s="1">
        <v>44368</v>
      </c>
      <c r="D1678" t="s">
        <v>1303</v>
      </c>
      <c r="S1678" s="3" t="s">
        <v>1092</v>
      </c>
      <c r="T1678" s="6" t="s">
        <v>927</v>
      </c>
      <c r="U1678" s="6" t="s">
        <v>944</v>
      </c>
      <c r="V1678" s="2" t="s">
        <v>952</v>
      </c>
      <c r="W1678" t="str">
        <f t="shared" si="27"/>
        <v>SA_New_20216</v>
      </c>
      <c r="X1678" s="2" t="s">
        <v>1615</v>
      </c>
    </row>
    <row r="1679" spans="1:24" hidden="1" x14ac:dyDescent="0.35">
      <c r="A1679">
        <v>29</v>
      </c>
      <c r="B1679" t="s">
        <v>1092</v>
      </c>
      <c r="C1679" s="1">
        <v>44672</v>
      </c>
      <c r="D1679" t="s">
        <v>1399</v>
      </c>
      <c r="S1679" s="3" t="s">
        <v>1092</v>
      </c>
      <c r="T1679" s="6" t="s">
        <v>946</v>
      </c>
      <c r="U1679" s="6" t="s">
        <v>944</v>
      </c>
      <c r="V1679" s="2" t="s">
        <v>954</v>
      </c>
      <c r="W1679" t="str">
        <f t="shared" si="27"/>
        <v>SA_New_20224</v>
      </c>
      <c r="X1679" s="2" t="s">
        <v>1615</v>
      </c>
    </row>
    <row r="1680" spans="1:24" hidden="1" x14ac:dyDescent="0.35">
      <c r="A1680">
        <v>29</v>
      </c>
      <c r="B1680" t="s">
        <v>1092</v>
      </c>
      <c r="C1680" s="1">
        <v>45034</v>
      </c>
      <c r="D1680" t="s">
        <v>1124</v>
      </c>
      <c r="S1680" s="3" t="s">
        <v>1092</v>
      </c>
      <c r="T1680" s="6" t="s">
        <v>946</v>
      </c>
      <c r="U1680" s="6" t="s">
        <v>930</v>
      </c>
      <c r="V1680" s="2" t="s">
        <v>955</v>
      </c>
      <c r="W1680" t="str">
        <f t="shared" si="27"/>
        <v>SA_New_20234</v>
      </c>
      <c r="X1680" s="2" t="s">
        <v>1615</v>
      </c>
    </row>
    <row r="1681" spans="1:24" hidden="1" x14ac:dyDescent="0.35">
      <c r="A1681">
        <v>30</v>
      </c>
      <c r="B1681" t="s">
        <v>1092</v>
      </c>
      <c r="C1681" s="1">
        <v>44371</v>
      </c>
      <c r="D1681" t="s">
        <v>1304</v>
      </c>
      <c r="S1681" s="3" t="s">
        <v>1092</v>
      </c>
      <c r="T1681" s="6" t="s">
        <v>927</v>
      </c>
      <c r="U1681" s="6" t="s">
        <v>935</v>
      </c>
      <c r="V1681" s="2" t="s">
        <v>952</v>
      </c>
      <c r="W1681" t="str">
        <f t="shared" si="27"/>
        <v>SA_New_20216</v>
      </c>
      <c r="X1681" s="2" t="s">
        <v>1615</v>
      </c>
    </row>
    <row r="1682" spans="1:24" hidden="1" x14ac:dyDescent="0.35">
      <c r="A1682">
        <v>30</v>
      </c>
      <c r="B1682" t="s">
        <v>1092</v>
      </c>
      <c r="C1682" s="1">
        <v>44674</v>
      </c>
      <c r="D1682" t="s">
        <v>1400</v>
      </c>
      <c r="S1682" s="3" t="s">
        <v>1092</v>
      </c>
      <c r="T1682" s="6" t="s">
        <v>946</v>
      </c>
      <c r="U1682" s="6" t="s">
        <v>934</v>
      </c>
      <c r="V1682" s="2" t="s">
        <v>954</v>
      </c>
      <c r="W1682" t="str">
        <f t="shared" si="27"/>
        <v>SA_New_20224</v>
      </c>
      <c r="X1682" s="2" t="s">
        <v>1615</v>
      </c>
    </row>
    <row r="1683" spans="1:24" hidden="1" x14ac:dyDescent="0.35">
      <c r="A1683">
        <v>30</v>
      </c>
      <c r="B1683" t="s">
        <v>1092</v>
      </c>
      <c r="C1683" s="1">
        <v>45041</v>
      </c>
      <c r="D1683" t="s">
        <v>1125</v>
      </c>
      <c r="S1683" s="3" t="s">
        <v>1092</v>
      </c>
      <c r="T1683" s="6" t="s">
        <v>946</v>
      </c>
      <c r="U1683" s="6" t="s">
        <v>922</v>
      </c>
      <c r="V1683" s="2" t="s">
        <v>955</v>
      </c>
      <c r="W1683" t="str">
        <f t="shared" si="27"/>
        <v>SA_New_20234</v>
      </c>
      <c r="X1683" s="2" t="s">
        <v>1615</v>
      </c>
    </row>
    <row r="1684" spans="1:24" hidden="1" x14ac:dyDescent="0.35">
      <c r="A1684">
        <v>31</v>
      </c>
      <c r="B1684" t="s">
        <v>1092</v>
      </c>
      <c r="C1684" s="1">
        <v>44378</v>
      </c>
      <c r="D1684" t="s">
        <v>1305</v>
      </c>
      <c r="S1684" s="3" t="s">
        <v>1092</v>
      </c>
      <c r="T1684" s="6" t="s">
        <v>936</v>
      </c>
      <c r="U1684" s="6" t="s">
        <v>953</v>
      </c>
      <c r="V1684" s="2" t="s">
        <v>952</v>
      </c>
      <c r="W1684" t="str">
        <f t="shared" si="27"/>
        <v>SA_New_20217</v>
      </c>
      <c r="X1684" s="2" t="s">
        <v>1615</v>
      </c>
    </row>
    <row r="1685" spans="1:24" hidden="1" x14ac:dyDescent="0.35">
      <c r="A1685">
        <v>31</v>
      </c>
      <c r="B1685" t="s">
        <v>1092</v>
      </c>
      <c r="C1685" s="1">
        <v>44676</v>
      </c>
      <c r="D1685" t="s">
        <v>1401</v>
      </c>
      <c r="S1685" s="3" t="s">
        <v>1092</v>
      </c>
      <c r="T1685" s="6" t="s">
        <v>946</v>
      </c>
      <c r="U1685" s="6" t="s">
        <v>922</v>
      </c>
      <c r="V1685" s="2" t="s">
        <v>954</v>
      </c>
      <c r="W1685" t="str">
        <f t="shared" si="27"/>
        <v>SA_New_20224</v>
      </c>
      <c r="X1685" s="2" t="s">
        <v>1615</v>
      </c>
    </row>
    <row r="1686" spans="1:24" hidden="1" x14ac:dyDescent="0.35">
      <c r="A1686">
        <v>31</v>
      </c>
      <c r="B1686" t="s">
        <v>1092</v>
      </c>
      <c r="C1686" s="1">
        <v>45042</v>
      </c>
      <c r="D1686" t="s">
        <v>1126</v>
      </c>
      <c r="S1686" s="3" t="s">
        <v>1092</v>
      </c>
      <c r="T1686" s="6" t="s">
        <v>946</v>
      </c>
      <c r="U1686" s="6" t="s">
        <v>924</v>
      </c>
      <c r="V1686" s="2" t="s">
        <v>955</v>
      </c>
      <c r="W1686" t="str">
        <f t="shared" si="27"/>
        <v>SA_New_20234</v>
      </c>
      <c r="X1686" s="2" t="s">
        <v>1615</v>
      </c>
    </row>
    <row r="1687" spans="1:24" hidden="1" x14ac:dyDescent="0.35">
      <c r="A1687">
        <v>32</v>
      </c>
      <c r="B1687" t="s">
        <v>1092</v>
      </c>
      <c r="C1687" s="1">
        <v>44378</v>
      </c>
      <c r="D1687" t="s">
        <v>1306</v>
      </c>
      <c r="S1687" s="3" t="s">
        <v>1092</v>
      </c>
      <c r="T1687" s="6" t="s">
        <v>936</v>
      </c>
      <c r="U1687" s="6" t="s">
        <v>953</v>
      </c>
      <c r="V1687" s="2" t="s">
        <v>952</v>
      </c>
      <c r="W1687" t="str">
        <f t="shared" si="27"/>
        <v>SA_New_20217</v>
      </c>
      <c r="X1687" s="2" t="s">
        <v>1615</v>
      </c>
    </row>
    <row r="1688" spans="1:24" hidden="1" x14ac:dyDescent="0.35">
      <c r="A1688">
        <v>32</v>
      </c>
      <c r="B1688" t="s">
        <v>1092</v>
      </c>
      <c r="C1688" s="1">
        <v>44677</v>
      </c>
      <c r="D1688" t="s">
        <v>1402</v>
      </c>
      <c r="S1688" s="3" t="s">
        <v>1092</v>
      </c>
      <c r="T1688" s="6" t="s">
        <v>946</v>
      </c>
      <c r="U1688" s="6" t="s">
        <v>924</v>
      </c>
      <c r="V1688" s="2" t="s">
        <v>954</v>
      </c>
      <c r="W1688" t="str">
        <f t="shared" si="27"/>
        <v>SA_New_20224</v>
      </c>
      <c r="X1688" s="2" t="s">
        <v>1615</v>
      </c>
    </row>
    <row r="1689" spans="1:24" hidden="1" x14ac:dyDescent="0.35">
      <c r="A1689">
        <v>32</v>
      </c>
      <c r="B1689" t="s">
        <v>1092</v>
      </c>
      <c r="C1689" s="1">
        <v>45042</v>
      </c>
      <c r="D1689" t="s">
        <v>1127</v>
      </c>
      <c r="S1689" s="3" t="s">
        <v>1092</v>
      </c>
      <c r="T1689" s="6" t="s">
        <v>946</v>
      </c>
      <c r="U1689" s="6" t="s">
        <v>924</v>
      </c>
      <c r="V1689" s="2" t="s">
        <v>955</v>
      </c>
      <c r="W1689" t="str">
        <f t="shared" si="27"/>
        <v>SA_New_20234</v>
      </c>
      <c r="X1689" s="2" t="s">
        <v>1615</v>
      </c>
    </row>
    <row r="1690" spans="1:24" hidden="1" x14ac:dyDescent="0.35">
      <c r="A1690">
        <v>33</v>
      </c>
      <c r="B1690" t="s">
        <v>1092</v>
      </c>
      <c r="C1690" s="1">
        <v>44379</v>
      </c>
      <c r="D1690" t="s">
        <v>1307</v>
      </c>
      <c r="S1690" s="3" t="s">
        <v>1092</v>
      </c>
      <c r="T1690" s="6" t="s">
        <v>936</v>
      </c>
      <c r="U1690" s="6" t="s">
        <v>921</v>
      </c>
      <c r="V1690" s="2" t="s">
        <v>952</v>
      </c>
      <c r="W1690" t="str">
        <f t="shared" si="27"/>
        <v>SA_New_20217</v>
      </c>
      <c r="X1690" s="2" t="s">
        <v>1615</v>
      </c>
    </row>
    <row r="1691" spans="1:24" hidden="1" x14ac:dyDescent="0.35">
      <c r="A1691">
        <v>33</v>
      </c>
      <c r="B1691" t="s">
        <v>1092</v>
      </c>
      <c r="C1691" s="1">
        <v>44680</v>
      </c>
      <c r="D1691" t="s">
        <v>1403</v>
      </c>
      <c r="S1691" s="3" t="s">
        <v>1092</v>
      </c>
      <c r="T1691" s="6" t="s">
        <v>946</v>
      </c>
      <c r="U1691" s="6" t="s">
        <v>937</v>
      </c>
      <c r="V1691" s="2" t="s">
        <v>954</v>
      </c>
      <c r="W1691" t="str">
        <f t="shared" si="27"/>
        <v>SA_New_20224</v>
      </c>
      <c r="X1691" s="2" t="s">
        <v>1615</v>
      </c>
    </row>
    <row r="1692" spans="1:24" hidden="1" x14ac:dyDescent="0.35">
      <c r="A1692">
        <v>33</v>
      </c>
      <c r="B1692" t="s">
        <v>1092</v>
      </c>
      <c r="C1692" s="1">
        <v>45042</v>
      </c>
      <c r="D1692" t="s">
        <v>1128</v>
      </c>
      <c r="S1692" s="3" t="s">
        <v>1092</v>
      </c>
      <c r="T1692" s="6" t="s">
        <v>946</v>
      </c>
      <c r="U1692" s="6" t="s">
        <v>924</v>
      </c>
      <c r="V1692" s="2" t="s">
        <v>955</v>
      </c>
      <c r="W1692" t="str">
        <f t="shared" si="27"/>
        <v>SA_New_20234</v>
      </c>
      <c r="X1692" s="2" t="s">
        <v>1615</v>
      </c>
    </row>
    <row r="1693" spans="1:24" hidden="1" x14ac:dyDescent="0.35">
      <c r="A1693">
        <v>34</v>
      </c>
      <c r="B1693" t="s">
        <v>1092</v>
      </c>
      <c r="C1693" s="1">
        <v>44379</v>
      </c>
      <c r="D1693" t="s">
        <v>1308</v>
      </c>
      <c r="S1693" s="3" t="s">
        <v>1092</v>
      </c>
      <c r="T1693" s="6" t="s">
        <v>936</v>
      </c>
      <c r="U1693" s="6" t="s">
        <v>921</v>
      </c>
      <c r="V1693" s="2" t="s">
        <v>952</v>
      </c>
      <c r="W1693" t="str">
        <f t="shared" si="27"/>
        <v>SA_New_20217</v>
      </c>
      <c r="X1693" s="2" t="s">
        <v>1615</v>
      </c>
    </row>
    <row r="1694" spans="1:24" hidden="1" x14ac:dyDescent="0.35">
      <c r="A1694">
        <v>34</v>
      </c>
      <c r="B1694" t="s">
        <v>1092</v>
      </c>
      <c r="C1694" s="1">
        <v>44680</v>
      </c>
      <c r="D1694" t="s">
        <v>1404</v>
      </c>
      <c r="S1694" s="3" t="s">
        <v>1092</v>
      </c>
      <c r="T1694" s="6" t="s">
        <v>946</v>
      </c>
      <c r="U1694" s="6" t="s">
        <v>937</v>
      </c>
      <c r="V1694" s="2" t="s">
        <v>954</v>
      </c>
      <c r="W1694" t="str">
        <f t="shared" si="27"/>
        <v>SA_New_20224</v>
      </c>
      <c r="X1694" s="2" t="s">
        <v>1615</v>
      </c>
    </row>
    <row r="1695" spans="1:24" hidden="1" x14ac:dyDescent="0.35">
      <c r="A1695">
        <v>34</v>
      </c>
      <c r="B1695" t="s">
        <v>1092</v>
      </c>
      <c r="C1695" s="1">
        <v>45042</v>
      </c>
      <c r="D1695" t="s">
        <v>1129</v>
      </c>
      <c r="S1695" s="3" t="s">
        <v>1092</v>
      </c>
      <c r="T1695" s="6" t="s">
        <v>946</v>
      </c>
      <c r="U1695" s="6" t="s">
        <v>924</v>
      </c>
      <c r="V1695" s="2" t="s">
        <v>955</v>
      </c>
      <c r="W1695" t="str">
        <f t="shared" si="27"/>
        <v>SA_New_20234</v>
      </c>
      <c r="X1695" s="2" t="s">
        <v>1615</v>
      </c>
    </row>
    <row r="1696" spans="1:24" hidden="1" x14ac:dyDescent="0.35">
      <c r="A1696">
        <v>35</v>
      </c>
      <c r="B1696" t="s">
        <v>1092</v>
      </c>
      <c r="C1696" s="1">
        <v>44380</v>
      </c>
      <c r="D1696" t="s">
        <v>1309</v>
      </c>
      <c r="S1696" s="3" t="s">
        <v>1092</v>
      </c>
      <c r="T1696" s="6" t="s">
        <v>936</v>
      </c>
      <c r="U1696" s="6" t="s">
        <v>941</v>
      </c>
      <c r="V1696" s="2" t="s">
        <v>952</v>
      </c>
      <c r="W1696" t="str">
        <f t="shared" si="27"/>
        <v>SA_New_20217</v>
      </c>
      <c r="X1696" s="2" t="s">
        <v>1615</v>
      </c>
    </row>
    <row r="1697" spans="1:24" hidden="1" x14ac:dyDescent="0.35">
      <c r="A1697">
        <v>35</v>
      </c>
      <c r="B1697" t="s">
        <v>1092</v>
      </c>
      <c r="C1697" s="1">
        <v>44685</v>
      </c>
      <c r="D1697" t="s">
        <v>1405</v>
      </c>
      <c r="S1697" s="3" t="s">
        <v>1092</v>
      </c>
      <c r="T1697" s="6" t="s">
        <v>947</v>
      </c>
      <c r="U1697" s="6" t="s">
        <v>946</v>
      </c>
      <c r="V1697" s="2" t="s">
        <v>954</v>
      </c>
      <c r="W1697" t="str">
        <f t="shared" si="27"/>
        <v>SA_New_20225</v>
      </c>
      <c r="X1697" s="2" t="s">
        <v>1615</v>
      </c>
    </row>
    <row r="1698" spans="1:24" hidden="1" x14ac:dyDescent="0.35">
      <c r="A1698">
        <v>35</v>
      </c>
      <c r="B1698" t="s">
        <v>1092</v>
      </c>
      <c r="C1698" s="1">
        <v>45042</v>
      </c>
      <c r="D1698" t="s">
        <v>1130</v>
      </c>
      <c r="S1698" s="3" t="s">
        <v>1092</v>
      </c>
      <c r="T1698" s="6" t="s">
        <v>946</v>
      </c>
      <c r="U1698" s="6" t="s">
        <v>924</v>
      </c>
      <c r="V1698" s="2" t="s">
        <v>955</v>
      </c>
      <c r="W1698" t="str">
        <f t="shared" si="27"/>
        <v>SA_New_20234</v>
      </c>
      <c r="X1698" s="2" t="s">
        <v>1615</v>
      </c>
    </row>
    <row r="1699" spans="1:24" hidden="1" x14ac:dyDescent="0.35">
      <c r="A1699">
        <v>36</v>
      </c>
      <c r="B1699" t="s">
        <v>1092</v>
      </c>
      <c r="C1699" s="1">
        <v>44385</v>
      </c>
      <c r="D1699" t="s">
        <v>1310</v>
      </c>
      <c r="S1699" s="3" t="s">
        <v>1092</v>
      </c>
      <c r="T1699" s="6" t="s">
        <v>936</v>
      </c>
      <c r="U1699" s="6" t="s">
        <v>940</v>
      </c>
      <c r="V1699" s="2" t="s">
        <v>952</v>
      </c>
      <c r="W1699" t="str">
        <f t="shared" si="27"/>
        <v>SA_New_20217</v>
      </c>
      <c r="X1699" s="2" t="s">
        <v>1615</v>
      </c>
    </row>
    <row r="1700" spans="1:24" hidden="1" x14ac:dyDescent="0.35">
      <c r="A1700">
        <v>36</v>
      </c>
      <c r="B1700" t="s">
        <v>1092</v>
      </c>
      <c r="C1700" s="1">
        <v>44686</v>
      </c>
      <c r="D1700" t="s">
        <v>1406</v>
      </c>
      <c r="S1700" s="3" t="s">
        <v>1092</v>
      </c>
      <c r="T1700" s="6" t="s">
        <v>947</v>
      </c>
      <c r="U1700" s="6" t="s">
        <v>947</v>
      </c>
      <c r="V1700" s="2" t="s">
        <v>954</v>
      </c>
      <c r="W1700" t="str">
        <f t="shared" si="27"/>
        <v>SA_New_20225</v>
      </c>
      <c r="X1700" s="2" t="s">
        <v>1615</v>
      </c>
    </row>
    <row r="1701" spans="1:24" hidden="1" x14ac:dyDescent="0.35">
      <c r="A1701">
        <v>36</v>
      </c>
      <c r="B1701" t="s">
        <v>1092</v>
      </c>
      <c r="C1701" s="1">
        <v>45043</v>
      </c>
      <c r="D1701" t="s">
        <v>1131</v>
      </c>
      <c r="S1701" s="3" t="s">
        <v>1092</v>
      </c>
      <c r="T1701" s="6" t="s">
        <v>946</v>
      </c>
      <c r="U1701" s="6" t="s">
        <v>925</v>
      </c>
      <c r="V1701" s="2" t="s">
        <v>955</v>
      </c>
      <c r="W1701" t="str">
        <f t="shared" si="27"/>
        <v>SA_New_20234</v>
      </c>
      <c r="X1701" s="2" t="s">
        <v>1615</v>
      </c>
    </row>
    <row r="1702" spans="1:24" hidden="1" x14ac:dyDescent="0.35">
      <c r="A1702">
        <v>37</v>
      </c>
      <c r="B1702" t="s">
        <v>1092</v>
      </c>
      <c r="C1702" s="1">
        <v>44389</v>
      </c>
      <c r="D1702" t="s">
        <v>1311</v>
      </c>
      <c r="S1702" s="3" t="s">
        <v>1092</v>
      </c>
      <c r="T1702" s="6" t="s">
        <v>936</v>
      </c>
      <c r="U1702" s="6" t="s">
        <v>949</v>
      </c>
      <c r="V1702" s="2" t="s">
        <v>952</v>
      </c>
      <c r="W1702" t="str">
        <f t="shared" si="27"/>
        <v>SA_New_20217</v>
      </c>
      <c r="X1702" s="2" t="s">
        <v>1615</v>
      </c>
    </row>
    <row r="1703" spans="1:24" hidden="1" x14ac:dyDescent="0.35">
      <c r="A1703">
        <v>37</v>
      </c>
      <c r="B1703" t="s">
        <v>1092</v>
      </c>
      <c r="C1703" s="1">
        <v>44690</v>
      </c>
      <c r="D1703" t="s">
        <v>1407</v>
      </c>
      <c r="S1703" s="3" t="s">
        <v>1092</v>
      </c>
      <c r="T1703" s="6" t="s">
        <v>947</v>
      </c>
      <c r="U1703" s="6" t="s">
        <v>942</v>
      </c>
      <c r="V1703" s="2" t="s">
        <v>954</v>
      </c>
      <c r="W1703" t="str">
        <f t="shared" si="27"/>
        <v>SA_New_20225</v>
      </c>
      <c r="X1703" s="2" t="s">
        <v>1615</v>
      </c>
    </row>
    <row r="1704" spans="1:24" hidden="1" x14ac:dyDescent="0.35">
      <c r="A1704">
        <v>37</v>
      </c>
      <c r="B1704" t="s">
        <v>1092</v>
      </c>
      <c r="C1704" s="1">
        <v>45043</v>
      </c>
      <c r="D1704" t="s">
        <v>1132</v>
      </c>
      <c r="S1704" s="3" t="s">
        <v>1092</v>
      </c>
      <c r="T1704" s="6" t="s">
        <v>946</v>
      </c>
      <c r="U1704" s="6" t="s">
        <v>925</v>
      </c>
      <c r="V1704" s="2" t="s">
        <v>955</v>
      </c>
      <c r="W1704" t="str">
        <f t="shared" si="27"/>
        <v>SA_New_20234</v>
      </c>
      <c r="X1704" s="2" t="s">
        <v>1615</v>
      </c>
    </row>
    <row r="1705" spans="1:24" hidden="1" x14ac:dyDescent="0.35">
      <c r="A1705">
        <v>38</v>
      </c>
      <c r="B1705" t="s">
        <v>1092</v>
      </c>
      <c r="C1705" s="1">
        <v>44391</v>
      </c>
      <c r="D1705" t="s">
        <v>1312</v>
      </c>
      <c r="S1705" s="3" t="s">
        <v>1092</v>
      </c>
      <c r="T1705" s="6" t="s">
        <v>936</v>
      </c>
      <c r="U1705" s="6" t="s">
        <v>951</v>
      </c>
      <c r="V1705" s="2" t="s">
        <v>952</v>
      </c>
      <c r="W1705" t="str">
        <f t="shared" si="27"/>
        <v>SA_New_20217</v>
      </c>
      <c r="X1705" s="2" t="s">
        <v>1615</v>
      </c>
    </row>
    <row r="1706" spans="1:24" hidden="1" x14ac:dyDescent="0.35">
      <c r="A1706">
        <v>38</v>
      </c>
      <c r="B1706" t="s">
        <v>1092</v>
      </c>
      <c r="C1706" s="1">
        <v>44693</v>
      </c>
      <c r="D1706" t="s">
        <v>630</v>
      </c>
      <c r="S1706" s="3" t="s">
        <v>1092</v>
      </c>
      <c r="T1706" s="6" t="s">
        <v>947</v>
      </c>
      <c r="U1706" s="6" t="s">
        <v>949</v>
      </c>
      <c r="V1706" s="2" t="s">
        <v>954</v>
      </c>
      <c r="W1706" t="str">
        <f t="shared" si="27"/>
        <v>SA_New_20225</v>
      </c>
      <c r="X1706" s="2" t="s">
        <v>1615</v>
      </c>
    </row>
    <row r="1707" spans="1:24" hidden="1" x14ac:dyDescent="0.35">
      <c r="A1707">
        <v>38</v>
      </c>
      <c r="B1707" t="s">
        <v>1092</v>
      </c>
      <c r="C1707" s="1">
        <v>45051</v>
      </c>
      <c r="D1707" t="s">
        <v>1133</v>
      </c>
      <c r="S1707" s="3" t="s">
        <v>1092</v>
      </c>
      <c r="T1707" s="6" t="s">
        <v>947</v>
      </c>
      <c r="U1707" s="6" t="s">
        <v>947</v>
      </c>
      <c r="V1707" s="2" t="s">
        <v>955</v>
      </c>
      <c r="W1707" t="str">
        <f t="shared" si="27"/>
        <v>SA_New_20235</v>
      </c>
      <c r="X1707" s="2" t="s">
        <v>1615</v>
      </c>
    </row>
    <row r="1708" spans="1:24" hidden="1" x14ac:dyDescent="0.35">
      <c r="A1708">
        <v>39</v>
      </c>
      <c r="B1708" t="s">
        <v>1092</v>
      </c>
      <c r="C1708" s="1">
        <v>44392</v>
      </c>
      <c r="D1708" t="s">
        <v>1313</v>
      </c>
      <c r="S1708" s="3" t="s">
        <v>1092</v>
      </c>
      <c r="T1708" s="6" t="s">
        <v>936</v>
      </c>
      <c r="U1708" s="6" t="s">
        <v>943</v>
      </c>
      <c r="V1708" s="2" t="s">
        <v>952</v>
      </c>
      <c r="W1708" t="str">
        <f t="shared" si="27"/>
        <v>SA_New_20217</v>
      </c>
      <c r="X1708" s="2" t="s">
        <v>1615</v>
      </c>
    </row>
    <row r="1709" spans="1:24" hidden="1" x14ac:dyDescent="0.35">
      <c r="A1709">
        <v>39</v>
      </c>
      <c r="B1709" t="s">
        <v>1092</v>
      </c>
      <c r="C1709" s="1">
        <v>44693</v>
      </c>
      <c r="D1709" t="s">
        <v>1408</v>
      </c>
      <c r="S1709" s="3" t="s">
        <v>1092</v>
      </c>
      <c r="T1709" s="6" t="s">
        <v>947</v>
      </c>
      <c r="U1709" s="6" t="s">
        <v>949</v>
      </c>
      <c r="V1709" s="2" t="s">
        <v>954</v>
      </c>
      <c r="W1709" t="str">
        <f t="shared" si="27"/>
        <v>SA_New_20225</v>
      </c>
      <c r="X1709" s="2" t="s">
        <v>1615</v>
      </c>
    </row>
    <row r="1710" spans="1:24" hidden="1" x14ac:dyDescent="0.35">
      <c r="A1710">
        <v>39</v>
      </c>
      <c r="B1710" t="s">
        <v>1092</v>
      </c>
      <c r="C1710" s="1">
        <v>45051</v>
      </c>
      <c r="D1710" t="s">
        <v>1134</v>
      </c>
      <c r="S1710" s="3" t="s">
        <v>1092</v>
      </c>
      <c r="T1710" s="6" t="s">
        <v>947</v>
      </c>
      <c r="U1710" s="6" t="s">
        <v>947</v>
      </c>
      <c r="V1710" s="2" t="s">
        <v>955</v>
      </c>
      <c r="W1710" t="str">
        <f t="shared" si="27"/>
        <v>SA_New_20235</v>
      </c>
      <c r="X1710" s="2" t="s">
        <v>1615</v>
      </c>
    </row>
    <row r="1711" spans="1:24" hidden="1" x14ac:dyDescent="0.35">
      <c r="A1711">
        <v>40</v>
      </c>
      <c r="B1711" t="s">
        <v>1092</v>
      </c>
      <c r="C1711" s="1">
        <v>44392</v>
      </c>
      <c r="D1711" t="s">
        <v>1314</v>
      </c>
      <c r="S1711" s="3" t="s">
        <v>1092</v>
      </c>
      <c r="T1711" s="6" t="s">
        <v>936</v>
      </c>
      <c r="U1711" s="6" t="s">
        <v>943</v>
      </c>
      <c r="V1711" s="2" t="s">
        <v>952</v>
      </c>
      <c r="W1711" t="str">
        <f t="shared" si="27"/>
        <v>SA_New_20217</v>
      </c>
      <c r="X1711" s="2" t="s">
        <v>1615</v>
      </c>
    </row>
    <row r="1712" spans="1:24" hidden="1" x14ac:dyDescent="0.35">
      <c r="A1712">
        <v>40</v>
      </c>
      <c r="B1712" t="s">
        <v>1092</v>
      </c>
      <c r="C1712" s="1">
        <v>44697</v>
      </c>
      <c r="D1712" t="s">
        <v>1409</v>
      </c>
      <c r="S1712" s="3" t="s">
        <v>1092</v>
      </c>
      <c r="T1712" s="6" t="s">
        <v>947</v>
      </c>
      <c r="U1712" s="6" t="s">
        <v>928</v>
      </c>
      <c r="V1712" s="2" t="s">
        <v>954</v>
      </c>
      <c r="W1712" t="str">
        <f t="shared" si="27"/>
        <v>SA_New_20225</v>
      </c>
      <c r="X1712" s="2" t="s">
        <v>1615</v>
      </c>
    </row>
    <row r="1713" spans="1:24" hidden="1" x14ac:dyDescent="0.35">
      <c r="A1713">
        <v>40</v>
      </c>
      <c r="B1713" t="s">
        <v>1092</v>
      </c>
      <c r="C1713" s="1">
        <v>45051</v>
      </c>
      <c r="D1713" t="s">
        <v>1135</v>
      </c>
      <c r="S1713" s="3" t="s">
        <v>1092</v>
      </c>
      <c r="T1713" s="6" t="s">
        <v>947</v>
      </c>
      <c r="U1713" s="6" t="s">
        <v>947</v>
      </c>
      <c r="V1713" s="2" t="s">
        <v>955</v>
      </c>
      <c r="W1713" t="str">
        <f t="shared" si="27"/>
        <v>SA_New_20235</v>
      </c>
      <c r="X1713" s="2" t="s">
        <v>1615</v>
      </c>
    </row>
    <row r="1714" spans="1:24" hidden="1" x14ac:dyDescent="0.35">
      <c r="A1714">
        <v>41</v>
      </c>
      <c r="B1714" t="s">
        <v>1092</v>
      </c>
      <c r="C1714" s="1">
        <v>44397</v>
      </c>
      <c r="D1714" t="s">
        <v>1315</v>
      </c>
      <c r="S1714" s="3" t="s">
        <v>1092</v>
      </c>
      <c r="T1714" s="6" t="s">
        <v>936</v>
      </c>
      <c r="U1714" s="6" t="s">
        <v>932</v>
      </c>
      <c r="V1714" s="2" t="s">
        <v>952</v>
      </c>
      <c r="W1714" t="str">
        <f t="shared" si="27"/>
        <v>SA_New_20217</v>
      </c>
      <c r="X1714" s="2" t="s">
        <v>1615</v>
      </c>
    </row>
    <row r="1715" spans="1:24" hidden="1" x14ac:dyDescent="0.35">
      <c r="A1715">
        <v>41</v>
      </c>
      <c r="B1715" t="s">
        <v>1092</v>
      </c>
      <c r="C1715" s="1">
        <v>44697</v>
      </c>
      <c r="D1715" t="s">
        <v>1410</v>
      </c>
      <c r="S1715" s="3" t="s">
        <v>1092</v>
      </c>
      <c r="T1715" s="6" t="s">
        <v>947</v>
      </c>
      <c r="U1715" s="6" t="s">
        <v>928</v>
      </c>
      <c r="V1715" s="2" t="s">
        <v>954</v>
      </c>
      <c r="W1715" t="str">
        <f t="shared" si="27"/>
        <v>SA_New_20225</v>
      </c>
      <c r="X1715" s="2" t="s">
        <v>1615</v>
      </c>
    </row>
    <row r="1716" spans="1:24" hidden="1" x14ac:dyDescent="0.35">
      <c r="A1716">
        <v>41</v>
      </c>
      <c r="B1716" t="s">
        <v>1092</v>
      </c>
      <c r="C1716" s="1">
        <v>45054</v>
      </c>
      <c r="D1716" t="s">
        <v>1136</v>
      </c>
      <c r="S1716" s="3" t="s">
        <v>1092</v>
      </c>
      <c r="T1716" s="6" t="s">
        <v>947</v>
      </c>
      <c r="U1716" s="6" t="s">
        <v>940</v>
      </c>
      <c r="V1716" s="2" t="s">
        <v>955</v>
      </c>
      <c r="W1716" t="str">
        <f t="shared" si="27"/>
        <v>SA_New_20235</v>
      </c>
      <c r="X1716" s="2" t="s">
        <v>1615</v>
      </c>
    </row>
    <row r="1717" spans="1:24" hidden="1" x14ac:dyDescent="0.35">
      <c r="A1717">
        <v>42</v>
      </c>
      <c r="B1717" t="s">
        <v>1092</v>
      </c>
      <c r="C1717" s="1">
        <v>44400</v>
      </c>
      <c r="D1717" t="s">
        <v>1316</v>
      </c>
      <c r="S1717" s="3" t="s">
        <v>1092</v>
      </c>
      <c r="T1717" s="6" t="s">
        <v>936</v>
      </c>
      <c r="U1717" s="6" t="s">
        <v>934</v>
      </c>
      <c r="V1717" s="2" t="s">
        <v>952</v>
      </c>
      <c r="W1717" t="str">
        <f t="shared" si="27"/>
        <v>SA_New_20217</v>
      </c>
      <c r="X1717" s="2" t="s">
        <v>1615</v>
      </c>
    </row>
    <row r="1718" spans="1:24" hidden="1" x14ac:dyDescent="0.35">
      <c r="A1718">
        <v>42</v>
      </c>
      <c r="B1718" t="s">
        <v>1092</v>
      </c>
      <c r="C1718" s="1">
        <v>44701</v>
      </c>
      <c r="D1718" t="s">
        <v>1411</v>
      </c>
      <c r="S1718" s="3" t="s">
        <v>1092</v>
      </c>
      <c r="T1718" s="6" t="s">
        <v>947</v>
      </c>
      <c r="U1718" s="6" t="s">
        <v>932</v>
      </c>
      <c r="V1718" s="2" t="s">
        <v>954</v>
      </c>
      <c r="W1718" t="str">
        <f t="shared" si="27"/>
        <v>SA_New_20225</v>
      </c>
      <c r="X1718" s="2" t="s">
        <v>1615</v>
      </c>
    </row>
    <row r="1719" spans="1:24" hidden="1" x14ac:dyDescent="0.35">
      <c r="A1719">
        <v>42</v>
      </c>
      <c r="B1719" t="s">
        <v>1092</v>
      </c>
      <c r="C1719" s="1">
        <v>45064</v>
      </c>
      <c r="D1719" t="s">
        <v>1137</v>
      </c>
      <c r="S1719" s="3" t="s">
        <v>1092</v>
      </c>
      <c r="T1719" s="6" t="s">
        <v>947</v>
      </c>
      <c r="U1719" s="6" t="s">
        <v>930</v>
      </c>
      <c r="V1719" s="2" t="s">
        <v>955</v>
      </c>
      <c r="W1719" t="str">
        <f t="shared" si="27"/>
        <v>SA_New_20235</v>
      </c>
      <c r="X1719" s="2" t="s">
        <v>1615</v>
      </c>
    </row>
    <row r="1720" spans="1:24" hidden="1" x14ac:dyDescent="0.35">
      <c r="A1720">
        <v>43</v>
      </c>
      <c r="B1720" t="s">
        <v>1092</v>
      </c>
      <c r="C1720" s="1">
        <v>44404</v>
      </c>
      <c r="D1720" t="s">
        <v>1317</v>
      </c>
      <c r="S1720" s="3" t="s">
        <v>1092</v>
      </c>
      <c r="T1720" s="6" t="s">
        <v>936</v>
      </c>
      <c r="U1720" s="6" t="s">
        <v>925</v>
      </c>
      <c r="V1720" s="2" t="s">
        <v>952</v>
      </c>
      <c r="W1720" t="str">
        <f t="shared" si="27"/>
        <v>SA_New_20217</v>
      </c>
      <c r="X1720" s="2" t="s">
        <v>1615</v>
      </c>
    </row>
    <row r="1721" spans="1:24" hidden="1" x14ac:dyDescent="0.35">
      <c r="A1721">
        <v>43</v>
      </c>
      <c r="B1721" t="s">
        <v>1092</v>
      </c>
      <c r="C1721" s="1">
        <v>44704</v>
      </c>
      <c r="D1721" t="s">
        <v>1412</v>
      </c>
      <c r="S1721" s="3" t="s">
        <v>1092</v>
      </c>
      <c r="T1721" s="6" t="s">
        <v>947</v>
      </c>
      <c r="U1721" s="6" t="s">
        <v>934</v>
      </c>
      <c r="V1721" s="2" t="s">
        <v>954</v>
      </c>
      <c r="W1721" t="str">
        <f t="shared" si="27"/>
        <v>SA_New_20225</v>
      </c>
      <c r="X1721" s="2" t="s">
        <v>1615</v>
      </c>
    </row>
    <row r="1722" spans="1:24" hidden="1" x14ac:dyDescent="0.35">
      <c r="A1722">
        <v>43</v>
      </c>
      <c r="B1722" t="s">
        <v>1092</v>
      </c>
      <c r="C1722" s="1">
        <v>45069</v>
      </c>
      <c r="D1722" t="s">
        <v>1138</v>
      </c>
      <c r="S1722" s="3" t="s">
        <v>1092</v>
      </c>
      <c r="T1722" s="6" t="s">
        <v>947</v>
      </c>
      <c r="U1722" s="6" t="s">
        <v>934</v>
      </c>
      <c r="V1722" s="2" t="s">
        <v>955</v>
      </c>
      <c r="W1722" t="str">
        <f t="shared" si="27"/>
        <v>SA_New_20235</v>
      </c>
      <c r="X1722" s="2" t="s">
        <v>1615</v>
      </c>
    </row>
    <row r="1723" spans="1:24" hidden="1" x14ac:dyDescent="0.35">
      <c r="A1723">
        <v>44</v>
      </c>
      <c r="B1723" t="s">
        <v>1092</v>
      </c>
      <c r="C1723" s="1">
        <v>44404</v>
      </c>
      <c r="D1723" t="s">
        <v>1318</v>
      </c>
      <c r="S1723" s="3" t="s">
        <v>1092</v>
      </c>
      <c r="T1723" s="6" t="s">
        <v>936</v>
      </c>
      <c r="U1723" s="6" t="s">
        <v>925</v>
      </c>
      <c r="V1723" s="2" t="s">
        <v>952</v>
      </c>
      <c r="W1723" t="str">
        <f t="shared" si="27"/>
        <v>SA_New_20217</v>
      </c>
      <c r="X1723" s="2" t="s">
        <v>1615</v>
      </c>
    </row>
    <row r="1724" spans="1:24" hidden="1" x14ac:dyDescent="0.35">
      <c r="A1724">
        <v>44</v>
      </c>
      <c r="B1724" t="s">
        <v>1092</v>
      </c>
      <c r="C1724" s="1">
        <v>44701</v>
      </c>
      <c r="D1724" t="s">
        <v>1413</v>
      </c>
      <c r="S1724" s="3" t="s">
        <v>1092</v>
      </c>
      <c r="T1724" s="6" t="s">
        <v>947</v>
      </c>
      <c r="U1724" s="6" t="s">
        <v>932</v>
      </c>
      <c r="V1724" s="2" t="s">
        <v>954</v>
      </c>
      <c r="W1724" t="str">
        <f t="shared" si="27"/>
        <v>SA_New_20225</v>
      </c>
      <c r="X1724" s="2" t="s">
        <v>1615</v>
      </c>
    </row>
    <row r="1725" spans="1:24" hidden="1" x14ac:dyDescent="0.35">
      <c r="A1725">
        <v>44</v>
      </c>
      <c r="B1725" t="s">
        <v>1092</v>
      </c>
      <c r="C1725" s="1">
        <v>45076</v>
      </c>
      <c r="D1725" t="s">
        <v>1101</v>
      </c>
      <c r="S1725" s="3" t="s">
        <v>1092</v>
      </c>
      <c r="T1725" s="6" t="s">
        <v>947</v>
      </c>
      <c r="U1725" s="6" t="s">
        <v>938</v>
      </c>
      <c r="V1725" s="2" t="s">
        <v>955</v>
      </c>
      <c r="W1725" t="str">
        <f t="shared" si="27"/>
        <v>SA_New_20235</v>
      </c>
      <c r="X1725" s="2" t="s">
        <v>1615</v>
      </c>
    </row>
    <row r="1726" spans="1:24" hidden="1" x14ac:dyDescent="0.35">
      <c r="A1726">
        <v>45</v>
      </c>
      <c r="B1726" t="s">
        <v>1092</v>
      </c>
      <c r="C1726" s="1">
        <v>44404</v>
      </c>
      <c r="D1726" t="s">
        <v>1009</v>
      </c>
      <c r="S1726" s="3" t="s">
        <v>1092</v>
      </c>
      <c r="T1726" s="6" t="s">
        <v>936</v>
      </c>
      <c r="U1726" s="6" t="s">
        <v>925</v>
      </c>
      <c r="V1726" s="2" t="s">
        <v>952</v>
      </c>
      <c r="W1726" t="str">
        <f t="shared" si="27"/>
        <v>SA_New_20217</v>
      </c>
      <c r="X1726" s="2" t="s">
        <v>1615</v>
      </c>
    </row>
    <row r="1727" spans="1:24" hidden="1" x14ac:dyDescent="0.35">
      <c r="A1727">
        <v>45</v>
      </c>
      <c r="B1727" t="s">
        <v>1092</v>
      </c>
      <c r="C1727" s="1">
        <v>44704</v>
      </c>
      <c r="D1727" t="s">
        <v>1414</v>
      </c>
      <c r="S1727" s="3" t="s">
        <v>1092</v>
      </c>
      <c r="T1727" s="6" t="s">
        <v>947</v>
      </c>
      <c r="U1727" s="6" t="s">
        <v>934</v>
      </c>
      <c r="V1727" s="2" t="s">
        <v>954</v>
      </c>
      <c r="W1727" t="str">
        <f t="shared" si="27"/>
        <v>SA_New_20225</v>
      </c>
      <c r="X1727" s="2" t="s">
        <v>1615</v>
      </c>
    </row>
    <row r="1728" spans="1:24" hidden="1" x14ac:dyDescent="0.35">
      <c r="A1728">
        <v>45</v>
      </c>
      <c r="B1728" t="s">
        <v>1092</v>
      </c>
      <c r="C1728" s="1">
        <v>45078</v>
      </c>
      <c r="D1728" t="s">
        <v>1139</v>
      </c>
      <c r="S1728" s="3" t="s">
        <v>1092</v>
      </c>
      <c r="T1728" s="6" t="s">
        <v>927</v>
      </c>
      <c r="U1728" s="6" t="s">
        <v>953</v>
      </c>
      <c r="V1728" s="2" t="s">
        <v>955</v>
      </c>
      <c r="W1728" t="str">
        <f t="shared" si="27"/>
        <v>SA_New_20236</v>
      </c>
      <c r="X1728" s="2" t="s">
        <v>1615</v>
      </c>
    </row>
    <row r="1729" spans="1:24" hidden="1" x14ac:dyDescent="0.35">
      <c r="A1729">
        <v>46</v>
      </c>
      <c r="B1729" t="s">
        <v>1092</v>
      </c>
      <c r="C1729" s="1">
        <v>44405</v>
      </c>
      <c r="D1729" t="s">
        <v>1319</v>
      </c>
      <c r="S1729" s="3" t="s">
        <v>1092</v>
      </c>
      <c r="T1729" s="6" t="s">
        <v>936</v>
      </c>
      <c r="U1729" s="6" t="s">
        <v>926</v>
      </c>
      <c r="V1729" s="2" t="s">
        <v>952</v>
      </c>
      <c r="W1729" t="str">
        <f t="shared" si="27"/>
        <v>SA_New_20217</v>
      </c>
      <c r="X1729" s="2" t="s">
        <v>1615</v>
      </c>
    </row>
    <row r="1730" spans="1:24" hidden="1" x14ac:dyDescent="0.35">
      <c r="A1730">
        <v>46</v>
      </c>
      <c r="B1730" t="s">
        <v>1092</v>
      </c>
      <c r="C1730" s="1">
        <v>44705</v>
      </c>
      <c r="D1730" t="s">
        <v>1415</v>
      </c>
      <c r="S1730" s="3" t="s">
        <v>1092</v>
      </c>
      <c r="T1730" s="6" t="s">
        <v>947</v>
      </c>
      <c r="U1730" s="6" t="s">
        <v>935</v>
      </c>
      <c r="V1730" s="2" t="s">
        <v>954</v>
      </c>
      <c r="W1730" t="str">
        <f t="shared" ref="W1730:W1793" si="28">CONCATENATE(B1730,"_",V1730,T1730)</f>
        <v>SA_New_20225</v>
      </c>
      <c r="X1730" s="2" t="s">
        <v>1615</v>
      </c>
    </row>
    <row r="1731" spans="1:24" hidden="1" x14ac:dyDescent="0.35">
      <c r="A1731">
        <v>46</v>
      </c>
      <c r="B1731" t="s">
        <v>1092</v>
      </c>
      <c r="C1731" s="1">
        <v>45078</v>
      </c>
      <c r="D1731" t="s">
        <v>1140</v>
      </c>
      <c r="S1731" s="3" t="s">
        <v>1092</v>
      </c>
      <c r="T1731" s="6" t="s">
        <v>927</v>
      </c>
      <c r="U1731" s="6" t="s">
        <v>953</v>
      </c>
      <c r="V1731" s="2" t="s">
        <v>955</v>
      </c>
      <c r="W1731" t="str">
        <f t="shared" si="28"/>
        <v>SA_New_20236</v>
      </c>
      <c r="X1731" s="2" t="s">
        <v>1615</v>
      </c>
    </row>
    <row r="1732" spans="1:24" hidden="1" x14ac:dyDescent="0.35">
      <c r="A1732">
        <v>47</v>
      </c>
      <c r="B1732" t="s">
        <v>1092</v>
      </c>
      <c r="C1732" s="1">
        <v>44405</v>
      </c>
      <c r="D1732" t="s">
        <v>1320</v>
      </c>
      <c r="S1732" s="3" t="s">
        <v>1092</v>
      </c>
      <c r="T1732" s="6" t="s">
        <v>936</v>
      </c>
      <c r="U1732" s="6" t="s">
        <v>926</v>
      </c>
      <c r="V1732" s="2" t="s">
        <v>952</v>
      </c>
      <c r="W1732" t="str">
        <f t="shared" si="28"/>
        <v>SA_New_20217</v>
      </c>
      <c r="X1732" s="2" t="s">
        <v>1615</v>
      </c>
    </row>
    <row r="1733" spans="1:24" hidden="1" x14ac:dyDescent="0.35">
      <c r="A1733">
        <v>47</v>
      </c>
      <c r="B1733" t="s">
        <v>1092</v>
      </c>
      <c r="C1733" s="1">
        <v>44706</v>
      </c>
      <c r="D1733" t="s">
        <v>1416</v>
      </c>
      <c r="S1733" s="3" t="s">
        <v>1092</v>
      </c>
      <c r="T1733" s="6" t="s">
        <v>947</v>
      </c>
      <c r="U1733" s="6" t="s">
        <v>922</v>
      </c>
      <c r="V1733" s="2" t="s">
        <v>954</v>
      </c>
      <c r="W1733" t="str">
        <f t="shared" si="28"/>
        <v>SA_New_20225</v>
      </c>
      <c r="X1733" s="2" t="s">
        <v>1615</v>
      </c>
    </row>
    <row r="1734" spans="1:24" hidden="1" x14ac:dyDescent="0.35">
      <c r="A1734">
        <v>47</v>
      </c>
      <c r="B1734" t="s">
        <v>1092</v>
      </c>
      <c r="C1734" s="1">
        <v>45082</v>
      </c>
      <c r="D1734" t="s">
        <v>1141</v>
      </c>
      <c r="S1734" s="3" t="s">
        <v>1092</v>
      </c>
      <c r="T1734" s="6" t="s">
        <v>927</v>
      </c>
      <c r="U1734" s="6" t="s">
        <v>947</v>
      </c>
      <c r="V1734" s="2" t="s">
        <v>955</v>
      </c>
      <c r="W1734" t="str">
        <f t="shared" si="28"/>
        <v>SA_New_20236</v>
      </c>
      <c r="X1734" s="2" t="s">
        <v>1615</v>
      </c>
    </row>
    <row r="1735" spans="1:24" hidden="1" x14ac:dyDescent="0.35">
      <c r="A1735">
        <v>48</v>
      </c>
      <c r="B1735" t="s">
        <v>1092</v>
      </c>
      <c r="C1735" s="1">
        <v>44405</v>
      </c>
      <c r="D1735" t="s">
        <v>1321</v>
      </c>
      <c r="S1735" s="3" t="s">
        <v>1092</v>
      </c>
      <c r="T1735" s="6" t="s">
        <v>936</v>
      </c>
      <c r="U1735" s="6" t="s">
        <v>926</v>
      </c>
      <c r="V1735" s="2" t="s">
        <v>952</v>
      </c>
      <c r="W1735" t="str">
        <f t="shared" si="28"/>
        <v>SA_New_20217</v>
      </c>
      <c r="X1735" s="2" t="s">
        <v>1615</v>
      </c>
    </row>
    <row r="1736" spans="1:24" hidden="1" x14ac:dyDescent="0.35">
      <c r="A1736">
        <v>48</v>
      </c>
      <c r="B1736" t="s">
        <v>1092</v>
      </c>
      <c r="C1736" s="1">
        <v>44708</v>
      </c>
      <c r="D1736" t="s">
        <v>1417</v>
      </c>
      <c r="S1736" s="3" t="s">
        <v>1092</v>
      </c>
      <c r="T1736" s="6" t="s">
        <v>947</v>
      </c>
      <c r="U1736" s="6" t="s">
        <v>925</v>
      </c>
      <c r="V1736" s="2" t="s">
        <v>954</v>
      </c>
      <c r="W1736" t="str">
        <f t="shared" si="28"/>
        <v>SA_New_20225</v>
      </c>
      <c r="X1736" s="2" t="s">
        <v>1615</v>
      </c>
    </row>
    <row r="1737" spans="1:24" hidden="1" x14ac:dyDescent="0.35">
      <c r="A1737">
        <v>48</v>
      </c>
      <c r="B1737" t="s">
        <v>1092</v>
      </c>
      <c r="C1737" s="1">
        <v>45082</v>
      </c>
      <c r="D1737" t="s">
        <v>1142</v>
      </c>
      <c r="S1737" s="3" t="s">
        <v>1092</v>
      </c>
      <c r="T1737" s="6" t="s">
        <v>927</v>
      </c>
      <c r="U1737" s="6" t="s">
        <v>947</v>
      </c>
      <c r="V1737" s="2" t="s">
        <v>955</v>
      </c>
      <c r="W1737" t="str">
        <f t="shared" si="28"/>
        <v>SA_New_20236</v>
      </c>
      <c r="X1737" s="2" t="s">
        <v>1615</v>
      </c>
    </row>
    <row r="1738" spans="1:24" hidden="1" x14ac:dyDescent="0.35">
      <c r="A1738">
        <v>49</v>
      </c>
      <c r="B1738" t="s">
        <v>1092</v>
      </c>
      <c r="C1738" s="1">
        <v>44405</v>
      </c>
      <c r="D1738" t="s">
        <v>1322</v>
      </c>
      <c r="S1738" s="3" t="s">
        <v>1092</v>
      </c>
      <c r="T1738" s="6" t="s">
        <v>936</v>
      </c>
      <c r="U1738" s="6" t="s">
        <v>926</v>
      </c>
      <c r="V1738" s="2" t="s">
        <v>952</v>
      </c>
      <c r="W1738" t="str">
        <f t="shared" si="28"/>
        <v>SA_New_20217</v>
      </c>
      <c r="X1738" s="2" t="s">
        <v>1615</v>
      </c>
    </row>
    <row r="1739" spans="1:24" hidden="1" x14ac:dyDescent="0.35">
      <c r="A1739">
        <v>49</v>
      </c>
      <c r="B1739" t="s">
        <v>1092</v>
      </c>
      <c r="C1739" s="1">
        <v>44708</v>
      </c>
      <c r="D1739" t="s">
        <v>1418</v>
      </c>
      <c r="S1739" s="3" t="s">
        <v>1092</v>
      </c>
      <c r="T1739" s="6" t="s">
        <v>947</v>
      </c>
      <c r="U1739" s="6" t="s">
        <v>925</v>
      </c>
      <c r="V1739" s="2" t="s">
        <v>954</v>
      </c>
      <c r="W1739" t="str">
        <f t="shared" si="28"/>
        <v>SA_New_20225</v>
      </c>
      <c r="X1739" s="2" t="s">
        <v>1615</v>
      </c>
    </row>
    <row r="1740" spans="1:24" hidden="1" x14ac:dyDescent="0.35">
      <c r="A1740">
        <v>49</v>
      </c>
      <c r="B1740" t="s">
        <v>1092</v>
      </c>
      <c r="C1740" s="1">
        <v>45083</v>
      </c>
      <c r="D1740" t="s">
        <v>1143</v>
      </c>
      <c r="S1740" s="3" t="s">
        <v>1092</v>
      </c>
      <c r="T1740" s="6" t="s">
        <v>927</v>
      </c>
      <c r="U1740" s="6" t="s">
        <v>927</v>
      </c>
      <c r="V1740" s="2" t="s">
        <v>955</v>
      </c>
      <c r="W1740" t="str">
        <f t="shared" si="28"/>
        <v>SA_New_20236</v>
      </c>
      <c r="X1740" s="2" t="s">
        <v>1615</v>
      </c>
    </row>
    <row r="1741" spans="1:24" hidden="1" x14ac:dyDescent="0.35">
      <c r="A1741">
        <v>50</v>
      </c>
      <c r="B1741" t="s">
        <v>1092</v>
      </c>
      <c r="C1741" s="1">
        <v>44406</v>
      </c>
      <c r="D1741" t="s">
        <v>1323</v>
      </c>
      <c r="S1741" s="3" t="s">
        <v>1092</v>
      </c>
      <c r="T1741" s="6" t="s">
        <v>936</v>
      </c>
      <c r="U1741" s="6" t="s">
        <v>937</v>
      </c>
      <c r="V1741" s="2" t="s">
        <v>952</v>
      </c>
      <c r="W1741" t="str">
        <f t="shared" si="28"/>
        <v>SA_New_20217</v>
      </c>
      <c r="X1741" s="2" t="s">
        <v>1615</v>
      </c>
    </row>
    <row r="1742" spans="1:24" hidden="1" x14ac:dyDescent="0.35">
      <c r="A1742">
        <v>50</v>
      </c>
      <c r="B1742" t="s">
        <v>1092</v>
      </c>
      <c r="C1742" s="1">
        <v>44708</v>
      </c>
      <c r="D1742" t="s">
        <v>1419</v>
      </c>
      <c r="S1742" s="3" t="s">
        <v>1092</v>
      </c>
      <c r="T1742" s="6" t="s">
        <v>947</v>
      </c>
      <c r="U1742" s="6" t="s">
        <v>925</v>
      </c>
      <c r="V1742" s="2" t="s">
        <v>954</v>
      </c>
      <c r="W1742" t="str">
        <f t="shared" si="28"/>
        <v>SA_New_20225</v>
      </c>
      <c r="X1742" s="2" t="s">
        <v>1615</v>
      </c>
    </row>
    <row r="1743" spans="1:24" hidden="1" x14ac:dyDescent="0.35">
      <c r="A1743">
        <v>50</v>
      </c>
      <c r="B1743" t="s">
        <v>1092</v>
      </c>
      <c r="C1743" s="1">
        <v>45083</v>
      </c>
      <c r="D1743" t="s">
        <v>1144</v>
      </c>
      <c r="S1743" s="3" t="s">
        <v>1092</v>
      </c>
      <c r="T1743" s="6" t="s">
        <v>927</v>
      </c>
      <c r="U1743" s="6" t="s">
        <v>927</v>
      </c>
      <c r="V1743" s="2" t="s">
        <v>955</v>
      </c>
      <c r="W1743" t="str">
        <f t="shared" si="28"/>
        <v>SA_New_20236</v>
      </c>
      <c r="X1743" s="2" t="s">
        <v>1615</v>
      </c>
    </row>
    <row r="1744" spans="1:24" hidden="1" x14ac:dyDescent="0.35">
      <c r="A1744">
        <v>51</v>
      </c>
      <c r="B1744" t="s">
        <v>1092</v>
      </c>
      <c r="C1744" s="1">
        <v>44407</v>
      </c>
      <c r="D1744" t="s">
        <v>1324</v>
      </c>
      <c r="S1744" s="3" t="s">
        <v>1092</v>
      </c>
      <c r="T1744" s="6" t="s">
        <v>936</v>
      </c>
      <c r="U1744" s="6" t="s">
        <v>938</v>
      </c>
      <c r="V1744" s="2" t="s">
        <v>952</v>
      </c>
      <c r="W1744" t="str">
        <f t="shared" si="28"/>
        <v>SA_New_20217</v>
      </c>
      <c r="X1744" s="2" t="s">
        <v>1615</v>
      </c>
    </row>
    <row r="1745" spans="1:24" hidden="1" x14ac:dyDescent="0.35">
      <c r="A1745">
        <v>51</v>
      </c>
      <c r="B1745" t="s">
        <v>1092</v>
      </c>
      <c r="C1745" s="1">
        <v>44708</v>
      </c>
      <c r="D1745" t="s">
        <v>1420</v>
      </c>
      <c r="S1745" s="3" t="s">
        <v>1092</v>
      </c>
      <c r="T1745" s="6" t="s">
        <v>947</v>
      </c>
      <c r="U1745" s="6" t="s">
        <v>925</v>
      </c>
      <c r="V1745" s="2" t="s">
        <v>954</v>
      </c>
      <c r="W1745" t="str">
        <f t="shared" si="28"/>
        <v>SA_New_20225</v>
      </c>
      <c r="X1745" s="2" t="s">
        <v>1615</v>
      </c>
    </row>
    <row r="1746" spans="1:24" hidden="1" x14ac:dyDescent="0.35">
      <c r="A1746">
        <v>51</v>
      </c>
      <c r="B1746" t="s">
        <v>1092</v>
      </c>
      <c r="C1746" s="1">
        <v>45090</v>
      </c>
      <c r="D1746" t="s">
        <v>1145</v>
      </c>
      <c r="S1746" s="3" t="s">
        <v>1092</v>
      </c>
      <c r="T1746" s="6" t="s">
        <v>927</v>
      </c>
      <c r="U1746" s="6" t="s">
        <v>950</v>
      </c>
      <c r="V1746" s="2" t="s">
        <v>955</v>
      </c>
      <c r="W1746" t="str">
        <f t="shared" si="28"/>
        <v>SA_New_20236</v>
      </c>
      <c r="X1746" s="2" t="s">
        <v>1615</v>
      </c>
    </row>
    <row r="1747" spans="1:24" hidden="1" x14ac:dyDescent="0.35">
      <c r="A1747">
        <v>52</v>
      </c>
      <c r="B1747" t="s">
        <v>1092</v>
      </c>
      <c r="C1747" s="1">
        <v>44418</v>
      </c>
      <c r="D1747" t="s">
        <v>1011</v>
      </c>
      <c r="S1747" s="3" t="s">
        <v>1092</v>
      </c>
      <c r="T1747" s="6" t="s">
        <v>940</v>
      </c>
      <c r="U1747" s="6" t="s">
        <v>948</v>
      </c>
      <c r="V1747" s="2" t="s">
        <v>952</v>
      </c>
      <c r="W1747" t="str">
        <f t="shared" si="28"/>
        <v>SA_New_20218</v>
      </c>
      <c r="X1747" s="2" t="s">
        <v>1615</v>
      </c>
    </row>
    <row r="1748" spans="1:24" hidden="1" x14ac:dyDescent="0.35">
      <c r="A1748">
        <v>52</v>
      </c>
      <c r="B1748" t="s">
        <v>1092</v>
      </c>
      <c r="C1748" s="1">
        <v>44712</v>
      </c>
      <c r="D1748" t="s">
        <v>1421</v>
      </c>
      <c r="S1748" s="3" t="s">
        <v>1092</v>
      </c>
      <c r="T1748" s="6" t="s">
        <v>947</v>
      </c>
      <c r="U1748" s="6" t="s">
        <v>939</v>
      </c>
      <c r="V1748" s="2" t="s">
        <v>954</v>
      </c>
      <c r="W1748" t="str">
        <f t="shared" si="28"/>
        <v>SA_New_20225</v>
      </c>
      <c r="X1748" s="2" t="s">
        <v>1615</v>
      </c>
    </row>
    <row r="1749" spans="1:24" hidden="1" x14ac:dyDescent="0.35">
      <c r="A1749">
        <v>52</v>
      </c>
      <c r="B1749" t="s">
        <v>1092</v>
      </c>
      <c r="C1749" s="1">
        <v>45098</v>
      </c>
      <c r="D1749" t="s">
        <v>1146</v>
      </c>
      <c r="S1749" s="3" t="s">
        <v>1092</v>
      </c>
      <c r="T1749" s="6" t="s">
        <v>927</v>
      </c>
      <c r="U1749" s="6" t="s">
        <v>944</v>
      </c>
      <c r="V1749" s="2" t="s">
        <v>955</v>
      </c>
      <c r="W1749" t="str">
        <f t="shared" si="28"/>
        <v>SA_New_20236</v>
      </c>
      <c r="X1749" s="2" t="s">
        <v>1615</v>
      </c>
    </row>
    <row r="1750" spans="1:24" hidden="1" x14ac:dyDescent="0.35">
      <c r="A1750">
        <v>53</v>
      </c>
      <c r="B1750" t="s">
        <v>1092</v>
      </c>
      <c r="C1750" s="1">
        <v>44421</v>
      </c>
      <c r="D1750" t="s">
        <v>1325</v>
      </c>
      <c r="S1750" s="3" t="s">
        <v>1092</v>
      </c>
      <c r="T1750" s="6" t="s">
        <v>940</v>
      </c>
      <c r="U1750" s="6" t="s">
        <v>950</v>
      </c>
      <c r="V1750" s="2" t="s">
        <v>952</v>
      </c>
      <c r="W1750" t="str">
        <f t="shared" si="28"/>
        <v>SA_New_20218</v>
      </c>
      <c r="X1750" s="2" t="s">
        <v>1615</v>
      </c>
    </row>
    <row r="1751" spans="1:24" hidden="1" x14ac:dyDescent="0.35">
      <c r="A1751">
        <v>53</v>
      </c>
      <c r="B1751" t="s">
        <v>1092</v>
      </c>
      <c r="C1751" s="1">
        <v>44713</v>
      </c>
      <c r="D1751" t="s">
        <v>1422</v>
      </c>
      <c r="S1751" s="3" t="s">
        <v>1092</v>
      </c>
      <c r="T1751" s="6" t="s">
        <v>927</v>
      </c>
      <c r="U1751" s="6" t="s">
        <v>953</v>
      </c>
      <c r="V1751" s="2" t="s">
        <v>954</v>
      </c>
      <c r="W1751" t="str">
        <f t="shared" si="28"/>
        <v>SA_New_20226</v>
      </c>
      <c r="X1751" s="2" t="s">
        <v>1615</v>
      </c>
    </row>
    <row r="1752" spans="1:24" hidden="1" x14ac:dyDescent="0.35">
      <c r="A1752">
        <v>53</v>
      </c>
      <c r="B1752" t="s">
        <v>1092</v>
      </c>
      <c r="C1752" s="1">
        <v>45099</v>
      </c>
      <c r="D1752" t="s">
        <v>1147</v>
      </c>
      <c r="S1752" s="3" t="s">
        <v>1092</v>
      </c>
      <c r="T1752" s="6" t="s">
        <v>927</v>
      </c>
      <c r="U1752" s="6" t="s">
        <v>933</v>
      </c>
      <c r="V1752" s="2" t="s">
        <v>955</v>
      </c>
      <c r="W1752" t="str">
        <f t="shared" si="28"/>
        <v>SA_New_20236</v>
      </c>
      <c r="X1752" s="2" t="s">
        <v>1615</v>
      </c>
    </row>
    <row r="1753" spans="1:24" hidden="1" x14ac:dyDescent="0.35">
      <c r="A1753">
        <v>54</v>
      </c>
      <c r="B1753" t="s">
        <v>1092</v>
      </c>
      <c r="C1753" s="1">
        <v>44421</v>
      </c>
      <c r="D1753" t="s">
        <v>1326</v>
      </c>
      <c r="S1753" s="3" t="s">
        <v>1092</v>
      </c>
      <c r="T1753" s="6" t="s">
        <v>940</v>
      </c>
      <c r="U1753" s="6" t="s">
        <v>950</v>
      </c>
      <c r="V1753" s="2" t="s">
        <v>952</v>
      </c>
      <c r="W1753" t="str">
        <f t="shared" si="28"/>
        <v>SA_New_20218</v>
      </c>
      <c r="X1753" s="2" t="s">
        <v>1615</v>
      </c>
    </row>
    <row r="1754" spans="1:24" hidden="1" x14ac:dyDescent="0.35">
      <c r="A1754">
        <v>54</v>
      </c>
      <c r="B1754" t="s">
        <v>1092</v>
      </c>
      <c r="C1754" s="1">
        <v>44714</v>
      </c>
      <c r="D1754" t="s">
        <v>1423</v>
      </c>
      <c r="S1754" s="3" t="s">
        <v>1092</v>
      </c>
      <c r="T1754" s="6" t="s">
        <v>927</v>
      </c>
      <c r="U1754" s="6" t="s">
        <v>921</v>
      </c>
      <c r="V1754" s="2" t="s">
        <v>954</v>
      </c>
      <c r="W1754" t="str">
        <f t="shared" si="28"/>
        <v>SA_New_20226</v>
      </c>
      <c r="X1754" s="2" t="s">
        <v>1615</v>
      </c>
    </row>
    <row r="1755" spans="1:24" hidden="1" x14ac:dyDescent="0.35">
      <c r="A1755">
        <v>54</v>
      </c>
      <c r="B1755" t="s">
        <v>1092</v>
      </c>
      <c r="C1755" s="1">
        <v>45106</v>
      </c>
      <c r="D1755" t="s">
        <v>1148</v>
      </c>
      <c r="S1755" s="3" t="s">
        <v>1092</v>
      </c>
      <c r="T1755" s="6" t="s">
        <v>927</v>
      </c>
      <c r="U1755" s="6" t="s">
        <v>937</v>
      </c>
      <c r="V1755" s="2" t="s">
        <v>955</v>
      </c>
      <c r="W1755" t="str">
        <f t="shared" si="28"/>
        <v>SA_New_20236</v>
      </c>
      <c r="X1755" s="2" t="s">
        <v>1615</v>
      </c>
    </row>
    <row r="1756" spans="1:24" hidden="1" x14ac:dyDescent="0.35">
      <c r="A1756">
        <v>55</v>
      </c>
      <c r="B1756" t="s">
        <v>1092</v>
      </c>
      <c r="C1756" s="1">
        <v>44426</v>
      </c>
      <c r="D1756" t="s">
        <v>1327</v>
      </c>
      <c r="S1756" s="3" t="s">
        <v>1092</v>
      </c>
      <c r="T1756" s="6" t="s">
        <v>940</v>
      </c>
      <c r="U1756" s="6" t="s">
        <v>930</v>
      </c>
      <c r="V1756" s="2" t="s">
        <v>952</v>
      </c>
      <c r="W1756" t="str">
        <f t="shared" si="28"/>
        <v>SA_New_20218</v>
      </c>
      <c r="X1756" s="2" t="s">
        <v>1615</v>
      </c>
    </row>
    <row r="1757" spans="1:24" hidden="1" x14ac:dyDescent="0.35">
      <c r="A1757">
        <v>55</v>
      </c>
      <c r="B1757" t="s">
        <v>1092</v>
      </c>
      <c r="C1757" s="1">
        <v>44720</v>
      </c>
      <c r="D1757" t="s">
        <v>1424</v>
      </c>
      <c r="S1757" s="3" t="s">
        <v>1092</v>
      </c>
      <c r="T1757" s="6" t="s">
        <v>927</v>
      </c>
      <c r="U1757" s="6" t="s">
        <v>940</v>
      </c>
      <c r="V1757" s="2" t="s">
        <v>954</v>
      </c>
      <c r="W1757" t="str">
        <f t="shared" si="28"/>
        <v>SA_New_20226</v>
      </c>
      <c r="X1757" s="2" t="s">
        <v>1615</v>
      </c>
    </row>
    <row r="1758" spans="1:24" hidden="1" x14ac:dyDescent="0.35">
      <c r="A1758">
        <v>55</v>
      </c>
      <c r="B1758" t="s">
        <v>1092</v>
      </c>
      <c r="C1758" s="1">
        <v>45108</v>
      </c>
      <c r="D1758" t="s">
        <v>1149</v>
      </c>
      <c r="S1758" s="3" t="s">
        <v>1092</v>
      </c>
      <c r="T1758" s="6" t="s">
        <v>936</v>
      </c>
      <c r="U1758" s="6" t="s">
        <v>953</v>
      </c>
      <c r="V1758" s="2" t="s">
        <v>955</v>
      </c>
      <c r="W1758" t="str">
        <f t="shared" si="28"/>
        <v>SA_New_20237</v>
      </c>
      <c r="X1758" s="2" t="s">
        <v>1615</v>
      </c>
    </row>
    <row r="1759" spans="1:24" hidden="1" x14ac:dyDescent="0.35">
      <c r="A1759">
        <v>56</v>
      </c>
      <c r="B1759" t="s">
        <v>1092</v>
      </c>
      <c r="C1759" s="1">
        <v>44426</v>
      </c>
      <c r="D1759" t="s">
        <v>472</v>
      </c>
      <c r="S1759" s="3" t="s">
        <v>1092</v>
      </c>
      <c r="T1759" s="6" t="s">
        <v>940</v>
      </c>
      <c r="U1759" s="6" t="s">
        <v>930</v>
      </c>
      <c r="V1759" s="2" t="s">
        <v>952</v>
      </c>
      <c r="W1759" t="str">
        <f t="shared" si="28"/>
        <v>SA_New_20218</v>
      </c>
      <c r="X1759" s="2" t="s">
        <v>1615</v>
      </c>
    </row>
    <row r="1760" spans="1:24" hidden="1" x14ac:dyDescent="0.35">
      <c r="A1760">
        <v>56</v>
      </c>
      <c r="B1760" t="s">
        <v>1092</v>
      </c>
      <c r="C1760" s="1">
        <v>44721</v>
      </c>
      <c r="D1760" t="s">
        <v>1425</v>
      </c>
      <c r="S1760" s="3" t="s">
        <v>1092</v>
      </c>
      <c r="T1760" s="6" t="s">
        <v>927</v>
      </c>
      <c r="U1760" s="6" t="s">
        <v>942</v>
      </c>
      <c r="V1760" s="2" t="s">
        <v>954</v>
      </c>
      <c r="W1760" t="str">
        <f t="shared" si="28"/>
        <v>SA_New_20226</v>
      </c>
      <c r="X1760" s="2" t="s">
        <v>1615</v>
      </c>
    </row>
    <row r="1761" spans="1:24" hidden="1" x14ac:dyDescent="0.35">
      <c r="A1761">
        <v>56</v>
      </c>
      <c r="B1761" t="s">
        <v>1092</v>
      </c>
      <c r="C1761" s="1">
        <v>45112</v>
      </c>
      <c r="D1761" t="s">
        <v>1150</v>
      </c>
      <c r="S1761" s="3" t="s">
        <v>1092</v>
      </c>
      <c r="T1761" s="6" t="s">
        <v>936</v>
      </c>
      <c r="U1761" s="6" t="s">
        <v>947</v>
      </c>
      <c r="V1761" s="2" t="s">
        <v>955</v>
      </c>
      <c r="W1761" t="str">
        <f t="shared" si="28"/>
        <v>SA_New_20237</v>
      </c>
      <c r="X1761" s="2" t="s">
        <v>1615</v>
      </c>
    </row>
    <row r="1762" spans="1:24" hidden="1" x14ac:dyDescent="0.35">
      <c r="A1762">
        <v>57</v>
      </c>
      <c r="B1762" t="s">
        <v>1092</v>
      </c>
      <c r="C1762" s="1">
        <v>44427</v>
      </c>
      <c r="D1762" t="s">
        <v>1328</v>
      </c>
      <c r="S1762" s="3" t="s">
        <v>1092</v>
      </c>
      <c r="T1762" s="6" t="s">
        <v>940</v>
      </c>
      <c r="U1762" s="6" t="s">
        <v>931</v>
      </c>
      <c r="V1762" s="2" t="s">
        <v>952</v>
      </c>
      <c r="W1762" t="str">
        <f t="shared" si="28"/>
        <v>SA_New_20218</v>
      </c>
      <c r="X1762" s="2" t="s">
        <v>1615</v>
      </c>
    </row>
    <row r="1763" spans="1:24" hidden="1" x14ac:dyDescent="0.35">
      <c r="A1763">
        <v>57</v>
      </c>
      <c r="B1763" t="s">
        <v>1092</v>
      </c>
      <c r="C1763" s="1">
        <v>44721</v>
      </c>
      <c r="D1763" t="s">
        <v>1426</v>
      </c>
      <c r="S1763" s="3" t="s">
        <v>1092</v>
      </c>
      <c r="T1763" s="6" t="s">
        <v>927</v>
      </c>
      <c r="U1763" s="6" t="s">
        <v>942</v>
      </c>
      <c r="V1763" s="2" t="s">
        <v>954</v>
      </c>
      <c r="W1763" t="str">
        <f t="shared" si="28"/>
        <v>SA_New_20226</v>
      </c>
      <c r="X1763" s="2" t="s">
        <v>1615</v>
      </c>
    </row>
    <row r="1764" spans="1:24" hidden="1" x14ac:dyDescent="0.35">
      <c r="A1764">
        <v>57</v>
      </c>
      <c r="B1764" t="s">
        <v>1092</v>
      </c>
      <c r="C1764" s="1">
        <v>45118</v>
      </c>
      <c r="D1764" t="s">
        <v>1151</v>
      </c>
      <c r="S1764" s="3" t="s">
        <v>1092</v>
      </c>
      <c r="T1764" s="6" t="s">
        <v>936</v>
      </c>
      <c r="U1764" s="6" t="s">
        <v>945</v>
      </c>
      <c r="V1764" s="2" t="s">
        <v>955</v>
      </c>
      <c r="W1764" t="str">
        <f t="shared" si="28"/>
        <v>SA_New_20237</v>
      </c>
      <c r="X1764" s="2" t="s">
        <v>1615</v>
      </c>
    </row>
    <row r="1765" spans="1:24" hidden="1" x14ac:dyDescent="0.35">
      <c r="A1765">
        <v>58</v>
      </c>
      <c r="B1765" t="s">
        <v>1092</v>
      </c>
      <c r="C1765" s="1">
        <v>44428</v>
      </c>
      <c r="D1765" t="s">
        <v>1329</v>
      </c>
      <c r="S1765" s="3" t="s">
        <v>1092</v>
      </c>
      <c r="T1765" s="6" t="s">
        <v>940</v>
      </c>
      <c r="U1765" s="6" t="s">
        <v>932</v>
      </c>
      <c r="V1765" s="2" t="s">
        <v>952</v>
      </c>
      <c r="W1765" t="str">
        <f t="shared" si="28"/>
        <v>SA_New_20218</v>
      </c>
      <c r="X1765" s="2" t="s">
        <v>1615</v>
      </c>
    </row>
    <row r="1766" spans="1:24" hidden="1" x14ac:dyDescent="0.35">
      <c r="A1766">
        <v>58</v>
      </c>
      <c r="B1766" t="s">
        <v>1092</v>
      </c>
      <c r="C1766" s="1">
        <v>44722</v>
      </c>
      <c r="D1766" t="s">
        <v>1427</v>
      </c>
      <c r="S1766" s="3" t="s">
        <v>1092</v>
      </c>
      <c r="T1766" s="6" t="s">
        <v>927</v>
      </c>
      <c r="U1766" s="6" t="s">
        <v>948</v>
      </c>
      <c r="V1766" s="2" t="s">
        <v>954</v>
      </c>
      <c r="W1766" t="str">
        <f t="shared" si="28"/>
        <v>SA_New_20226</v>
      </c>
      <c r="X1766" s="2" t="s">
        <v>1615</v>
      </c>
    </row>
    <row r="1767" spans="1:24" hidden="1" x14ac:dyDescent="0.35">
      <c r="A1767">
        <v>58</v>
      </c>
      <c r="B1767" t="s">
        <v>1092</v>
      </c>
      <c r="C1767" s="1">
        <v>45125</v>
      </c>
      <c r="D1767" t="s">
        <v>1152</v>
      </c>
      <c r="S1767" s="3" t="s">
        <v>1092</v>
      </c>
      <c r="T1767" s="6" t="s">
        <v>936</v>
      </c>
      <c r="U1767" s="6" t="s">
        <v>930</v>
      </c>
      <c r="V1767" s="2" t="s">
        <v>955</v>
      </c>
      <c r="W1767" t="str">
        <f t="shared" si="28"/>
        <v>SA_New_20237</v>
      </c>
      <c r="X1767" s="2" t="s">
        <v>1615</v>
      </c>
    </row>
    <row r="1768" spans="1:24" hidden="1" x14ac:dyDescent="0.35">
      <c r="A1768">
        <v>59</v>
      </c>
      <c r="B1768" t="s">
        <v>1092</v>
      </c>
      <c r="C1768" s="1">
        <v>44429</v>
      </c>
      <c r="D1768" t="s">
        <v>1330</v>
      </c>
      <c r="S1768" s="3" t="s">
        <v>1092</v>
      </c>
      <c r="T1768" s="6" t="s">
        <v>940</v>
      </c>
      <c r="U1768" s="6" t="s">
        <v>944</v>
      </c>
      <c r="V1768" s="2" t="s">
        <v>952</v>
      </c>
      <c r="W1768" t="str">
        <f t="shared" si="28"/>
        <v>SA_New_20218</v>
      </c>
      <c r="X1768" s="2" t="s">
        <v>1615</v>
      </c>
    </row>
    <row r="1769" spans="1:24" hidden="1" x14ac:dyDescent="0.35">
      <c r="A1769">
        <v>59</v>
      </c>
      <c r="B1769" t="s">
        <v>1092</v>
      </c>
      <c r="C1769" s="1">
        <v>44723</v>
      </c>
      <c r="D1769" t="s">
        <v>1428</v>
      </c>
      <c r="S1769" s="3" t="s">
        <v>1092</v>
      </c>
      <c r="T1769" s="6" t="s">
        <v>927</v>
      </c>
      <c r="U1769" s="6" t="s">
        <v>945</v>
      </c>
      <c r="V1769" s="2" t="s">
        <v>954</v>
      </c>
      <c r="W1769" t="str">
        <f t="shared" si="28"/>
        <v>SA_New_20226</v>
      </c>
      <c r="X1769" s="2" t="s">
        <v>1615</v>
      </c>
    </row>
    <row r="1770" spans="1:24" hidden="1" x14ac:dyDescent="0.35">
      <c r="A1770">
        <v>59</v>
      </c>
      <c r="B1770" t="s">
        <v>1092</v>
      </c>
      <c r="C1770" s="1">
        <v>45127</v>
      </c>
      <c r="D1770" t="s">
        <v>1153</v>
      </c>
      <c r="S1770" s="3" t="s">
        <v>1092</v>
      </c>
      <c r="T1770" s="6" t="s">
        <v>936</v>
      </c>
      <c r="U1770" s="6" t="s">
        <v>932</v>
      </c>
      <c r="V1770" s="2" t="s">
        <v>955</v>
      </c>
      <c r="W1770" t="str">
        <f t="shared" si="28"/>
        <v>SA_New_20237</v>
      </c>
      <c r="X1770" s="2" t="s">
        <v>1615</v>
      </c>
    </row>
    <row r="1771" spans="1:24" hidden="1" x14ac:dyDescent="0.35">
      <c r="A1771">
        <v>60</v>
      </c>
      <c r="B1771" t="s">
        <v>1092</v>
      </c>
      <c r="C1771" s="1">
        <v>44431</v>
      </c>
      <c r="D1771" t="s">
        <v>1331</v>
      </c>
      <c r="S1771" s="3" t="s">
        <v>1092</v>
      </c>
      <c r="T1771" s="6" t="s">
        <v>940</v>
      </c>
      <c r="U1771" s="6" t="s">
        <v>934</v>
      </c>
      <c r="V1771" s="2" t="s">
        <v>952</v>
      </c>
      <c r="W1771" t="str">
        <f t="shared" si="28"/>
        <v>SA_New_20218</v>
      </c>
      <c r="X1771" s="2" t="s">
        <v>1615</v>
      </c>
    </row>
    <row r="1772" spans="1:24" hidden="1" x14ac:dyDescent="0.35">
      <c r="A1772">
        <v>60</v>
      </c>
      <c r="B1772" t="s">
        <v>1092</v>
      </c>
      <c r="C1772" s="1">
        <v>44725</v>
      </c>
      <c r="D1772" t="s">
        <v>1429</v>
      </c>
      <c r="S1772" s="3" t="s">
        <v>1092</v>
      </c>
      <c r="T1772" s="6" t="s">
        <v>927</v>
      </c>
      <c r="U1772" s="6" t="s">
        <v>950</v>
      </c>
      <c r="V1772" s="2" t="s">
        <v>954</v>
      </c>
      <c r="W1772" t="str">
        <f t="shared" si="28"/>
        <v>SA_New_20226</v>
      </c>
      <c r="X1772" s="2" t="s">
        <v>1615</v>
      </c>
    </row>
    <row r="1773" spans="1:24" hidden="1" x14ac:dyDescent="0.35">
      <c r="A1773">
        <v>60</v>
      </c>
      <c r="B1773" t="s">
        <v>1092</v>
      </c>
      <c r="C1773" s="1">
        <v>45132</v>
      </c>
      <c r="D1773" t="s">
        <v>1154</v>
      </c>
      <c r="S1773" s="3" t="s">
        <v>1092</v>
      </c>
      <c r="T1773" s="6" t="s">
        <v>936</v>
      </c>
      <c r="U1773" s="6" t="s">
        <v>922</v>
      </c>
      <c r="V1773" s="2" t="s">
        <v>955</v>
      </c>
      <c r="W1773" t="str">
        <f t="shared" si="28"/>
        <v>SA_New_20237</v>
      </c>
      <c r="X1773" s="2" t="s">
        <v>1615</v>
      </c>
    </row>
    <row r="1774" spans="1:24" hidden="1" x14ac:dyDescent="0.35">
      <c r="A1774">
        <v>61</v>
      </c>
      <c r="B1774" t="s">
        <v>1092</v>
      </c>
      <c r="C1774" s="1">
        <v>44434</v>
      </c>
      <c r="D1774" t="s">
        <v>1332</v>
      </c>
      <c r="S1774" s="3" t="s">
        <v>1092</v>
      </c>
      <c r="T1774" s="6" t="s">
        <v>940</v>
      </c>
      <c r="U1774" s="6" t="s">
        <v>924</v>
      </c>
      <c r="V1774" s="2" t="s">
        <v>952</v>
      </c>
      <c r="W1774" t="str">
        <f t="shared" si="28"/>
        <v>SA_New_20218</v>
      </c>
      <c r="X1774" s="2" t="s">
        <v>1615</v>
      </c>
    </row>
    <row r="1775" spans="1:24" hidden="1" x14ac:dyDescent="0.35">
      <c r="A1775">
        <v>61</v>
      </c>
      <c r="B1775" t="s">
        <v>1092</v>
      </c>
      <c r="C1775" s="1">
        <v>44727</v>
      </c>
      <c r="D1775" t="s">
        <v>1430</v>
      </c>
      <c r="S1775" s="3" t="s">
        <v>1092</v>
      </c>
      <c r="T1775" s="6" t="s">
        <v>927</v>
      </c>
      <c r="U1775" s="6" t="s">
        <v>943</v>
      </c>
      <c r="V1775" s="2" t="s">
        <v>954</v>
      </c>
      <c r="W1775" t="str">
        <f t="shared" si="28"/>
        <v>SA_New_20226</v>
      </c>
      <c r="X1775" s="2" t="s">
        <v>1615</v>
      </c>
    </row>
    <row r="1776" spans="1:24" hidden="1" x14ac:dyDescent="0.35">
      <c r="A1776">
        <v>61</v>
      </c>
      <c r="B1776" t="s">
        <v>1092</v>
      </c>
      <c r="C1776" s="1">
        <v>45134</v>
      </c>
      <c r="D1776" t="s">
        <v>1155</v>
      </c>
      <c r="S1776" s="3" t="s">
        <v>1092</v>
      </c>
      <c r="T1776" s="6" t="s">
        <v>936</v>
      </c>
      <c r="U1776" s="6" t="s">
        <v>925</v>
      </c>
      <c r="V1776" s="2" t="s">
        <v>955</v>
      </c>
      <c r="W1776" t="str">
        <f t="shared" si="28"/>
        <v>SA_New_20237</v>
      </c>
      <c r="X1776" s="2" t="s">
        <v>1615</v>
      </c>
    </row>
    <row r="1777" spans="1:24" hidden="1" x14ac:dyDescent="0.35">
      <c r="A1777">
        <v>62</v>
      </c>
      <c r="B1777" t="s">
        <v>1092</v>
      </c>
      <c r="C1777" s="1">
        <v>44434</v>
      </c>
      <c r="D1777" t="s">
        <v>1333</v>
      </c>
      <c r="S1777" s="3" t="s">
        <v>1092</v>
      </c>
      <c r="T1777" s="6" t="s">
        <v>940</v>
      </c>
      <c r="U1777" s="6" t="s">
        <v>924</v>
      </c>
      <c r="V1777" s="2" t="s">
        <v>952</v>
      </c>
      <c r="W1777" t="str">
        <f t="shared" si="28"/>
        <v>SA_New_20218</v>
      </c>
      <c r="X1777" s="2" t="s">
        <v>1615</v>
      </c>
    </row>
    <row r="1778" spans="1:24" hidden="1" x14ac:dyDescent="0.35">
      <c r="A1778">
        <v>62</v>
      </c>
      <c r="B1778" t="s">
        <v>1092</v>
      </c>
      <c r="C1778" s="1">
        <v>44732</v>
      </c>
      <c r="D1778" t="s">
        <v>1431</v>
      </c>
      <c r="S1778" s="3" t="s">
        <v>1092</v>
      </c>
      <c r="T1778" s="6" t="s">
        <v>927</v>
      </c>
      <c r="U1778" s="6" t="s">
        <v>932</v>
      </c>
      <c r="V1778" s="2" t="s">
        <v>954</v>
      </c>
      <c r="W1778" t="str">
        <f t="shared" si="28"/>
        <v>SA_New_20226</v>
      </c>
      <c r="X1778" s="2" t="s">
        <v>1615</v>
      </c>
    </row>
    <row r="1779" spans="1:24" hidden="1" x14ac:dyDescent="0.35">
      <c r="A1779">
        <v>62</v>
      </c>
      <c r="B1779" t="s">
        <v>1092</v>
      </c>
      <c r="C1779" s="1">
        <v>45141</v>
      </c>
      <c r="D1779" t="s">
        <v>1156</v>
      </c>
      <c r="S1779" s="3" t="s">
        <v>1092</v>
      </c>
      <c r="T1779" s="6" t="s">
        <v>940</v>
      </c>
      <c r="U1779" s="6" t="s">
        <v>941</v>
      </c>
      <c r="V1779" s="2" t="s">
        <v>955</v>
      </c>
      <c r="W1779" t="str">
        <f t="shared" si="28"/>
        <v>SA_New_20238</v>
      </c>
      <c r="X1779" s="2" t="s">
        <v>1615</v>
      </c>
    </row>
    <row r="1780" spans="1:24" hidden="1" x14ac:dyDescent="0.35">
      <c r="A1780">
        <v>63</v>
      </c>
      <c r="B1780" t="s">
        <v>1092</v>
      </c>
      <c r="C1780" s="1">
        <v>44434</v>
      </c>
      <c r="D1780" t="s">
        <v>1334</v>
      </c>
      <c r="S1780" s="3" t="s">
        <v>1092</v>
      </c>
      <c r="T1780" s="6" t="s">
        <v>940</v>
      </c>
      <c r="U1780" s="6" t="s">
        <v>924</v>
      </c>
      <c r="V1780" s="2" t="s">
        <v>952</v>
      </c>
      <c r="W1780" t="str">
        <f t="shared" si="28"/>
        <v>SA_New_20218</v>
      </c>
      <c r="X1780" s="2" t="s">
        <v>1615</v>
      </c>
    </row>
    <row r="1781" spans="1:24" hidden="1" x14ac:dyDescent="0.35">
      <c r="A1781">
        <v>63</v>
      </c>
      <c r="B1781" t="s">
        <v>1092</v>
      </c>
      <c r="C1781" s="1">
        <v>44739</v>
      </c>
      <c r="D1781" t="s">
        <v>1432</v>
      </c>
      <c r="S1781" s="3" t="s">
        <v>1092</v>
      </c>
      <c r="T1781" s="6" t="s">
        <v>927</v>
      </c>
      <c r="U1781" s="6" t="s">
        <v>925</v>
      </c>
      <c r="V1781" s="2" t="s">
        <v>954</v>
      </c>
      <c r="W1781" t="str">
        <f t="shared" si="28"/>
        <v>SA_New_20226</v>
      </c>
      <c r="X1781" s="2" t="s">
        <v>1615</v>
      </c>
    </row>
    <row r="1782" spans="1:24" hidden="1" x14ac:dyDescent="0.35">
      <c r="A1782">
        <v>63</v>
      </c>
      <c r="B1782" t="s">
        <v>1092</v>
      </c>
      <c r="C1782" s="1">
        <v>45146</v>
      </c>
      <c r="D1782" t="s">
        <v>1157</v>
      </c>
      <c r="S1782" s="3" t="s">
        <v>1092</v>
      </c>
      <c r="T1782" s="6" t="s">
        <v>940</v>
      </c>
      <c r="U1782" s="6" t="s">
        <v>940</v>
      </c>
      <c r="V1782" s="2" t="s">
        <v>955</v>
      </c>
      <c r="W1782" t="str">
        <f t="shared" si="28"/>
        <v>SA_New_20238</v>
      </c>
      <c r="X1782" s="2" t="s">
        <v>1615</v>
      </c>
    </row>
    <row r="1783" spans="1:24" hidden="1" x14ac:dyDescent="0.35">
      <c r="A1783">
        <v>64</v>
      </c>
      <c r="B1783" t="s">
        <v>1092</v>
      </c>
      <c r="C1783" s="1">
        <v>44434</v>
      </c>
      <c r="D1783" t="s">
        <v>498</v>
      </c>
      <c r="S1783" s="3" t="s">
        <v>1092</v>
      </c>
      <c r="T1783" s="6" t="s">
        <v>940</v>
      </c>
      <c r="U1783" s="6" t="s">
        <v>924</v>
      </c>
      <c r="V1783" s="2" t="s">
        <v>952</v>
      </c>
      <c r="W1783" t="str">
        <f t="shared" si="28"/>
        <v>SA_New_20218</v>
      </c>
      <c r="X1783" s="2" t="s">
        <v>1615</v>
      </c>
    </row>
    <row r="1784" spans="1:24" hidden="1" x14ac:dyDescent="0.35">
      <c r="A1784">
        <v>64</v>
      </c>
      <c r="B1784" t="s">
        <v>1092</v>
      </c>
      <c r="C1784" s="1">
        <v>44740</v>
      </c>
      <c r="D1784" t="s">
        <v>1433</v>
      </c>
      <c r="S1784" s="3" t="s">
        <v>1092</v>
      </c>
      <c r="T1784" s="6" t="s">
        <v>927</v>
      </c>
      <c r="U1784" s="6" t="s">
        <v>926</v>
      </c>
      <c r="V1784" s="2" t="s">
        <v>954</v>
      </c>
      <c r="W1784" t="str">
        <f t="shared" si="28"/>
        <v>SA_New_20226</v>
      </c>
      <c r="X1784" s="2" t="s">
        <v>1615</v>
      </c>
    </row>
    <row r="1785" spans="1:24" hidden="1" x14ac:dyDescent="0.35">
      <c r="A1785">
        <v>64</v>
      </c>
      <c r="B1785" t="s">
        <v>1092</v>
      </c>
      <c r="C1785" s="1">
        <v>45146</v>
      </c>
      <c r="D1785" t="s">
        <v>1158</v>
      </c>
      <c r="S1785" s="3" t="s">
        <v>1092</v>
      </c>
      <c r="T1785" s="6" t="s">
        <v>940</v>
      </c>
      <c r="U1785" s="6" t="s">
        <v>940</v>
      </c>
      <c r="V1785" s="2" t="s">
        <v>955</v>
      </c>
      <c r="W1785" t="str">
        <f t="shared" si="28"/>
        <v>SA_New_20238</v>
      </c>
      <c r="X1785" s="2" t="s">
        <v>1615</v>
      </c>
    </row>
    <row r="1786" spans="1:24" hidden="1" x14ac:dyDescent="0.35">
      <c r="A1786">
        <v>65</v>
      </c>
      <c r="B1786" t="s">
        <v>1092</v>
      </c>
      <c r="C1786" s="1">
        <v>44434</v>
      </c>
      <c r="D1786" t="s">
        <v>1335</v>
      </c>
      <c r="S1786" s="3" t="s">
        <v>1092</v>
      </c>
      <c r="T1786" s="6" t="s">
        <v>940</v>
      </c>
      <c r="U1786" s="6" t="s">
        <v>924</v>
      </c>
      <c r="V1786" s="2" t="s">
        <v>952</v>
      </c>
      <c r="W1786" t="str">
        <f t="shared" si="28"/>
        <v>SA_New_20218</v>
      </c>
      <c r="X1786" s="2" t="s">
        <v>1615</v>
      </c>
    </row>
    <row r="1787" spans="1:24" hidden="1" x14ac:dyDescent="0.35">
      <c r="A1787">
        <v>65</v>
      </c>
      <c r="B1787" t="s">
        <v>1092</v>
      </c>
      <c r="C1787" s="1">
        <v>44740</v>
      </c>
      <c r="D1787" t="s">
        <v>1434</v>
      </c>
      <c r="S1787" s="3" t="s">
        <v>1092</v>
      </c>
      <c r="T1787" s="6" t="s">
        <v>927</v>
      </c>
      <c r="U1787" s="6" t="s">
        <v>926</v>
      </c>
      <c r="V1787" s="2" t="s">
        <v>954</v>
      </c>
      <c r="W1787" t="str">
        <f t="shared" si="28"/>
        <v>SA_New_20226</v>
      </c>
      <c r="X1787" s="2" t="s">
        <v>1615</v>
      </c>
    </row>
    <row r="1788" spans="1:24" hidden="1" x14ac:dyDescent="0.35">
      <c r="A1788">
        <v>65</v>
      </c>
      <c r="B1788" t="s">
        <v>1092</v>
      </c>
      <c r="C1788" s="1">
        <v>45152</v>
      </c>
      <c r="D1788" t="s">
        <v>1159</v>
      </c>
      <c r="S1788" s="3" t="s">
        <v>1092</v>
      </c>
      <c r="T1788" s="6" t="s">
        <v>940</v>
      </c>
      <c r="U1788" s="6" t="s">
        <v>951</v>
      </c>
      <c r="V1788" s="2" t="s">
        <v>955</v>
      </c>
      <c r="W1788" t="str">
        <f t="shared" si="28"/>
        <v>SA_New_20238</v>
      </c>
      <c r="X1788" s="2" t="s">
        <v>1615</v>
      </c>
    </row>
    <row r="1789" spans="1:24" hidden="1" x14ac:dyDescent="0.35">
      <c r="A1789">
        <v>66</v>
      </c>
      <c r="B1789" t="s">
        <v>1092</v>
      </c>
      <c r="C1789" s="1">
        <v>44435</v>
      </c>
      <c r="D1789" t="s">
        <v>1336</v>
      </c>
      <c r="S1789" s="3" t="s">
        <v>1092</v>
      </c>
      <c r="T1789" s="6" t="s">
        <v>940</v>
      </c>
      <c r="U1789" s="6" t="s">
        <v>925</v>
      </c>
      <c r="V1789" s="2" t="s">
        <v>952</v>
      </c>
      <c r="W1789" t="str">
        <f t="shared" si="28"/>
        <v>SA_New_20218</v>
      </c>
      <c r="X1789" s="2" t="s">
        <v>1615</v>
      </c>
    </row>
    <row r="1790" spans="1:24" hidden="1" x14ac:dyDescent="0.35">
      <c r="A1790">
        <v>66</v>
      </c>
      <c r="B1790" t="s">
        <v>1092</v>
      </c>
      <c r="C1790" s="1">
        <v>44747</v>
      </c>
      <c r="D1790" t="s">
        <v>1435</v>
      </c>
      <c r="S1790" s="3" t="s">
        <v>1092</v>
      </c>
      <c r="T1790" s="6" t="s">
        <v>936</v>
      </c>
      <c r="U1790" s="6" t="s">
        <v>947</v>
      </c>
      <c r="V1790" s="2" t="s">
        <v>954</v>
      </c>
      <c r="W1790" t="str">
        <f t="shared" si="28"/>
        <v>SA_New_20227</v>
      </c>
      <c r="X1790" s="2" t="s">
        <v>1615</v>
      </c>
    </row>
    <row r="1791" spans="1:24" hidden="1" x14ac:dyDescent="0.35">
      <c r="A1791">
        <v>66</v>
      </c>
      <c r="B1791" t="s">
        <v>1092</v>
      </c>
      <c r="C1791" s="1">
        <v>45152</v>
      </c>
      <c r="D1791" t="s">
        <v>1160</v>
      </c>
      <c r="S1791" s="3" t="s">
        <v>1092</v>
      </c>
      <c r="T1791" s="6" t="s">
        <v>940</v>
      </c>
      <c r="U1791" s="6" t="s">
        <v>951</v>
      </c>
      <c r="V1791" s="2" t="s">
        <v>955</v>
      </c>
      <c r="W1791" t="str">
        <f t="shared" si="28"/>
        <v>SA_New_20238</v>
      </c>
      <c r="X1791" s="2" t="s">
        <v>1615</v>
      </c>
    </row>
    <row r="1792" spans="1:24" hidden="1" x14ac:dyDescent="0.35">
      <c r="A1792">
        <v>67</v>
      </c>
      <c r="B1792" t="s">
        <v>1092</v>
      </c>
      <c r="C1792" s="1">
        <v>44438</v>
      </c>
      <c r="D1792" t="s">
        <v>1337</v>
      </c>
      <c r="S1792" s="3" t="s">
        <v>1092</v>
      </c>
      <c r="T1792" s="6" t="s">
        <v>940</v>
      </c>
      <c r="U1792" s="6" t="s">
        <v>938</v>
      </c>
      <c r="V1792" s="2" t="s">
        <v>952</v>
      </c>
      <c r="W1792" t="str">
        <f t="shared" si="28"/>
        <v>SA_New_20218</v>
      </c>
      <c r="X1792" s="2" t="s">
        <v>1615</v>
      </c>
    </row>
    <row r="1793" spans="1:24" hidden="1" x14ac:dyDescent="0.35">
      <c r="A1793">
        <v>67</v>
      </c>
      <c r="B1793" t="s">
        <v>1092</v>
      </c>
      <c r="C1793" s="1">
        <v>44748</v>
      </c>
      <c r="D1793" t="s">
        <v>1436</v>
      </c>
      <c r="S1793" s="3" t="s">
        <v>1092</v>
      </c>
      <c r="T1793" s="6" t="s">
        <v>936</v>
      </c>
      <c r="U1793" s="6" t="s">
        <v>927</v>
      </c>
      <c r="V1793" s="2" t="s">
        <v>954</v>
      </c>
      <c r="W1793" t="str">
        <f t="shared" si="28"/>
        <v>SA_New_20227</v>
      </c>
      <c r="X1793" s="2" t="s">
        <v>1615</v>
      </c>
    </row>
    <row r="1794" spans="1:24" hidden="1" x14ac:dyDescent="0.35">
      <c r="A1794">
        <v>67</v>
      </c>
      <c r="B1794" t="s">
        <v>1092</v>
      </c>
      <c r="C1794" s="1">
        <v>45153</v>
      </c>
      <c r="D1794" t="s">
        <v>1161</v>
      </c>
      <c r="S1794" s="3" t="s">
        <v>1092</v>
      </c>
      <c r="T1794" s="6" t="s">
        <v>940</v>
      </c>
      <c r="U1794" s="6" t="s">
        <v>943</v>
      </c>
      <c r="V1794" s="2" t="s">
        <v>955</v>
      </c>
      <c r="W1794" t="str">
        <f t="shared" ref="W1794:W1857" si="29">CONCATENATE(B1794,"_",V1794,T1794)</f>
        <v>SA_New_20238</v>
      </c>
      <c r="X1794" s="2" t="s">
        <v>1615</v>
      </c>
    </row>
    <row r="1795" spans="1:24" hidden="1" x14ac:dyDescent="0.35">
      <c r="A1795">
        <v>68</v>
      </c>
      <c r="B1795" t="s">
        <v>1092</v>
      </c>
      <c r="C1795" s="1">
        <v>44440</v>
      </c>
      <c r="D1795" t="s">
        <v>1338</v>
      </c>
      <c r="S1795" s="3" t="s">
        <v>1092</v>
      </c>
      <c r="T1795" s="6" t="s">
        <v>942</v>
      </c>
      <c r="U1795" s="6" t="s">
        <v>953</v>
      </c>
      <c r="V1795" s="2" t="s">
        <v>952</v>
      </c>
      <c r="W1795" t="str">
        <f t="shared" si="29"/>
        <v>SA_New_20219</v>
      </c>
      <c r="X1795" s="2" t="s">
        <v>1615</v>
      </c>
    </row>
    <row r="1796" spans="1:24" hidden="1" x14ac:dyDescent="0.35">
      <c r="A1796">
        <v>68</v>
      </c>
      <c r="B1796" t="s">
        <v>1092</v>
      </c>
      <c r="C1796" s="1">
        <v>44748</v>
      </c>
      <c r="D1796" t="s">
        <v>1437</v>
      </c>
      <c r="S1796" s="3" t="s">
        <v>1092</v>
      </c>
      <c r="T1796" s="6" t="s">
        <v>936</v>
      </c>
      <c r="U1796" s="6" t="s">
        <v>927</v>
      </c>
      <c r="V1796" s="2" t="s">
        <v>954</v>
      </c>
      <c r="W1796" t="str">
        <f t="shared" si="29"/>
        <v>SA_New_20227</v>
      </c>
      <c r="X1796" s="2" t="s">
        <v>1615</v>
      </c>
    </row>
    <row r="1797" spans="1:24" hidden="1" x14ac:dyDescent="0.35">
      <c r="A1797">
        <v>68</v>
      </c>
      <c r="B1797" t="s">
        <v>1092</v>
      </c>
      <c r="C1797" s="1">
        <v>45154</v>
      </c>
      <c r="D1797" t="s">
        <v>1162</v>
      </c>
      <c r="S1797" s="3" t="s">
        <v>1092</v>
      </c>
      <c r="T1797" s="6" t="s">
        <v>940</v>
      </c>
      <c r="U1797" s="6" t="s">
        <v>928</v>
      </c>
      <c r="V1797" s="2" t="s">
        <v>955</v>
      </c>
      <c r="W1797" t="str">
        <f t="shared" si="29"/>
        <v>SA_New_20238</v>
      </c>
      <c r="X1797" s="2" t="s">
        <v>1615</v>
      </c>
    </row>
    <row r="1798" spans="1:24" hidden="1" x14ac:dyDescent="0.35">
      <c r="A1798">
        <v>69</v>
      </c>
      <c r="B1798" t="s">
        <v>1092</v>
      </c>
      <c r="C1798" s="1">
        <v>44440</v>
      </c>
      <c r="D1798" t="s">
        <v>1339</v>
      </c>
      <c r="S1798" s="3" t="s">
        <v>1092</v>
      </c>
      <c r="T1798" s="6" t="s">
        <v>942</v>
      </c>
      <c r="U1798" s="6" t="s">
        <v>953</v>
      </c>
      <c r="V1798" s="2" t="s">
        <v>952</v>
      </c>
      <c r="W1798" t="str">
        <f t="shared" si="29"/>
        <v>SA_New_20219</v>
      </c>
      <c r="X1798" s="2" t="s">
        <v>1615</v>
      </c>
    </row>
    <row r="1799" spans="1:24" hidden="1" x14ac:dyDescent="0.35">
      <c r="A1799">
        <v>69</v>
      </c>
      <c r="B1799" t="s">
        <v>1092</v>
      </c>
      <c r="C1799" s="1">
        <v>44751</v>
      </c>
      <c r="D1799" t="s">
        <v>1438</v>
      </c>
      <c r="S1799" s="3" t="s">
        <v>1092</v>
      </c>
      <c r="T1799" s="6" t="s">
        <v>936</v>
      </c>
      <c r="U1799" s="6" t="s">
        <v>942</v>
      </c>
      <c r="V1799" s="2" t="s">
        <v>954</v>
      </c>
      <c r="W1799" t="str">
        <f t="shared" si="29"/>
        <v>SA_New_20227</v>
      </c>
      <c r="X1799" s="2" t="s">
        <v>1615</v>
      </c>
    </row>
    <row r="1800" spans="1:24" hidden="1" x14ac:dyDescent="0.35">
      <c r="A1800">
        <v>69</v>
      </c>
      <c r="B1800" t="s">
        <v>1092</v>
      </c>
      <c r="C1800" s="1">
        <v>45154</v>
      </c>
      <c r="D1800" t="s">
        <v>1163</v>
      </c>
      <c r="S1800" s="3" t="s">
        <v>1092</v>
      </c>
      <c r="T1800" s="6" t="s">
        <v>940</v>
      </c>
      <c r="U1800" s="6" t="s">
        <v>928</v>
      </c>
      <c r="V1800" s="2" t="s">
        <v>955</v>
      </c>
      <c r="W1800" t="str">
        <f t="shared" si="29"/>
        <v>SA_New_20238</v>
      </c>
      <c r="X1800" s="2" t="s">
        <v>1615</v>
      </c>
    </row>
    <row r="1801" spans="1:24" hidden="1" x14ac:dyDescent="0.35">
      <c r="A1801">
        <v>70</v>
      </c>
      <c r="B1801" t="s">
        <v>1092</v>
      </c>
      <c r="C1801" s="1">
        <v>44445</v>
      </c>
      <c r="D1801" t="s">
        <v>1340</v>
      </c>
      <c r="S1801" s="3" t="s">
        <v>1092</v>
      </c>
      <c r="T1801" s="6" t="s">
        <v>942</v>
      </c>
      <c r="U1801" s="6" t="s">
        <v>927</v>
      </c>
      <c r="V1801" s="2" t="s">
        <v>952</v>
      </c>
      <c r="W1801" t="str">
        <f t="shared" si="29"/>
        <v>SA_New_20219</v>
      </c>
      <c r="X1801" s="2" t="s">
        <v>1615</v>
      </c>
    </row>
    <row r="1802" spans="1:24" hidden="1" x14ac:dyDescent="0.35">
      <c r="A1802">
        <v>70</v>
      </c>
      <c r="B1802" t="s">
        <v>1092</v>
      </c>
      <c r="C1802" s="1">
        <v>44756</v>
      </c>
      <c r="D1802" t="s">
        <v>1439</v>
      </c>
      <c r="S1802" s="3" t="s">
        <v>1092</v>
      </c>
      <c r="T1802" s="6" t="s">
        <v>936</v>
      </c>
      <c r="U1802" s="6" t="s">
        <v>951</v>
      </c>
      <c r="V1802" s="2" t="s">
        <v>954</v>
      </c>
      <c r="W1802" t="str">
        <f t="shared" si="29"/>
        <v>SA_New_20227</v>
      </c>
      <c r="X1802" s="2" t="s">
        <v>1615</v>
      </c>
    </row>
    <row r="1803" spans="1:24" hidden="1" x14ac:dyDescent="0.35">
      <c r="A1803">
        <v>70</v>
      </c>
      <c r="B1803" t="s">
        <v>1092</v>
      </c>
      <c r="C1803" s="1">
        <v>45155</v>
      </c>
      <c r="D1803" t="s">
        <v>1164</v>
      </c>
      <c r="S1803" s="3" t="s">
        <v>1092</v>
      </c>
      <c r="T1803" s="6" t="s">
        <v>940</v>
      </c>
      <c r="U1803" s="6" t="s">
        <v>929</v>
      </c>
      <c r="V1803" s="2" t="s">
        <v>955</v>
      </c>
      <c r="W1803" t="str">
        <f t="shared" si="29"/>
        <v>SA_New_20238</v>
      </c>
      <c r="X1803" s="2" t="s">
        <v>1615</v>
      </c>
    </row>
    <row r="1804" spans="1:24" hidden="1" x14ac:dyDescent="0.35">
      <c r="A1804">
        <v>71</v>
      </c>
      <c r="B1804" t="s">
        <v>1092</v>
      </c>
      <c r="C1804" s="1">
        <v>44445</v>
      </c>
      <c r="D1804" t="s">
        <v>1341</v>
      </c>
      <c r="S1804" s="3" t="s">
        <v>1092</v>
      </c>
      <c r="T1804" s="6" t="s">
        <v>942</v>
      </c>
      <c r="U1804" s="6" t="s">
        <v>927</v>
      </c>
      <c r="V1804" s="2" t="s">
        <v>952</v>
      </c>
      <c r="W1804" t="str">
        <f t="shared" si="29"/>
        <v>SA_New_20219</v>
      </c>
      <c r="X1804" s="2" t="s">
        <v>1615</v>
      </c>
    </row>
    <row r="1805" spans="1:24" hidden="1" x14ac:dyDescent="0.35">
      <c r="A1805">
        <v>71</v>
      </c>
      <c r="B1805" t="s">
        <v>1092</v>
      </c>
      <c r="C1805" s="1">
        <v>44756</v>
      </c>
      <c r="D1805" t="s">
        <v>1440</v>
      </c>
      <c r="S1805" s="3" t="s">
        <v>1092</v>
      </c>
      <c r="T1805" s="6" t="s">
        <v>936</v>
      </c>
      <c r="U1805" s="6" t="s">
        <v>951</v>
      </c>
      <c r="V1805" s="2" t="s">
        <v>954</v>
      </c>
      <c r="W1805" t="str">
        <f t="shared" si="29"/>
        <v>SA_New_20227</v>
      </c>
      <c r="X1805" s="2" t="s">
        <v>1615</v>
      </c>
    </row>
    <row r="1806" spans="1:24" hidden="1" x14ac:dyDescent="0.35">
      <c r="A1806">
        <v>71</v>
      </c>
      <c r="B1806" t="s">
        <v>1092</v>
      </c>
      <c r="C1806" s="1">
        <v>45166</v>
      </c>
      <c r="D1806" t="s">
        <v>1165</v>
      </c>
      <c r="S1806" s="3" t="s">
        <v>1092</v>
      </c>
      <c r="T1806" s="6" t="s">
        <v>940</v>
      </c>
      <c r="U1806" s="6" t="s">
        <v>926</v>
      </c>
      <c r="V1806" s="2" t="s">
        <v>955</v>
      </c>
      <c r="W1806" t="str">
        <f t="shared" si="29"/>
        <v>SA_New_20238</v>
      </c>
      <c r="X1806" s="2" t="s">
        <v>1615</v>
      </c>
    </row>
    <row r="1807" spans="1:24" hidden="1" x14ac:dyDescent="0.35">
      <c r="A1807">
        <v>72</v>
      </c>
      <c r="B1807" t="s">
        <v>1092</v>
      </c>
      <c r="C1807" s="1">
        <v>44447</v>
      </c>
      <c r="D1807" t="s">
        <v>1342</v>
      </c>
      <c r="S1807" s="3" t="s">
        <v>1092</v>
      </c>
      <c r="T1807" s="6" t="s">
        <v>942</v>
      </c>
      <c r="U1807" s="6" t="s">
        <v>940</v>
      </c>
      <c r="V1807" s="2" t="s">
        <v>952</v>
      </c>
      <c r="W1807" t="str">
        <f t="shared" si="29"/>
        <v>SA_New_20219</v>
      </c>
      <c r="X1807" s="2" t="s">
        <v>1615</v>
      </c>
    </row>
    <row r="1808" spans="1:24" hidden="1" x14ac:dyDescent="0.35">
      <c r="A1808">
        <v>72</v>
      </c>
      <c r="B1808" t="s">
        <v>1092</v>
      </c>
      <c r="C1808" s="1">
        <v>44757</v>
      </c>
      <c r="D1808" t="s">
        <v>641</v>
      </c>
      <c r="S1808" s="3" t="s">
        <v>1092</v>
      </c>
      <c r="T1808" s="6" t="s">
        <v>936</v>
      </c>
      <c r="U1808" s="6" t="s">
        <v>943</v>
      </c>
      <c r="V1808" s="2" t="s">
        <v>954</v>
      </c>
      <c r="W1808" t="str">
        <f t="shared" si="29"/>
        <v>SA_New_20227</v>
      </c>
      <c r="X1808" s="2" t="s">
        <v>1615</v>
      </c>
    </row>
    <row r="1809" spans="1:24" hidden="1" x14ac:dyDescent="0.35">
      <c r="A1809">
        <v>72</v>
      </c>
      <c r="B1809" t="s">
        <v>1092</v>
      </c>
      <c r="C1809" s="1">
        <v>45175</v>
      </c>
      <c r="D1809" t="s">
        <v>3833</v>
      </c>
      <c r="S1809" s="3" t="s">
        <v>1092</v>
      </c>
      <c r="T1809" s="6" t="s">
        <v>942</v>
      </c>
      <c r="U1809" s="6" t="s">
        <v>927</v>
      </c>
      <c r="V1809" s="2" t="s">
        <v>955</v>
      </c>
      <c r="W1809" t="str">
        <f t="shared" si="29"/>
        <v>SA_New_20239</v>
      </c>
      <c r="X1809" s="2" t="s">
        <v>1615</v>
      </c>
    </row>
    <row r="1810" spans="1:24" hidden="1" x14ac:dyDescent="0.35">
      <c r="A1810">
        <v>73</v>
      </c>
      <c r="B1810" t="s">
        <v>1092</v>
      </c>
      <c r="C1810" s="1">
        <v>44452</v>
      </c>
      <c r="D1810" t="s">
        <v>1343</v>
      </c>
      <c r="S1810" s="3" t="s">
        <v>1092</v>
      </c>
      <c r="T1810" s="6" t="s">
        <v>942</v>
      </c>
      <c r="U1810" s="6" t="s">
        <v>950</v>
      </c>
      <c r="V1810" s="2" t="s">
        <v>952</v>
      </c>
      <c r="W1810" t="str">
        <f t="shared" si="29"/>
        <v>SA_New_20219</v>
      </c>
      <c r="X1810" s="2" t="s">
        <v>1615</v>
      </c>
    </row>
    <row r="1811" spans="1:24" hidden="1" x14ac:dyDescent="0.35">
      <c r="A1811">
        <v>73</v>
      </c>
      <c r="B1811" t="s">
        <v>1092</v>
      </c>
      <c r="C1811" s="1">
        <v>44768</v>
      </c>
      <c r="D1811" t="s">
        <v>1441</v>
      </c>
      <c r="S1811" s="3" t="s">
        <v>1092</v>
      </c>
      <c r="T1811" s="6" t="s">
        <v>936</v>
      </c>
      <c r="U1811" s="6" t="s">
        <v>924</v>
      </c>
      <c r="V1811" s="2" t="s">
        <v>954</v>
      </c>
      <c r="W1811" t="str">
        <f t="shared" si="29"/>
        <v>SA_New_20227</v>
      </c>
      <c r="X1811" s="2" t="s">
        <v>1615</v>
      </c>
    </row>
    <row r="1812" spans="1:24" hidden="1" x14ac:dyDescent="0.35">
      <c r="A1812">
        <v>73</v>
      </c>
      <c r="B1812" t="s">
        <v>1092</v>
      </c>
      <c r="C1812" s="1">
        <v>45177</v>
      </c>
      <c r="D1812" t="s">
        <v>1166</v>
      </c>
      <c r="S1812" s="3" t="s">
        <v>1092</v>
      </c>
      <c r="T1812" s="6" t="s">
        <v>942</v>
      </c>
      <c r="U1812" s="6" t="s">
        <v>940</v>
      </c>
      <c r="V1812" s="2" t="s">
        <v>955</v>
      </c>
      <c r="W1812" t="str">
        <f t="shared" si="29"/>
        <v>SA_New_20239</v>
      </c>
      <c r="X1812" s="2" t="s">
        <v>1615</v>
      </c>
    </row>
    <row r="1813" spans="1:24" hidden="1" x14ac:dyDescent="0.35">
      <c r="A1813">
        <v>74</v>
      </c>
      <c r="B1813" t="s">
        <v>1092</v>
      </c>
      <c r="C1813" s="1">
        <v>44452</v>
      </c>
      <c r="D1813" t="s">
        <v>1344</v>
      </c>
      <c r="S1813" s="3" t="s">
        <v>1092</v>
      </c>
      <c r="T1813" s="6" t="s">
        <v>942</v>
      </c>
      <c r="U1813" s="6" t="s">
        <v>950</v>
      </c>
      <c r="V1813" s="2" t="s">
        <v>952</v>
      </c>
      <c r="W1813" t="str">
        <f t="shared" si="29"/>
        <v>SA_New_20219</v>
      </c>
      <c r="X1813" s="2" t="s">
        <v>1615</v>
      </c>
    </row>
    <row r="1814" spans="1:24" hidden="1" x14ac:dyDescent="0.35">
      <c r="A1814">
        <v>74</v>
      </c>
      <c r="B1814" t="s">
        <v>1092</v>
      </c>
      <c r="C1814" s="1">
        <v>44771</v>
      </c>
      <c r="D1814" t="s">
        <v>1442</v>
      </c>
      <c r="S1814" s="3" t="s">
        <v>1092</v>
      </c>
      <c r="T1814" s="6" t="s">
        <v>936</v>
      </c>
      <c r="U1814" s="6" t="s">
        <v>937</v>
      </c>
      <c r="V1814" s="2" t="s">
        <v>954</v>
      </c>
      <c r="W1814" t="str">
        <f t="shared" si="29"/>
        <v>SA_New_20227</v>
      </c>
      <c r="X1814" s="2" t="s">
        <v>1615</v>
      </c>
    </row>
    <row r="1815" spans="1:24" hidden="1" x14ac:dyDescent="0.35">
      <c r="A1815">
        <v>74</v>
      </c>
      <c r="B1815" t="s">
        <v>1092</v>
      </c>
      <c r="C1815" s="1">
        <v>45183</v>
      </c>
      <c r="D1815" t="s">
        <v>1167</v>
      </c>
      <c r="S1815" s="3" t="s">
        <v>1092</v>
      </c>
      <c r="T1815" s="6" t="s">
        <v>942</v>
      </c>
      <c r="U1815" s="6" t="s">
        <v>951</v>
      </c>
      <c r="V1815" s="2" t="s">
        <v>955</v>
      </c>
      <c r="W1815" t="str">
        <f t="shared" si="29"/>
        <v>SA_New_20239</v>
      </c>
      <c r="X1815" s="2" t="s">
        <v>1615</v>
      </c>
    </row>
    <row r="1816" spans="1:24" hidden="1" x14ac:dyDescent="0.35">
      <c r="A1816">
        <v>75</v>
      </c>
      <c r="B1816" t="s">
        <v>1092</v>
      </c>
      <c r="C1816" s="1">
        <v>44453</v>
      </c>
      <c r="D1816" t="s">
        <v>1345</v>
      </c>
      <c r="S1816" s="3" t="s">
        <v>1092</v>
      </c>
      <c r="T1816" s="6" t="s">
        <v>942</v>
      </c>
      <c r="U1816" s="6" t="s">
        <v>951</v>
      </c>
      <c r="V1816" s="2" t="s">
        <v>952</v>
      </c>
      <c r="W1816" t="str">
        <f t="shared" si="29"/>
        <v>SA_New_20219</v>
      </c>
      <c r="X1816" s="2" t="s">
        <v>1615</v>
      </c>
    </row>
    <row r="1817" spans="1:24" hidden="1" x14ac:dyDescent="0.35">
      <c r="A1817">
        <v>75</v>
      </c>
      <c r="B1817" t="s">
        <v>1092</v>
      </c>
      <c r="C1817" s="1">
        <v>44783</v>
      </c>
      <c r="D1817" t="s">
        <v>616</v>
      </c>
      <c r="S1817" s="3" t="s">
        <v>1092</v>
      </c>
      <c r="T1817" s="6" t="s">
        <v>940</v>
      </c>
      <c r="U1817" s="6" t="s">
        <v>948</v>
      </c>
      <c r="V1817" s="2" t="s">
        <v>954</v>
      </c>
      <c r="W1817" t="str">
        <f t="shared" si="29"/>
        <v>SA_New_20228</v>
      </c>
      <c r="X1817" s="2" t="s">
        <v>1615</v>
      </c>
    </row>
    <row r="1818" spans="1:24" hidden="1" x14ac:dyDescent="0.35">
      <c r="A1818">
        <v>75</v>
      </c>
      <c r="B1818" t="s">
        <v>1092</v>
      </c>
      <c r="C1818" s="1">
        <v>45189</v>
      </c>
      <c r="D1818" t="s">
        <v>1168</v>
      </c>
      <c r="S1818" s="3" t="s">
        <v>1092</v>
      </c>
      <c r="T1818" s="6" t="s">
        <v>942</v>
      </c>
      <c r="U1818" s="6" t="s">
        <v>932</v>
      </c>
      <c r="V1818" s="2" t="s">
        <v>955</v>
      </c>
      <c r="W1818" t="str">
        <f t="shared" si="29"/>
        <v>SA_New_20239</v>
      </c>
      <c r="X1818" s="2" t="s">
        <v>1615</v>
      </c>
    </row>
    <row r="1819" spans="1:24" hidden="1" x14ac:dyDescent="0.35">
      <c r="A1819">
        <v>76</v>
      </c>
      <c r="B1819" t="s">
        <v>1092</v>
      </c>
      <c r="C1819" s="1">
        <v>44459</v>
      </c>
      <c r="D1819" t="s">
        <v>1346</v>
      </c>
      <c r="S1819" s="3" t="s">
        <v>1092</v>
      </c>
      <c r="T1819" s="6" t="s">
        <v>942</v>
      </c>
      <c r="U1819" s="6" t="s">
        <v>932</v>
      </c>
      <c r="V1819" s="2" t="s">
        <v>952</v>
      </c>
      <c r="W1819" t="str">
        <f t="shared" si="29"/>
        <v>SA_New_20219</v>
      </c>
      <c r="X1819" s="2" t="s">
        <v>1615</v>
      </c>
    </row>
    <row r="1820" spans="1:24" hidden="1" x14ac:dyDescent="0.35">
      <c r="A1820">
        <v>76</v>
      </c>
      <c r="B1820" t="s">
        <v>1092</v>
      </c>
      <c r="C1820" s="1">
        <v>44772</v>
      </c>
      <c r="D1820" t="s">
        <v>1443</v>
      </c>
      <c r="S1820" s="3" t="s">
        <v>1092</v>
      </c>
      <c r="T1820" s="6" t="s">
        <v>936</v>
      </c>
      <c r="U1820" s="6" t="s">
        <v>938</v>
      </c>
      <c r="V1820" s="2" t="s">
        <v>954</v>
      </c>
      <c r="W1820" t="str">
        <f t="shared" si="29"/>
        <v>SA_New_20227</v>
      </c>
      <c r="X1820" s="2" t="s">
        <v>1615</v>
      </c>
    </row>
    <row r="1821" spans="1:24" hidden="1" x14ac:dyDescent="0.35">
      <c r="A1821">
        <v>76</v>
      </c>
      <c r="B1821" t="s">
        <v>1092</v>
      </c>
      <c r="C1821" s="1">
        <v>45190</v>
      </c>
      <c r="D1821" t="s">
        <v>1169</v>
      </c>
      <c r="S1821" s="3" t="s">
        <v>1092</v>
      </c>
      <c r="T1821" s="6" t="s">
        <v>942</v>
      </c>
      <c r="U1821" s="6" t="s">
        <v>944</v>
      </c>
      <c r="V1821" s="2" t="s">
        <v>955</v>
      </c>
      <c r="W1821" t="str">
        <f t="shared" si="29"/>
        <v>SA_New_20239</v>
      </c>
      <c r="X1821" s="2" t="s">
        <v>1615</v>
      </c>
    </row>
    <row r="1822" spans="1:24" hidden="1" x14ac:dyDescent="0.35">
      <c r="A1822">
        <v>77</v>
      </c>
      <c r="B1822" t="s">
        <v>1092</v>
      </c>
      <c r="C1822" s="1">
        <v>44477</v>
      </c>
      <c r="D1822" t="s">
        <v>1347</v>
      </c>
      <c r="S1822" s="3" t="s">
        <v>1092</v>
      </c>
      <c r="T1822" s="6" t="s">
        <v>948</v>
      </c>
      <c r="U1822" s="6" t="s">
        <v>940</v>
      </c>
      <c r="V1822" s="2" t="s">
        <v>952</v>
      </c>
      <c r="W1822" t="str">
        <f t="shared" si="29"/>
        <v>SA_New_202110</v>
      </c>
      <c r="X1822" s="2" t="s">
        <v>1615</v>
      </c>
    </row>
    <row r="1823" spans="1:24" hidden="1" x14ac:dyDescent="0.35">
      <c r="A1823">
        <v>77</v>
      </c>
      <c r="B1823" t="s">
        <v>1092</v>
      </c>
      <c r="C1823" s="1">
        <v>44774</v>
      </c>
      <c r="D1823" t="s">
        <v>1444</v>
      </c>
      <c r="S1823" s="3" t="s">
        <v>1092</v>
      </c>
      <c r="T1823" s="6" t="s">
        <v>940</v>
      </c>
      <c r="U1823" s="6" t="s">
        <v>953</v>
      </c>
      <c r="V1823" s="2" t="s">
        <v>954</v>
      </c>
      <c r="W1823" t="str">
        <f t="shared" si="29"/>
        <v>SA_New_20228</v>
      </c>
      <c r="X1823" s="2" t="s">
        <v>1615</v>
      </c>
    </row>
    <row r="1824" spans="1:24" hidden="1" x14ac:dyDescent="0.35">
      <c r="A1824">
        <v>77</v>
      </c>
      <c r="B1824" t="s">
        <v>1092</v>
      </c>
      <c r="C1824" s="1">
        <v>45191</v>
      </c>
      <c r="D1824" t="s">
        <v>1170</v>
      </c>
      <c r="S1824" s="3" t="s">
        <v>1092</v>
      </c>
      <c r="T1824" s="6" t="s">
        <v>942</v>
      </c>
      <c r="U1824" s="6" t="s">
        <v>933</v>
      </c>
      <c r="V1824" s="2" t="s">
        <v>955</v>
      </c>
      <c r="W1824" t="str">
        <f t="shared" si="29"/>
        <v>SA_New_20239</v>
      </c>
      <c r="X1824" s="2" t="s">
        <v>1615</v>
      </c>
    </row>
    <row r="1825" spans="1:24" hidden="1" x14ac:dyDescent="0.35">
      <c r="A1825">
        <v>78</v>
      </c>
      <c r="B1825" t="s">
        <v>1092</v>
      </c>
      <c r="C1825" s="1">
        <v>44470</v>
      </c>
      <c r="D1825" t="s">
        <v>1348</v>
      </c>
      <c r="S1825" s="3" t="s">
        <v>1092</v>
      </c>
      <c r="T1825" s="6" t="s">
        <v>948</v>
      </c>
      <c r="U1825" s="6" t="s">
        <v>953</v>
      </c>
      <c r="V1825" s="2" t="s">
        <v>952</v>
      </c>
      <c r="W1825" t="str">
        <f t="shared" si="29"/>
        <v>SA_New_202110</v>
      </c>
      <c r="X1825" s="2" t="s">
        <v>1615</v>
      </c>
    </row>
    <row r="1826" spans="1:24" hidden="1" x14ac:dyDescent="0.35">
      <c r="A1826">
        <v>78</v>
      </c>
      <c r="B1826" t="s">
        <v>1092</v>
      </c>
      <c r="C1826" s="1">
        <v>44775</v>
      </c>
      <c r="D1826" t="s">
        <v>1445</v>
      </c>
      <c r="S1826" s="3" t="s">
        <v>1092</v>
      </c>
      <c r="T1826" s="6" t="s">
        <v>940</v>
      </c>
      <c r="U1826" s="6" t="s">
        <v>921</v>
      </c>
      <c r="V1826" s="2" t="s">
        <v>954</v>
      </c>
      <c r="W1826" t="str">
        <f t="shared" si="29"/>
        <v>SA_New_20228</v>
      </c>
      <c r="X1826" s="2" t="s">
        <v>1615</v>
      </c>
    </row>
    <row r="1827" spans="1:24" hidden="1" x14ac:dyDescent="0.35">
      <c r="A1827">
        <v>78</v>
      </c>
      <c r="B1827" t="s">
        <v>1092</v>
      </c>
      <c r="C1827" s="1">
        <v>45207</v>
      </c>
      <c r="D1827" t="s">
        <v>1171</v>
      </c>
      <c r="S1827" s="3" t="s">
        <v>1092</v>
      </c>
      <c r="T1827" s="6" t="s">
        <v>948</v>
      </c>
      <c r="U1827" s="6" t="s">
        <v>940</v>
      </c>
      <c r="V1827" s="2" t="s">
        <v>955</v>
      </c>
      <c r="W1827" t="str">
        <f t="shared" si="29"/>
        <v>SA_New_202310</v>
      </c>
      <c r="X1827" s="2" t="s">
        <v>1615</v>
      </c>
    </row>
    <row r="1828" spans="1:24" hidden="1" x14ac:dyDescent="0.35">
      <c r="A1828">
        <v>79</v>
      </c>
      <c r="B1828" t="s">
        <v>1092</v>
      </c>
      <c r="C1828" s="1">
        <v>44477</v>
      </c>
      <c r="D1828" t="s">
        <v>1349</v>
      </c>
      <c r="S1828" s="3" t="s">
        <v>1092</v>
      </c>
      <c r="T1828" s="6" t="s">
        <v>948</v>
      </c>
      <c r="U1828" s="6" t="s">
        <v>940</v>
      </c>
      <c r="V1828" s="2" t="s">
        <v>952</v>
      </c>
      <c r="W1828" t="str">
        <f t="shared" si="29"/>
        <v>SA_New_202110</v>
      </c>
      <c r="X1828" s="2" t="s">
        <v>1615</v>
      </c>
    </row>
    <row r="1829" spans="1:24" hidden="1" x14ac:dyDescent="0.35">
      <c r="A1829">
        <v>79</v>
      </c>
      <c r="B1829" t="s">
        <v>1092</v>
      </c>
      <c r="C1829" s="1">
        <v>44783</v>
      </c>
      <c r="D1829" t="s">
        <v>1006</v>
      </c>
      <c r="S1829" s="3" t="s">
        <v>1092</v>
      </c>
      <c r="T1829" s="6" t="s">
        <v>940</v>
      </c>
      <c r="U1829" s="6" t="s">
        <v>948</v>
      </c>
      <c r="V1829" s="2" t="s">
        <v>954</v>
      </c>
      <c r="W1829" t="str">
        <f t="shared" si="29"/>
        <v>SA_New_20228</v>
      </c>
      <c r="X1829" s="2" t="s">
        <v>1615</v>
      </c>
    </row>
    <row r="1830" spans="1:24" hidden="1" x14ac:dyDescent="0.35">
      <c r="A1830">
        <v>79</v>
      </c>
      <c r="B1830" t="s">
        <v>1092</v>
      </c>
      <c r="C1830" s="1">
        <v>45210</v>
      </c>
      <c r="D1830" t="s">
        <v>1172</v>
      </c>
      <c r="S1830" s="3" t="s">
        <v>1092</v>
      </c>
      <c r="T1830" s="6" t="s">
        <v>948</v>
      </c>
      <c r="U1830" s="6" t="s">
        <v>945</v>
      </c>
      <c r="V1830" s="2" t="s">
        <v>955</v>
      </c>
      <c r="W1830" t="str">
        <f t="shared" si="29"/>
        <v>SA_New_202310</v>
      </c>
      <c r="X1830" s="2" t="s">
        <v>1615</v>
      </c>
    </row>
    <row r="1831" spans="1:24" hidden="1" x14ac:dyDescent="0.35">
      <c r="A1831">
        <v>80</v>
      </c>
      <c r="B1831" t="s">
        <v>1092</v>
      </c>
      <c r="C1831" s="1">
        <v>44478</v>
      </c>
      <c r="D1831" t="s">
        <v>1350</v>
      </c>
      <c r="S1831" s="3" t="s">
        <v>1092</v>
      </c>
      <c r="T1831" s="6" t="s">
        <v>948</v>
      </c>
      <c r="U1831" s="6" t="s">
        <v>942</v>
      </c>
      <c r="V1831" s="2" t="s">
        <v>952</v>
      </c>
      <c r="W1831" t="str">
        <f t="shared" si="29"/>
        <v>SA_New_202110</v>
      </c>
      <c r="X1831" s="2" t="s">
        <v>1615</v>
      </c>
    </row>
    <row r="1832" spans="1:24" hidden="1" x14ac:dyDescent="0.35">
      <c r="A1832">
        <v>80</v>
      </c>
      <c r="B1832" t="s">
        <v>1092</v>
      </c>
      <c r="C1832" s="1">
        <v>44795</v>
      </c>
      <c r="D1832" t="s">
        <v>1446</v>
      </c>
      <c r="S1832" s="3" t="s">
        <v>1092</v>
      </c>
      <c r="T1832" s="6" t="s">
        <v>940</v>
      </c>
      <c r="U1832" s="6" t="s">
        <v>933</v>
      </c>
      <c r="V1832" s="2" t="s">
        <v>954</v>
      </c>
      <c r="W1832" t="str">
        <f t="shared" si="29"/>
        <v>SA_New_20228</v>
      </c>
      <c r="X1832" s="2" t="s">
        <v>1615</v>
      </c>
    </row>
    <row r="1833" spans="1:24" hidden="1" x14ac:dyDescent="0.35">
      <c r="A1833">
        <v>80</v>
      </c>
      <c r="B1833" t="s">
        <v>1092</v>
      </c>
      <c r="C1833" s="1">
        <v>45212</v>
      </c>
      <c r="D1833" t="s">
        <v>1173</v>
      </c>
      <c r="S1833" s="3" t="s">
        <v>1092</v>
      </c>
      <c r="T1833" s="6" t="s">
        <v>948</v>
      </c>
      <c r="U1833" s="6" t="s">
        <v>950</v>
      </c>
      <c r="V1833" s="2" t="s">
        <v>955</v>
      </c>
      <c r="W1833" t="str">
        <f t="shared" si="29"/>
        <v>SA_New_202310</v>
      </c>
      <c r="X1833" s="2" t="s">
        <v>1615</v>
      </c>
    </row>
    <row r="1834" spans="1:24" hidden="1" x14ac:dyDescent="0.35">
      <c r="A1834">
        <v>81</v>
      </c>
      <c r="B1834" t="s">
        <v>1092</v>
      </c>
      <c r="C1834" s="1">
        <v>44482</v>
      </c>
      <c r="D1834" t="s">
        <v>1351</v>
      </c>
      <c r="S1834" s="3" t="s">
        <v>1092</v>
      </c>
      <c r="T1834" s="6" t="s">
        <v>948</v>
      </c>
      <c r="U1834" s="6" t="s">
        <v>950</v>
      </c>
      <c r="V1834" s="2" t="s">
        <v>952</v>
      </c>
      <c r="W1834" t="str">
        <f t="shared" si="29"/>
        <v>SA_New_202110</v>
      </c>
      <c r="X1834" s="2" t="s">
        <v>1615</v>
      </c>
    </row>
    <row r="1835" spans="1:24" hidden="1" x14ac:dyDescent="0.35">
      <c r="A1835">
        <v>81</v>
      </c>
      <c r="B1835" t="s">
        <v>1092</v>
      </c>
      <c r="C1835" s="1">
        <v>44795</v>
      </c>
      <c r="D1835" t="s">
        <v>1447</v>
      </c>
      <c r="S1835" s="3" t="s">
        <v>1092</v>
      </c>
      <c r="T1835" s="6" t="s">
        <v>940</v>
      </c>
      <c r="U1835" s="6" t="s">
        <v>933</v>
      </c>
      <c r="V1835" s="2" t="s">
        <v>954</v>
      </c>
      <c r="W1835" t="str">
        <f t="shared" si="29"/>
        <v>SA_New_20228</v>
      </c>
      <c r="X1835" s="2" t="s">
        <v>1615</v>
      </c>
    </row>
    <row r="1836" spans="1:24" hidden="1" x14ac:dyDescent="0.35">
      <c r="A1836">
        <v>81</v>
      </c>
      <c r="B1836" t="s">
        <v>1092</v>
      </c>
      <c r="C1836" s="1">
        <v>45212</v>
      </c>
      <c r="D1836" t="s">
        <v>1174</v>
      </c>
      <c r="S1836" s="3" t="s">
        <v>1092</v>
      </c>
      <c r="T1836" s="6" t="s">
        <v>948</v>
      </c>
      <c r="U1836" s="6" t="s">
        <v>950</v>
      </c>
      <c r="V1836" s="2" t="s">
        <v>955</v>
      </c>
      <c r="W1836" t="str">
        <f t="shared" si="29"/>
        <v>SA_New_202310</v>
      </c>
      <c r="X1836" s="2" t="s">
        <v>1615</v>
      </c>
    </row>
    <row r="1837" spans="1:24" hidden="1" x14ac:dyDescent="0.35">
      <c r="A1837">
        <v>82</v>
      </c>
      <c r="B1837" t="s">
        <v>1092</v>
      </c>
      <c r="C1837" s="1">
        <v>44482</v>
      </c>
      <c r="D1837" t="s">
        <v>1352</v>
      </c>
      <c r="S1837" s="3" t="s">
        <v>1092</v>
      </c>
      <c r="T1837" s="6" t="s">
        <v>948</v>
      </c>
      <c r="U1837" s="6" t="s">
        <v>950</v>
      </c>
      <c r="V1837" s="2" t="s">
        <v>952</v>
      </c>
      <c r="W1837" t="str">
        <f t="shared" si="29"/>
        <v>SA_New_202110</v>
      </c>
      <c r="X1837" s="2" t="s">
        <v>1615</v>
      </c>
    </row>
    <row r="1838" spans="1:24" hidden="1" x14ac:dyDescent="0.35">
      <c r="A1838">
        <v>82</v>
      </c>
      <c r="B1838" t="s">
        <v>1092</v>
      </c>
      <c r="C1838" s="1">
        <v>44797</v>
      </c>
      <c r="D1838" t="s">
        <v>1149</v>
      </c>
      <c r="S1838" s="3" t="s">
        <v>1092</v>
      </c>
      <c r="T1838" s="6" t="s">
        <v>940</v>
      </c>
      <c r="U1838" s="6" t="s">
        <v>935</v>
      </c>
      <c r="V1838" s="2" t="s">
        <v>954</v>
      </c>
      <c r="W1838" t="str">
        <f t="shared" si="29"/>
        <v>SA_New_20228</v>
      </c>
      <c r="X1838" s="2" t="s">
        <v>1615</v>
      </c>
    </row>
    <row r="1839" spans="1:24" hidden="1" x14ac:dyDescent="0.35">
      <c r="A1839">
        <v>82</v>
      </c>
      <c r="B1839" t="s">
        <v>1092</v>
      </c>
      <c r="C1839" s="1">
        <v>45215</v>
      </c>
      <c r="D1839" t="s">
        <v>1175</v>
      </c>
      <c r="S1839" s="3" t="s">
        <v>1092</v>
      </c>
      <c r="T1839" s="6" t="s">
        <v>948</v>
      </c>
      <c r="U1839" s="6" t="s">
        <v>928</v>
      </c>
      <c r="V1839" s="2" t="s">
        <v>955</v>
      </c>
      <c r="W1839" t="str">
        <f t="shared" si="29"/>
        <v>SA_New_202310</v>
      </c>
      <c r="X1839" s="2" t="s">
        <v>1615</v>
      </c>
    </row>
    <row r="1840" spans="1:24" hidden="1" x14ac:dyDescent="0.35">
      <c r="A1840">
        <v>83</v>
      </c>
      <c r="B1840" t="s">
        <v>1092</v>
      </c>
      <c r="C1840" s="1">
        <v>44483</v>
      </c>
      <c r="D1840" t="s">
        <v>1353</v>
      </c>
      <c r="S1840" s="3" t="s">
        <v>1092</v>
      </c>
      <c r="T1840" s="6" t="s">
        <v>948</v>
      </c>
      <c r="U1840" s="6" t="s">
        <v>951</v>
      </c>
      <c r="V1840" s="2" t="s">
        <v>952</v>
      </c>
      <c r="W1840" t="str">
        <f t="shared" si="29"/>
        <v>SA_New_202110</v>
      </c>
      <c r="X1840" s="2" t="s">
        <v>1615</v>
      </c>
    </row>
    <row r="1841" spans="1:24" hidden="1" x14ac:dyDescent="0.35">
      <c r="A1841">
        <v>83</v>
      </c>
      <c r="B1841" t="s">
        <v>1092</v>
      </c>
      <c r="C1841" s="1">
        <v>44805</v>
      </c>
      <c r="D1841" t="s">
        <v>1448</v>
      </c>
      <c r="S1841" s="3" t="s">
        <v>1092</v>
      </c>
      <c r="T1841" s="6" t="s">
        <v>942</v>
      </c>
      <c r="U1841" s="6" t="s">
        <v>953</v>
      </c>
      <c r="V1841" s="2" t="s">
        <v>954</v>
      </c>
      <c r="W1841" t="str">
        <f t="shared" si="29"/>
        <v>SA_New_20229</v>
      </c>
      <c r="X1841" s="2" t="s">
        <v>1615</v>
      </c>
    </row>
    <row r="1842" spans="1:24" hidden="1" x14ac:dyDescent="0.35">
      <c r="A1842">
        <v>83</v>
      </c>
      <c r="B1842" t="s">
        <v>1092</v>
      </c>
      <c r="C1842" s="1">
        <v>45211</v>
      </c>
      <c r="D1842" t="s">
        <v>1176</v>
      </c>
      <c r="S1842" s="3" t="s">
        <v>1092</v>
      </c>
      <c r="T1842" s="6" t="s">
        <v>948</v>
      </c>
      <c r="U1842" s="6" t="s">
        <v>949</v>
      </c>
      <c r="V1842" s="2" t="s">
        <v>955</v>
      </c>
      <c r="W1842" t="str">
        <f t="shared" si="29"/>
        <v>SA_New_202310</v>
      </c>
      <c r="X1842" s="2" t="s">
        <v>1615</v>
      </c>
    </row>
    <row r="1843" spans="1:24" hidden="1" x14ac:dyDescent="0.35">
      <c r="A1843">
        <v>84</v>
      </c>
      <c r="B1843" t="s">
        <v>1092</v>
      </c>
      <c r="C1843" s="1">
        <v>44485</v>
      </c>
      <c r="D1843" t="s">
        <v>1354</v>
      </c>
      <c r="S1843" s="3" t="s">
        <v>1092</v>
      </c>
      <c r="T1843" s="6" t="s">
        <v>948</v>
      </c>
      <c r="U1843" s="6" t="s">
        <v>928</v>
      </c>
      <c r="V1843" s="2" t="s">
        <v>952</v>
      </c>
      <c r="W1843" t="str">
        <f t="shared" si="29"/>
        <v>SA_New_202110</v>
      </c>
      <c r="X1843" s="2" t="s">
        <v>1615</v>
      </c>
    </row>
    <row r="1844" spans="1:24" hidden="1" x14ac:dyDescent="0.35">
      <c r="A1844">
        <v>84</v>
      </c>
      <c r="B1844" t="s">
        <v>1092</v>
      </c>
      <c r="C1844" s="1">
        <v>44811</v>
      </c>
      <c r="D1844" t="s">
        <v>1449</v>
      </c>
      <c r="S1844" s="3" t="s">
        <v>1092</v>
      </c>
      <c r="T1844" s="6" t="s">
        <v>942</v>
      </c>
      <c r="U1844" s="6" t="s">
        <v>936</v>
      </c>
      <c r="V1844" s="2" t="s">
        <v>954</v>
      </c>
      <c r="W1844" t="str">
        <f t="shared" si="29"/>
        <v>SA_New_20229</v>
      </c>
      <c r="X1844" s="2" t="s">
        <v>1615</v>
      </c>
    </row>
    <row r="1845" spans="1:24" hidden="1" x14ac:dyDescent="0.35">
      <c r="A1845">
        <v>84</v>
      </c>
      <c r="B1845" t="s">
        <v>1092</v>
      </c>
      <c r="C1845" s="1">
        <v>45210</v>
      </c>
      <c r="D1845" t="s">
        <v>1177</v>
      </c>
      <c r="S1845" s="3" t="s">
        <v>1092</v>
      </c>
      <c r="T1845" s="6" t="s">
        <v>948</v>
      </c>
      <c r="U1845" s="6" t="s">
        <v>945</v>
      </c>
      <c r="V1845" s="2" t="s">
        <v>955</v>
      </c>
      <c r="W1845" t="str">
        <f t="shared" si="29"/>
        <v>SA_New_202310</v>
      </c>
      <c r="X1845" s="2" t="s">
        <v>1615</v>
      </c>
    </row>
    <row r="1846" spans="1:24" hidden="1" x14ac:dyDescent="0.35">
      <c r="A1846">
        <v>85</v>
      </c>
      <c r="B1846" t="s">
        <v>1092</v>
      </c>
      <c r="C1846" s="1">
        <v>44491</v>
      </c>
      <c r="D1846" t="s">
        <v>1355</v>
      </c>
      <c r="S1846" s="3" t="s">
        <v>1092</v>
      </c>
      <c r="T1846" s="6" t="s">
        <v>948</v>
      </c>
      <c r="U1846" s="6" t="s">
        <v>933</v>
      </c>
      <c r="V1846" s="2" t="s">
        <v>952</v>
      </c>
      <c r="W1846" t="str">
        <f t="shared" si="29"/>
        <v>SA_New_202110</v>
      </c>
      <c r="X1846" s="2" t="s">
        <v>1615</v>
      </c>
    </row>
    <row r="1847" spans="1:24" hidden="1" x14ac:dyDescent="0.35">
      <c r="A1847">
        <v>85</v>
      </c>
      <c r="B1847" t="s">
        <v>1092</v>
      </c>
      <c r="C1847" s="1">
        <v>44816</v>
      </c>
      <c r="D1847" t="s">
        <v>1450</v>
      </c>
      <c r="S1847" s="3" t="s">
        <v>1092</v>
      </c>
      <c r="T1847" s="6" t="s">
        <v>942</v>
      </c>
      <c r="U1847" s="6" t="s">
        <v>949</v>
      </c>
      <c r="V1847" s="2" t="s">
        <v>954</v>
      </c>
      <c r="W1847" t="str">
        <f t="shared" si="29"/>
        <v>SA_New_20229</v>
      </c>
      <c r="X1847" s="2" t="s">
        <v>1615</v>
      </c>
    </row>
    <row r="1848" spans="1:24" hidden="1" x14ac:dyDescent="0.35">
      <c r="A1848">
        <v>85</v>
      </c>
      <c r="B1848" t="s">
        <v>1092</v>
      </c>
      <c r="C1848" s="1">
        <v>45213</v>
      </c>
      <c r="D1848" t="s">
        <v>1178</v>
      </c>
      <c r="S1848" s="3" t="s">
        <v>1092</v>
      </c>
      <c r="T1848" s="6" t="s">
        <v>948</v>
      </c>
      <c r="U1848" s="6" t="s">
        <v>951</v>
      </c>
      <c r="V1848" s="2" t="s">
        <v>955</v>
      </c>
      <c r="W1848" t="str">
        <f t="shared" si="29"/>
        <v>SA_New_202310</v>
      </c>
      <c r="X1848" s="2" t="s">
        <v>1615</v>
      </c>
    </row>
    <row r="1849" spans="1:24" hidden="1" x14ac:dyDescent="0.35">
      <c r="A1849">
        <v>86</v>
      </c>
      <c r="B1849" t="s">
        <v>1092</v>
      </c>
      <c r="C1849" s="1">
        <v>44491</v>
      </c>
      <c r="D1849" t="s">
        <v>1356</v>
      </c>
      <c r="S1849" s="3" t="s">
        <v>1092</v>
      </c>
      <c r="T1849" s="6" t="s">
        <v>948</v>
      </c>
      <c r="U1849" s="6" t="s">
        <v>933</v>
      </c>
      <c r="V1849" s="2" t="s">
        <v>952</v>
      </c>
      <c r="W1849" t="str">
        <f t="shared" si="29"/>
        <v>SA_New_202110</v>
      </c>
      <c r="X1849" s="2" t="s">
        <v>1615</v>
      </c>
    </row>
    <row r="1850" spans="1:24" hidden="1" x14ac:dyDescent="0.35">
      <c r="A1850">
        <v>86</v>
      </c>
      <c r="B1850" t="s">
        <v>1092</v>
      </c>
      <c r="C1850" s="1">
        <v>44816</v>
      </c>
      <c r="D1850" t="s">
        <v>1451</v>
      </c>
      <c r="S1850" s="3" t="s">
        <v>1092</v>
      </c>
      <c r="T1850" s="6" t="s">
        <v>942</v>
      </c>
      <c r="U1850" s="6" t="s">
        <v>949</v>
      </c>
      <c r="V1850" s="2" t="s">
        <v>954</v>
      </c>
      <c r="W1850" t="str">
        <f t="shared" si="29"/>
        <v>SA_New_20229</v>
      </c>
      <c r="X1850" s="2" t="s">
        <v>1615</v>
      </c>
    </row>
    <row r="1851" spans="1:24" hidden="1" x14ac:dyDescent="0.35">
      <c r="A1851">
        <v>86</v>
      </c>
      <c r="B1851" t="s">
        <v>1092</v>
      </c>
      <c r="C1851" s="1">
        <v>45210</v>
      </c>
      <c r="D1851" t="s">
        <v>1179</v>
      </c>
      <c r="S1851" s="3" t="s">
        <v>1092</v>
      </c>
      <c r="T1851" s="6" t="s">
        <v>948</v>
      </c>
      <c r="U1851" s="6" t="s">
        <v>945</v>
      </c>
      <c r="V1851" s="2" t="s">
        <v>955</v>
      </c>
      <c r="W1851" t="str">
        <f t="shared" si="29"/>
        <v>SA_New_202310</v>
      </c>
      <c r="X1851" s="2" t="s">
        <v>1615</v>
      </c>
    </row>
    <row r="1852" spans="1:24" hidden="1" x14ac:dyDescent="0.35">
      <c r="A1852">
        <v>87</v>
      </c>
      <c r="B1852" t="s">
        <v>1092</v>
      </c>
      <c r="C1852" s="1">
        <v>44496</v>
      </c>
      <c r="D1852" t="s">
        <v>1357</v>
      </c>
      <c r="S1852" s="3" t="s">
        <v>1092</v>
      </c>
      <c r="T1852" s="6" t="s">
        <v>948</v>
      </c>
      <c r="U1852" s="6" t="s">
        <v>925</v>
      </c>
      <c r="V1852" s="2" t="s">
        <v>952</v>
      </c>
      <c r="W1852" t="str">
        <f t="shared" si="29"/>
        <v>SA_New_202110</v>
      </c>
      <c r="X1852" s="2" t="s">
        <v>1615</v>
      </c>
    </row>
    <row r="1853" spans="1:24" hidden="1" x14ac:dyDescent="0.35">
      <c r="A1853">
        <v>87</v>
      </c>
      <c r="B1853" t="s">
        <v>1092</v>
      </c>
      <c r="C1853" s="1">
        <v>44817</v>
      </c>
      <c r="D1853" t="s">
        <v>1452</v>
      </c>
      <c r="S1853" s="3" t="s">
        <v>1092</v>
      </c>
      <c r="T1853" s="6" t="s">
        <v>942</v>
      </c>
      <c r="U1853" s="6" t="s">
        <v>950</v>
      </c>
      <c r="V1853" s="2" t="s">
        <v>954</v>
      </c>
      <c r="W1853" t="str">
        <f t="shared" si="29"/>
        <v>SA_New_20229</v>
      </c>
      <c r="X1853" s="2" t="s">
        <v>1615</v>
      </c>
    </row>
    <row r="1854" spans="1:24" hidden="1" x14ac:dyDescent="0.35">
      <c r="A1854">
        <v>87</v>
      </c>
      <c r="B1854" t="s">
        <v>1092</v>
      </c>
      <c r="C1854" s="1">
        <v>45245</v>
      </c>
      <c r="D1854" t="s">
        <v>1180</v>
      </c>
      <c r="S1854" s="3" t="s">
        <v>1092</v>
      </c>
      <c r="T1854" s="6" t="s">
        <v>945</v>
      </c>
      <c r="U1854" s="6" t="s">
        <v>943</v>
      </c>
      <c r="V1854" s="2" t="s">
        <v>955</v>
      </c>
      <c r="W1854" t="str">
        <f t="shared" si="29"/>
        <v>SA_New_202311</v>
      </c>
      <c r="X1854" s="2" t="s">
        <v>1615</v>
      </c>
    </row>
    <row r="1855" spans="1:24" hidden="1" x14ac:dyDescent="0.35">
      <c r="A1855">
        <v>88</v>
      </c>
      <c r="B1855" t="s">
        <v>1092</v>
      </c>
      <c r="C1855" s="1">
        <v>44501</v>
      </c>
      <c r="D1855" t="s">
        <v>1358</v>
      </c>
      <c r="S1855" s="3" t="s">
        <v>1092</v>
      </c>
      <c r="T1855" s="6" t="s">
        <v>945</v>
      </c>
      <c r="U1855" s="6" t="s">
        <v>953</v>
      </c>
      <c r="V1855" s="2" t="s">
        <v>952</v>
      </c>
      <c r="W1855" t="str">
        <f t="shared" si="29"/>
        <v>SA_New_202111</v>
      </c>
      <c r="X1855" s="2" t="s">
        <v>1615</v>
      </c>
    </row>
    <row r="1856" spans="1:24" hidden="1" x14ac:dyDescent="0.35">
      <c r="A1856">
        <v>88</v>
      </c>
      <c r="B1856" t="s">
        <v>1092</v>
      </c>
      <c r="C1856" s="1">
        <v>44817</v>
      </c>
      <c r="D1856" t="s">
        <v>1453</v>
      </c>
      <c r="S1856" s="3" t="s">
        <v>1092</v>
      </c>
      <c r="T1856" s="6" t="s">
        <v>942</v>
      </c>
      <c r="U1856" s="6" t="s">
        <v>950</v>
      </c>
      <c r="V1856" s="2" t="s">
        <v>954</v>
      </c>
      <c r="W1856" t="str">
        <f t="shared" si="29"/>
        <v>SA_New_20229</v>
      </c>
      <c r="X1856" s="2" t="s">
        <v>1615</v>
      </c>
    </row>
    <row r="1857" spans="1:24" hidden="1" x14ac:dyDescent="0.35">
      <c r="A1857">
        <v>88</v>
      </c>
      <c r="B1857" t="s">
        <v>1092</v>
      </c>
      <c r="C1857" s="1">
        <v>45251</v>
      </c>
      <c r="D1857" t="s">
        <v>1181</v>
      </c>
      <c r="S1857" s="3" t="s">
        <v>1092</v>
      </c>
      <c r="T1857" s="6" t="s">
        <v>945</v>
      </c>
      <c r="U1857" s="6" t="s">
        <v>944</v>
      </c>
      <c r="V1857" s="2" t="s">
        <v>955</v>
      </c>
      <c r="W1857" t="str">
        <f t="shared" si="29"/>
        <v>SA_New_202311</v>
      </c>
      <c r="X1857" s="2" t="s">
        <v>1615</v>
      </c>
    </row>
    <row r="1858" spans="1:24" hidden="1" x14ac:dyDescent="0.35">
      <c r="A1858">
        <v>89</v>
      </c>
      <c r="B1858" t="s">
        <v>1092</v>
      </c>
      <c r="C1858" s="1">
        <v>44503</v>
      </c>
      <c r="D1858" t="s">
        <v>1359</v>
      </c>
      <c r="S1858" s="3" t="s">
        <v>1092</v>
      </c>
      <c r="T1858" s="6" t="s">
        <v>945</v>
      </c>
      <c r="U1858" s="6" t="s">
        <v>941</v>
      </c>
      <c r="V1858" s="2" t="s">
        <v>952</v>
      </c>
      <c r="W1858" t="str">
        <f t="shared" ref="W1858:W1921" si="30">CONCATENATE(B1858,"_",V1858,T1858)</f>
        <v>SA_New_202111</v>
      </c>
      <c r="X1858" s="2" t="s">
        <v>1615</v>
      </c>
    </row>
    <row r="1859" spans="1:24" hidden="1" x14ac:dyDescent="0.35">
      <c r="A1859">
        <v>89</v>
      </c>
      <c r="B1859" t="s">
        <v>1092</v>
      </c>
      <c r="C1859" s="1">
        <v>44821</v>
      </c>
      <c r="D1859" t="s">
        <v>1454</v>
      </c>
      <c r="S1859" s="3" t="s">
        <v>1092</v>
      </c>
      <c r="T1859" s="6" t="s">
        <v>942</v>
      </c>
      <c r="U1859" s="6" t="s">
        <v>929</v>
      </c>
      <c r="V1859" s="2" t="s">
        <v>954</v>
      </c>
      <c r="W1859" t="str">
        <f t="shared" si="30"/>
        <v>SA_New_20229</v>
      </c>
      <c r="X1859" s="2" t="s">
        <v>1615</v>
      </c>
    </row>
    <row r="1860" spans="1:24" hidden="1" x14ac:dyDescent="0.35">
      <c r="A1860">
        <v>89</v>
      </c>
      <c r="B1860" t="s">
        <v>1092</v>
      </c>
      <c r="C1860" s="1">
        <v>45257</v>
      </c>
      <c r="D1860" t="s">
        <v>1182</v>
      </c>
      <c r="S1860" s="3" t="s">
        <v>1092</v>
      </c>
      <c r="T1860" s="6" t="s">
        <v>945</v>
      </c>
      <c r="U1860" s="6" t="s">
        <v>925</v>
      </c>
      <c r="V1860" s="2" t="s">
        <v>955</v>
      </c>
      <c r="W1860" t="str">
        <f t="shared" si="30"/>
        <v>SA_New_202311</v>
      </c>
      <c r="X1860" s="2" t="s">
        <v>1615</v>
      </c>
    </row>
    <row r="1861" spans="1:24" hidden="1" x14ac:dyDescent="0.35">
      <c r="A1861">
        <v>90</v>
      </c>
      <c r="B1861" t="s">
        <v>1092</v>
      </c>
      <c r="C1861" s="1">
        <v>44503</v>
      </c>
      <c r="D1861" t="s">
        <v>1360</v>
      </c>
      <c r="S1861" s="3" t="s">
        <v>1092</v>
      </c>
      <c r="T1861" s="6" t="s">
        <v>945</v>
      </c>
      <c r="U1861" s="6" t="s">
        <v>941</v>
      </c>
      <c r="V1861" s="2" t="s">
        <v>952</v>
      </c>
      <c r="W1861" t="str">
        <f t="shared" si="30"/>
        <v>SA_New_202111</v>
      </c>
      <c r="X1861" s="2" t="s">
        <v>1615</v>
      </c>
    </row>
    <row r="1862" spans="1:24" hidden="1" x14ac:dyDescent="0.35">
      <c r="A1862">
        <v>90</v>
      </c>
      <c r="B1862" t="s">
        <v>1092</v>
      </c>
      <c r="C1862" s="1">
        <v>44825</v>
      </c>
      <c r="D1862" t="s">
        <v>987</v>
      </c>
      <c r="S1862" s="3" t="s">
        <v>1092</v>
      </c>
      <c r="T1862" s="6" t="s">
        <v>942</v>
      </c>
      <c r="U1862" s="6" t="s">
        <v>944</v>
      </c>
      <c r="V1862" s="2" t="s">
        <v>954</v>
      </c>
      <c r="W1862" t="str">
        <f t="shared" si="30"/>
        <v>SA_New_20229</v>
      </c>
      <c r="X1862" s="2" t="s">
        <v>1615</v>
      </c>
    </row>
    <row r="1863" spans="1:24" hidden="1" x14ac:dyDescent="0.35">
      <c r="A1863">
        <v>90</v>
      </c>
      <c r="B1863" t="s">
        <v>1092</v>
      </c>
      <c r="C1863" s="1">
        <v>45257</v>
      </c>
      <c r="D1863" t="s">
        <v>1183</v>
      </c>
      <c r="S1863" s="3" t="s">
        <v>1092</v>
      </c>
      <c r="T1863" s="6" t="s">
        <v>945</v>
      </c>
      <c r="U1863" s="6" t="s">
        <v>925</v>
      </c>
      <c r="V1863" s="2" t="s">
        <v>955</v>
      </c>
      <c r="W1863" t="str">
        <f t="shared" si="30"/>
        <v>SA_New_202311</v>
      </c>
      <c r="X1863" s="2" t="s">
        <v>1615</v>
      </c>
    </row>
    <row r="1864" spans="1:24" hidden="1" x14ac:dyDescent="0.35">
      <c r="A1864">
        <v>91</v>
      </c>
      <c r="B1864" t="s">
        <v>1092</v>
      </c>
      <c r="C1864" s="1">
        <v>44505</v>
      </c>
      <c r="D1864" t="s">
        <v>1361</v>
      </c>
      <c r="S1864" s="3" t="s">
        <v>1092</v>
      </c>
      <c r="T1864" s="6" t="s">
        <v>945</v>
      </c>
      <c r="U1864" s="6" t="s">
        <v>947</v>
      </c>
      <c r="V1864" s="2" t="s">
        <v>952</v>
      </c>
      <c r="W1864" t="str">
        <f t="shared" si="30"/>
        <v>SA_New_202111</v>
      </c>
      <c r="X1864" s="2" t="s">
        <v>1615</v>
      </c>
    </row>
    <row r="1865" spans="1:24" hidden="1" x14ac:dyDescent="0.35">
      <c r="A1865">
        <v>91</v>
      </c>
      <c r="B1865" t="s">
        <v>1092</v>
      </c>
      <c r="C1865" s="1">
        <v>44826</v>
      </c>
      <c r="D1865" t="s">
        <v>1455</v>
      </c>
      <c r="S1865" s="3" t="s">
        <v>1092</v>
      </c>
      <c r="T1865" s="6" t="s">
        <v>942</v>
      </c>
      <c r="U1865" s="6" t="s">
        <v>933</v>
      </c>
      <c r="V1865" s="2" t="s">
        <v>954</v>
      </c>
      <c r="W1865" t="str">
        <f t="shared" si="30"/>
        <v>SA_New_20229</v>
      </c>
      <c r="X1865" s="2" t="s">
        <v>1615</v>
      </c>
    </row>
    <row r="1866" spans="1:24" hidden="1" x14ac:dyDescent="0.35">
      <c r="A1866">
        <v>91</v>
      </c>
      <c r="B1866" t="s">
        <v>1092</v>
      </c>
      <c r="C1866" s="1">
        <v>45259</v>
      </c>
      <c r="D1866" t="s">
        <v>1184</v>
      </c>
      <c r="S1866" s="3" t="s">
        <v>1092</v>
      </c>
      <c r="T1866" s="6" t="s">
        <v>945</v>
      </c>
      <c r="U1866" s="6" t="s">
        <v>937</v>
      </c>
      <c r="V1866" s="2" t="s">
        <v>955</v>
      </c>
      <c r="W1866" t="str">
        <f t="shared" si="30"/>
        <v>SA_New_202311</v>
      </c>
      <c r="X1866" s="2" t="s">
        <v>1615</v>
      </c>
    </row>
    <row r="1867" spans="1:24" hidden="1" x14ac:dyDescent="0.35">
      <c r="A1867">
        <v>92</v>
      </c>
      <c r="B1867" t="s">
        <v>1092</v>
      </c>
      <c r="C1867" s="1">
        <v>44510</v>
      </c>
      <c r="D1867" t="s">
        <v>1362</v>
      </c>
      <c r="S1867" s="3" t="s">
        <v>1092</v>
      </c>
      <c r="T1867" s="6" t="s">
        <v>945</v>
      </c>
      <c r="U1867" s="6" t="s">
        <v>948</v>
      </c>
      <c r="V1867" s="2" t="s">
        <v>952</v>
      </c>
      <c r="W1867" t="str">
        <f t="shared" si="30"/>
        <v>SA_New_202111</v>
      </c>
      <c r="X1867" s="2" t="s">
        <v>1615</v>
      </c>
    </row>
    <row r="1868" spans="1:24" hidden="1" x14ac:dyDescent="0.35">
      <c r="A1868">
        <v>92</v>
      </c>
      <c r="B1868" t="s">
        <v>1092</v>
      </c>
      <c r="C1868" s="1">
        <v>44839</v>
      </c>
      <c r="D1868" t="s">
        <v>1456</v>
      </c>
      <c r="S1868" s="3" t="s">
        <v>1092</v>
      </c>
      <c r="T1868" s="6" t="s">
        <v>948</v>
      </c>
      <c r="U1868" s="6" t="s">
        <v>947</v>
      </c>
      <c r="V1868" s="2" t="s">
        <v>954</v>
      </c>
      <c r="W1868" t="str">
        <f t="shared" si="30"/>
        <v>SA_New_202210</v>
      </c>
      <c r="X1868" s="2" t="s">
        <v>1615</v>
      </c>
    </row>
    <row r="1869" spans="1:24" hidden="1" x14ac:dyDescent="0.35">
      <c r="A1869">
        <v>92</v>
      </c>
      <c r="B1869" t="s">
        <v>1092</v>
      </c>
      <c r="C1869" s="1">
        <v>45266</v>
      </c>
      <c r="D1869" t="s">
        <v>1185</v>
      </c>
      <c r="S1869" s="3" t="s">
        <v>1092</v>
      </c>
      <c r="T1869" s="6" t="s">
        <v>949</v>
      </c>
      <c r="U1869" s="6" t="s">
        <v>927</v>
      </c>
      <c r="V1869" s="2" t="s">
        <v>955</v>
      </c>
      <c r="W1869" t="str">
        <f t="shared" si="30"/>
        <v>SA_New_202312</v>
      </c>
      <c r="X1869" s="2" t="s">
        <v>1615</v>
      </c>
    </row>
    <row r="1870" spans="1:24" hidden="1" x14ac:dyDescent="0.35">
      <c r="A1870">
        <v>93</v>
      </c>
      <c r="B1870" t="s">
        <v>1092</v>
      </c>
      <c r="C1870" s="1">
        <v>44510</v>
      </c>
      <c r="D1870" t="s">
        <v>1363</v>
      </c>
      <c r="S1870" s="3" t="s">
        <v>1092</v>
      </c>
      <c r="T1870" s="6" t="s">
        <v>945</v>
      </c>
      <c r="U1870" s="6" t="s">
        <v>948</v>
      </c>
      <c r="V1870" s="2" t="s">
        <v>952</v>
      </c>
      <c r="W1870" t="str">
        <f t="shared" si="30"/>
        <v>SA_New_202111</v>
      </c>
      <c r="X1870" s="2" t="s">
        <v>1615</v>
      </c>
    </row>
    <row r="1871" spans="1:24" hidden="1" x14ac:dyDescent="0.35">
      <c r="A1871">
        <v>93</v>
      </c>
      <c r="B1871" t="s">
        <v>1092</v>
      </c>
      <c r="C1871" s="1">
        <v>44841</v>
      </c>
      <c r="D1871" t="s">
        <v>1457</v>
      </c>
      <c r="S1871" s="3" t="s">
        <v>1092</v>
      </c>
      <c r="T1871" s="6" t="s">
        <v>948</v>
      </c>
      <c r="U1871" s="6" t="s">
        <v>936</v>
      </c>
      <c r="V1871" s="2" t="s">
        <v>954</v>
      </c>
      <c r="W1871" t="str">
        <f t="shared" si="30"/>
        <v>SA_New_202210</v>
      </c>
      <c r="X1871" s="2" t="s">
        <v>1615</v>
      </c>
    </row>
    <row r="1872" spans="1:24" hidden="1" x14ac:dyDescent="0.35">
      <c r="A1872">
        <v>94</v>
      </c>
      <c r="B1872" t="s">
        <v>1092</v>
      </c>
      <c r="C1872" s="1">
        <v>44515</v>
      </c>
      <c r="D1872" t="s">
        <v>1364</v>
      </c>
      <c r="S1872" s="3" t="s">
        <v>1092</v>
      </c>
      <c r="T1872" s="6" t="s">
        <v>945</v>
      </c>
      <c r="U1872" s="6" t="s">
        <v>943</v>
      </c>
      <c r="V1872" s="2" t="s">
        <v>952</v>
      </c>
      <c r="W1872" t="str">
        <f t="shared" si="30"/>
        <v>SA_New_202111</v>
      </c>
      <c r="X1872" s="2" t="s">
        <v>1615</v>
      </c>
    </row>
    <row r="1873" spans="1:24" hidden="1" x14ac:dyDescent="0.35">
      <c r="A1873">
        <v>94</v>
      </c>
      <c r="B1873" t="s">
        <v>1092</v>
      </c>
      <c r="C1873" s="1">
        <v>44858</v>
      </c>
      <c r="D1873" t="s">
        <v>1353</v>
      </c>
      <c r="S1873" s="3" t="s">
        <v>1092</v>
      </c>
      <c r="T1873" s="6" t="s">
        <v>948</v>
      </c>
      <c r="U1873" s="6" t="s">
        <v>935</v>
      </c>
      <c r="V1873" s="2" t="s">
        <v>954</v>
      </c>
      <c r="W1873" t="str">
        <f t="shared" si="30"/>
        <v>SA_New_202210</v>
      </c>
      <c r="X1873" s="2" t="s">
        <v>1615</v>
      </c>
    </row>
    <row r="1874" spans="1:24" hidden="1" x14ac:dyDescent="0.35">
      <c r="A1874">
        <v>95</v>
      </c>
      <c r="B1874" t="s">
        <v>1092</v>
      </c>
      <c r="C1874" s="1">
        <v>44519</v>
      </c>
      <c r="D1874" t="s">
        <v>1365</v>
      </c>
      <c r="S1874" s="3" t="s">
        <v>1092</v>
      </c>
      <c r="T1874" s="6" t="s">
        <v>945</v>
      </c>
      <c r="U1874" s="6" t="s">
        <v>931</v>
      </c>
      <c r="V1874" s="2" t="s">
        <v>952</v>
      </c>
      <c r="W1874" t="str">
        <f t="shared" si="30"/>
        <v>SA_New_202111</v>
      </c>
      <c r="X1874" s="2" t="s">
        <v>1615</v>
      </c>
    </row>
    <row r="1875" spans="1:24" hidden="1" x14ac:dyDescent="0.35">
      <c r="A1875">
        <v>95</v>
      </c>
      <c r="B1875" t="s">
        <v>1092</v>
      </c>
      <c r="C1875" s="1">
        <v>44859</v>
      </c>
      <c r="D1875" t="s">
        <v>1458</v>
      </c>
      <c r="S1875" s="3" t="s">
        <v>1092</v>
      </c>
      <c r="T1875" s="6" t="s">
        <v>948</v>
      </c>
      <c r="U1875" s="6" t="s">
        <v>922</v>
      </c>
      <c r="V1875" s="2" t="s">
        <v>954</v>
      </c>
      <c r="W1875" t="str">
        <f t="shared" si="30"/>
        <v>SA_New_202210</v>
      </c>
      <c r="X1875" s="2" t="s">
        <v>1615</v>
      </c>
    </row>
    <row r="1876" spans="1:24" hidden="1" x14ac:dyDescent="0.35">
      <c r="A1876">
        <v>96</v>
      </c>
      <c r="B1876" t="s">
        <v>1092</v>
      </c>
      <c r="C1876" s="1">
        <v>44539</v>
      </c>
      <c r="D1876" t="s">
        <v>1366</v>
      </c>
      <c r="S1876" s="3" t="s">
        <v>1092</v>
      </c>
      <c r="T1876" s="6" t="s">
        <v>949</v>
      </c>
      <c r="U1876" s="6" t="s">
        <v>942</v>
      </c>
      <c r="V1876" s="2" t="s">
        <v>952</v>
      </c>
      <c r="W1876" t="str">
        <f t="shared" si="30"/>
        <v>SA_New_202112</v>
      </c>
      <c r="X1876" s="2" t="s">
        <v>1615</v>
      </c>
    </row>
    <row r="1877" spans="1:24" hidden="1" x14ac:dyDescent="0.35">
      <c r="A1877">
        <v>96</v>
      </c>
      <c r="B1877" t="s">
        <v>1092</v>
      </c>
      <c r="C1877" s="1">
        <v>44861</v>
      </c>
      <c r="D1877" t="s">
        <v>1459</v>
      </c>
      <c r="S1877" s="3" t="s">
        <v>1092</v>
      </c>
      <c r="T1877" s="6" t="s">
        <v>948</v>
      </c>
      <c r="U1877" s="6" t="s">
        <v>925</v>
      </c>
      <c r="V1877" s="2" t="s">
        <v>954</v>
      </c>
      <c r="W1877" t="str">
        <f t="shared" si="30"/>
        <v>SA_New_202210</v>
      </c>
      <c r="X1877" s="2" t="s">
        <v>1615</v>
      </c>
    </row>
    <row r="1878" spans="1:24" hidden="1" x14ac:dyDescent="0.35">
      <c r="A1878">
        <v>97</v>
      </c>
      <c r="B1878" t="s">
        <v>1092</v>
      </c>
      <c r="C1878" s="1">
        <v>44538</v>
      </c>
      <c r="D1878" t="s">
        <v>1367</v>
      </c>
      <c r="S1878" s="3" t="s">
        <v>1092</v>
      </c>
      <c r="T1878" s="6" t="s">
        <v>949</v>
      </c>
      <c r="U1878" s="6" t="s">
        <v>940</v>
      </c>
      <c r="V1878" s="2" t="s">
        <v>952</v>
      </c>
      <c r="W1878" t="str">
        <f t="shared" si="30"/>
        <v>SA_New_202112</v>
      </c>
      <c r="X1878" s="2" t="s">
        <v>1615</v>
      </c>
    </row>
    <row r="1879" spans="1:24" hidden="1" x14ac:dyDescent="0.35">
      <c r="A1879">
        <v>97</v>
      </c>
      <c r="B1879" t="s">
        <v>1092</v>
      </c>
      <c r="C1879" s="1">
        <v>44862</v>
      </c>
      <c r="D1879" t="s">
        <v>1460</v>
      </c>
      <c r="S1879" s="3" t="s">
        <v>1092</v>
      </c>
      <c r="T1879" s="6" t="s">
        <v>948</v>
      </c>
      <c r="U1879" s="6" t="s">
        <v>926</v>
      </c>
      <c r="V1879" s="2" t="s">
        <v>954</v>
      </c>
      <c r="W1879" t="str">
        <f t="shared" si="30"/>
        <v>SA_New_202210</v>
      </c>
      <c r="X1879" s="2" t="s">
        <v>1615</v>
      </c>
    </row>
    <row r="1880" spans="1:24" hidden="1" x14ac:dyDescent="0.35">
      <c r="A1880">
        <v>98</v>
      </c>
      <c r="B1880" t="s">
        <v>1092</v>
      </c>
      <c r="C1880" s="1">
        <v>44539</v>
      </c>
      <c r="D1880" t="s">
        <v>1368</v>
      </c>
      <c r="S1880" s="3" t="s">
        <v>1092</v>
      </c>
      <c r="T1880" s="6" t="s">
        <v>949</v>
      </c>
      <c r="U1880" s="6" t="s">
        <v>942</v>
      </c>
      <c r="V1880" s="2" t="s">
        <v>952</v>
      </c>
      <c r="W1880" t="str">
        <f t="shared" si="30"/>
        <v>SA_New_202112</v>
      </c>
      <c r="X1880" s="2" t="s">
        <v>1615</v>
      </c>
    </row>
    <row r="1881" spans="1:24" hidden="1" x14ac:dyDescent="0.35">
      <c r="A1881">
        <v>98</v>
      </c>
      <c r="B1881" t="s">
        <v>1092</v>
      </c>
      <c r="C1881" s="1">
        <v>44862</v>
      </c>
      <c r="D1881" t="s">
        <v>1461</v>
      </c>
      <c r="S1881" s="3" t="s">
        <v>1092</v>
      </c>
      <c r="T1881" s="6" t="s">
        <v>948</v>
      </c>
      <c r="U1881" s="6" t="s">
        <v>926</v>
      </c>
      <c r="V1881" s="2" t="s">
        <v>954</v>
      </c>
      <c r="W1881" t="str">
        <f t="shared" si="30"/>
        <v>SA_New_202210</v>
      </c>
      <c r="X1881" s="2" t="s">
        <v>1615</v>
      </c>
    </row>
    <row r="1882" spans="1:24" hidden="1" x14ac:dyDescent="0.35">
      <c r="A1882">
        <v>99</v>
      </c>
      <c r="B1882" t="s">
        <v>1092</v>
      </c>
      <c r="C1882" s="1">
        <v>44543</v>
      </c>
      <c r="D1882" t="s">
        <v>500</v>
      </c>
      <c r="S1882" s="3" t="s">
        <v>1092</v>
      </c>
      <c r="T1882" s="6" t="s">
        <v>949</v>
      </c>
      <c r="U1882" s="6" t="s">
        <v>950</v>
      </c>
      <c r="V1882" s="2" t="s">
        <v>952</v>
      </c>
      <c r="W1882" t="str">
        <f t="shared" si="30"/>
        <v>SA_New_202112</v>
      </c>
      <c r="X1882" s="2" t="s">
        <v>1615</v>
      </c>
    </row>
    <row r="1883" spans="1:24" hidden="1" x14ac:dyDescent="0.35">
      <c r="A1883">
        <v>99</v>
      </c>
      <c r="B1883" t="s">
        <v>1092</v>
      </c>
      <c r="C1883" s="1">
        <v>44881</v>
      </c>
      <c r="D1883" t="s">
        <v>1462</v>
      </c>
      <c r="S1883" s="3" t="s">
        <v>1092</v>
      </c>
      <c r="T1883" s="6" t="s">
        <v>945</v>
      </c>
      <c r="U1883" s="6" t="s">
        <v>928</v>
      </c>
      <c r="V1883" s="2" t="s">
        <v>954</v>
      </c>
      <c r="W1883" t="str">
        <f t="shared" si="30"/>
        <v>SA_New_202211</v>
      </c>
      <c r="X1883" s="2" t="s">
        <v>1615</v>
      </c>
    </row>
    <row r="1884" spans="1:24" hidden="1" x14ac:dyDescent="0.35">
      <c r="A1884">
        <v>100</v>
      </c>
      <c r="B1884" t="s">
        <v>1092</v>
      </c>
      <c r="C1884" s="1">
        <v>44544</v>
      </c>
      <c r="D1884" t="s">
        <v>1369</v>
      </c>
      <c r="S1884" s="3" t="s">
        <v>1092</v>
      </c>
      <c r="T1884" s="6" t="s">
        <v>949</v>
      </c>
      <c r="U1884" s="6" t="s">
        <v>951</v>
      </c>
      <c r="V1884" s="2" t="s">
        <v>952</v>
      </c>
      <c r="W1884" t="str">
        <f t="shared" si="30"/>
        <v>SA_New_202112</v>
      </c>
      <c r="X1884" s="2" t="s">
        <v>1615</v>
      </c>
    </row>
    <row r="1885" spans="1:24" hidden="1" x14ac:dyDescent="0.35">
      <c r="A1885">
        <v>100</v>
      </c>
      <c r="B1885" t="s">
        <v>1092</v>
      </c>
      <c r="C1885" s="1">
        <v>44882</v>
      </c>
      <c r="D1885" t="s">
        <v>1463</v>
      </c>
      <c r="S1885" s="3" t="s">
        <v>1092</v>
      </c>
      <c r="T1885" s="6" t="s">
        <v>945</v>
      </c>
      <c r="U1885" s="6" t="s">
        <v>929</v>
      </c>
      <c r="V1885" s="2" t="s">
        <v>954</v>
      </c>
      <c r="W1885" t="str">
        <f t="shared" si="30"/>
        <v>SA_New_202211</v>
      </c>
      <c r="X1885" s="2" t="s">
        <v>1615</v>
      </c>
    </row>
    <row r="1886" spans="1:24" hidden="1" x14ac:dyDescent="0.35">
      <c r="A1886">
        <v>101</v>
      </c>
      <c r="B1886" t="s">
        <v>1092</v>
      </c>
      <c r="C1886" s="1">
        <v>44546</v>
      </c>
      <c r="D1886" t="s">
        <v>1282</v>
      </c>
      <c r="S1886" s="3" t="s">
        <v>1092</v>
      </c>
      <c r="T1886" s="6" t="s">
        <v>949</v>
      </c>
      <c r="U1886" s="6" t="s">
        <v>928</v>
      </c>
      <c r="V1886" s="2" t="s">
        <v>952</v>
      </c>
      <c r="W1886" t="str">
        <f t="shared" si="30"/>
        <v>SA_New_202112</v>
      </c>
      <c r="X1886" s="2" t="s">
        <v>1615</v>
      </c>
    </row>
    <row r="1887" spans="1:24" hidden="1" x14ac:dyDescent="0.35">
      <c r="A1887">
        <v>101</v>
      </c>
      <c r="B1887" t="s">
        <v>1092</v>
      </c>
      <c r="C1887" s="1">
        <v>44896</v>
      </c>
      <c r="D1887" t="s">
        <v>1464</v>
      </c>
      <c r="S1887" s="3" t="s">
        <v>1092</v>
      </c>
      <c r="T1887" s="6" t="s">
        <v>949</v>
      </c>
      <c r="U1887" s="6" t="s">
        <v>953</v>
      </c>
      <c r="V1887" s="2" t="s">
        <v>954</v>
      </c>
      <c r="W1887" t="str">
        <f t="shared" si="30"/>
        <v>SA_New_202212</v>
      </c>
      <c r="X1887" s="2" t="s">
        <v>1615</v>
      </c>
    </row>
    <row r="1888" spans="1:24" hidden="1" x14ac:dyDescent="0.35">
      <c r="A1888">
        <v>102</v>
      </c>
      <c r="B1888" t="s">
        <v>1092</v>
      </c>
      <c r="C1888" s="1">
        <v>44547</v>
      </c>
      <c r="D1888" t="s">
        <v>1370</v>
      </c>
      <c r="S1888" s="3" t="s">
        <v>1092</v>
      </c>
      <c r="T1888" s="6" t="s">
        <v>949</v>
      </c>
      <c r="U1888" s="6" t="s">
        <v>929</v>
      </c>
      <c r="V1888" s="2" t="s">
        <v>952</v>
      </c>
      <c r="W1888" t="str">
        <f t="shared" si="30"/>
        <v>SA_New_202112</v>
      </c>
      <c r="X1888" s="2" t="s">
        <v>1615</v>
      </c>
    </row>
    <row r="1889" spans="1:24" hidden="1" x14ac:dyDescent="0.35">
      <c r="A1889">
        <v>102</v>
      </c>
      <c r="B1889" t="s">
        <v>1092</v>
      </c>
      <c r="C1889" s="1">
        <v>44901</v>
      </c>
      <c r="D1889" t="s">
        <v>1465</v>
      </c>
      <c r="S1889" s="3" t="s">
        <v>1092</v>
      </c>
      <c r="T1889" s="6" t="s">
        <v>949</v>
      </c>
      <c r="U1889" s="6" t="s">
        <v>927</v>
      </c>
      <c r="V1889" s="2" t="s">
        <v>954</v>
      </c>
      <c r="W1889" t="str">
        <f t="shared" si="30"/>
        <v>SA_New_202212</v>
      </c>
      <c r="X1889" s="2" t="s">
        <v>1615</v>
      </c>
    </row>
    <row r="1890" spans="1:24" hidden="1" x14ac:dyDescent="0.35">
      <c r="A1890">
        <v>103</v>
      </c>
      <c r="B1890" t="s">
        <v>1092</v>
      </c>
      <c r="C1890" s="1">
        <v>44547</v>
      </c>
      <c r="D1890" t="s">
        <v>1371</v>
      </c>
      <c r="S1890" s="3" t="s">
        <v>1092</v>
      </c>
      <c r="T1890" s="6" t="s">
        <v>949</v>
      </c>
      <c r="U1890" s="6" t="s">
        <v>929</v>
      </c>
      <c r="V1890" s="2" t="s">
        <v>952</v>
      </c>
      <c r="W1890" t="str">
        <f t="shared" si="30"/>
        <v>SA_New_202112</v>
      </c>
      <c r="X1890" s="2" t="s">
        <v>1615</v>
      </c>
    </row>
    <row r="1891" spans="1:24" hidden="1" x14ac:dyDescent="0.35">
      <c r="A1891">
        <v>103</v>
      </c>
      <c r="B1891" t="s">
        <v>1092</v>
      </c>
      <c r="C1891" s="1">
        <v>44903</v>
      </c>
      <c r="D1891" t="s">
        <v>1466</v>
      </c>
      <c r="S1891" s="3" t="s">
        <v>1092</v>
      </c>
      <c r="T1891" s="6" t="s">
        <v>949</v>
      </c>
      <c r="U1891" s="6" t="s">
        <v>940</v>
      </c>
      <c r="V1891" s="2" t="s">
        <v>954</v>
      </c>
      <c r="W1891" t="str">
        <f t="shared" si="30"/>
        <v>SA_New_202212</v>
      </c>
      <c r="X1891" s="2" t="s">
        <v>1615</v>
      </c>
    </row>
    <row r="1892" spans="1:24" hidden="1" x14ac:dyDescent="0.35">
      <c r="A1892">
        <v>104</v>
      </c>
      <c r="B1892" t="s">
        <v>1092</v>
      </c>
      <c r="C1892" s="1">
        <v>44548</v>
      </c>
      <c r="D1892" t="s">
        <v>1372</v>
      </c>
      <c r="S1892" s="3" t="s">
        <v>1092</v>
      </c>
      <c r="T1892" s="6" t="s">
        <v>949</v>
      </c>
      <c r="U1892" s="6" t="s">
        <v>930</v>
      </c>
      <c r="V1892" s="2" t="s">
        <v>952</v>
      </c>
      <c r="W1892" t="str">
        <f t="shared" si="30"/>
        <v>SA_New_202112</v>
      </c>
      <c r="X1892" s="2" t="s">
        <v>1615</v>
      </c>
    </row>
    <row r="1893" spans="1:24" hidden="1" x14ac:dyDescent="0.35">
      <c r="A1893">
        <v>104</v>
      </c>
      <c r="B1893" t="s">
        <v>1092</v>
      </c>
      <c r="C1893" s="1">
        <v>44917</v>
      </c>
      <c r="D1893" t="s">
        <v>1467</v>
      </c>
      <c r="S1893" s="3" t="s">
        <v>1092</v>
      </c>
      <c r="T1893" s="6" t="s">
        <v>949</v>
      </c>
      <c r="U1893" s="6" t="s">
        <v>933</v>
      </c>
      <c r="V1893" s="2" t="s">
        <v>954</v>
      </c>
      <c r="W1893" t="str">
        <f t="shared" si="30"/>
        <v>SA_New_202212</v>
      </c>
      <c r="X1893" s="2" t="s">
        <v>1615</v>
      </c>
    </row>
    <row r="1894" spans="1:24" hidden="1" x14ac:dyDescent="0.35">
      <c r="B1894" t="s">
        <v>1092</v>
      </c>
      <c r="C1894" s="1">
        <v>45470</v>
      </c>
      <c r="D1894" t="s">
        <v>1578</v>
      </c>
      <c r="S1894" t="s">
        <v>1092</v>
      </c>
      <c r="T1894" s="6"/>
      <c r="U1894" s="6"/>
      <c r="V1894" s="2"/>
      <c r="W1894" t="str">
        <f t="shared" si="30"/>
        <v>SA_New_</v>
      </c>
      <c r="X1894" s="2" t="s">
        <v>1615</v>
      </c>
    </row>
    <row r="1895" spans="1:24" hidden="1" x14ac:dyDescent="0.35">
      <c r="B1895" t="s">
        <v>1092</v>
      </c>
      <c r="C1895" s="1">
        <v>45475</v>
      </c>
      <c r="D1895" t="s">
        <v>1579</v>
      </c>
      <c r="S1895" t="s">
        <v>1092</v>
      </c>
      <c r="T1895" s="6"/>
      <c r="U1895" s="6"/>
      <c r="V1895" s="2"/>
      <c r="W1895" t="str">
        <f t="shared" si="30"/>
        <v>SA_New_</v>
      </c>
      <c r="X1895" s="2" t="s">
        <v>1615</v>
      </c>
    </row>
    <row r="1896" spans="1:24" hidden="1" x14ac:dyDescent="0.35">
      <c r="B1896" t="s">
        <v>1092</v>
      </c>
      <c r="C1896" s="1">
        <v>45481</v>
      </c>
      <c r="D1896" t="s">
        <v>1580</v>
      </c>
      <c r="S1896" t="s">
        <v>1092</v>
      </c>
      <c r="T1896" s="6"/>
      <c r="U1896" s="6"/>
      <c r="V1896" s="2"/>
      <c r="W1896" t="str">
        <f t="shared" si="30"/>
        <v>SA_New_</v>
      </c>
      <c r="X1896" s="2" t="s">
        <v>1615</v>
      </c>
    </row>
    <row r="1897" spans="1:24" hidden="1" x14ac:dyDescent="0.35">
      <c r="B1897" t="s">
        <v>1092</v>
      </c>
      <c r="C1897" s="1">
        <v>45491</v>
      </c>
      <c r="D1897" t="s">
        <v>1581</v>
      </c>
      <c r="S1897" t="s">
        <v>1092</v>
      </c>
      <c r="T1897" s="6"/>
      <c r="U1897" s="6"/>
      <c r="V1897" s="2"/>
      <c r="W1897" t="str">
        <f t="shared" si="30"/>
        <v>SA_New_</v>
      </c>
      <c r="X1897" s="2" t="s">
        <v>1615</v>
      </c>
    </row>
    <row r="1898" spans="1:24" hidden="1" x14ac:dyDescent="0.35">
      <c r="B1898" t="s">
        <v>1092</v>
      </c>
      <c r="C1898" s="1">
        <v>45491</v>
      </c>
      <c r="D1898" t="s">
        <v>1582</v>
      </c>
      <c r="S1898" t="s">
        <v>1092</v>
      </c>
      <c r="T1898" s="6"/>
      <c r="U1898" s="6"/>
      <c r="V1898" s="2"/>
      <c r="W1898" t="str">
        <f t="shared" si="30"/>
        <v>SA_New_</v>
      </c>
      <c r="X1898" s="2" t="s">
        <v>1615</v>
      </c>
    </row>
    <row r="1899" spans="1:24" hidden="1" x14ac:dyDescent="0.35">
      <c r="B1899" t="s">
        <v>1092</v>
      </c>
      <c r="C1899" s="1">
        <v>45492</v>
      </c>
      <c r="D1899" t="s">
        <v>1583</v>
      </c>
      <c r="S1899" t="s">
        <v>1092</v>
      </c>
      <c r="T1899" s="6"/>
      <c r="U1899" s="6"/>
      <c r="V1899" s="2"/>
      <c r="W1899" t="str">
        <f t="shared" si="30"/>
        <v>SA_New_</v>
      </c>
      <c r="X1899" s="2" t="s">
        <v>1615</v>
      </c>
    </row>
    <row r="1900" spans="1:24" hidden="1" x14ac:dyDescent="0.35">
      <c r="B1900" t="s">
        <v>1092</v>
      </c>
      <c r="C1900" s="1">
        <v>45495</v>
      </c>
      <c r="D1900" t="s">
        <v>1584</v>
      </c>
      <c r="S1900" t="s">
        <v>1092</v>
      </c>
      <c r="T1900" s="6"/>
      <c r="U1900" s="6"/>
      <c r="V1900" s="2"/>
      <c r="W1900" t="str">
        <f t="shared" si="30"/>
        <v>SA_New_</v>
      </c>
      <c r="X1900" s="2" t="s">
        <v>1615</v>
      </c>
    </row>
    <row r="1901" spans="1:24" hidden="1" x14ac:dyDescent="0.35">
      <c r="B1901" t="s">
        <v>1092</v>
      </c>
      <c r="C1901" s="1">
        <v>45497</v>
      </c>
      <c r="D1901" t="s">
        <v>1585</v>
      </c>
      <c r="S1901" t="s">
        <v>1092</v>
      </c>
      <c r="T1901" s="6"/>
      <c r="U1901" s="6"/>
      <c r="V1901" s="2"/>
      <c r="W1901" t="str">
        <f t="shared" si="30"/>
        <v>SA_New_</v>
      </c>
      <c r="X1901" s="2" t="s">
        <v>1615</v>
      </c>
    </row>
    <row r="1902" spans="1:24" hidden="1" x14ac:dyDescent="0.35">
      <c r="B1902" t="s">
        <v>1092</v>
      </c>
      <c r="C1902" s="1">
        <v>45499</v>
      </c>
      <c r="D1902" t="s">
        <v>1586</v>
      </c>
      <c r="S1902" t="s">
        <v>1092</v>
      </c>
      <c r="T1902" s="6"/>
      <c r="U1902" s="6"/>
      <c r="V1902" s="2"/>
      <c r="W1902" t="str">
        <f t="shared" si="30"/>
        <v>SA_New_</v>
      </c>
      <c r="X1902" s="2" t="s">
        <v>1615</v>
      </c>
    </row>
    <row r="1903" spans="1:24" hidden="1" x14ac:dyDescent="0.35">
      <c r="B1903" t="s">
        <v>1092</v>
      </c>
      <c r="C1903" s="1">
        <v>45502</v>
      </c>
      <c r="D1903" t="s">
        <v>1587</v>
      </c>
      <c r="S1903" t="s">
        <v>1092</v>
      </c>
      <c r="T1903" s="6"/>
      <c r="U1903" s="6"/>
      <c r="V1903" s="2"/>
      <c r="W1903" t="str">
        <f t="shared" si="30"/>
        <v>SA_New_</v>
      </c>
      <c r="X1903" s="2" t="s">
        <v>1615</v>
      </c>
    </row>
    <row r="1904" spans="1:24" hidden="1" x14ac:dyDescent="0.35">
      <c r="B1904" t="s">
        <v>1092</v>
      </c>
      <c r="C1904" s="1">
        <v>45512</v>
      </c>
      <c r="D1904" t="s">
        <v>1588</v>
      </c>
      <c r="S1904" t="s">
        <v>1092</v>
      </c>
      <c r="T1904" s="6"/>
      <c r="U1904" s="6"/>
      <c r="V1904" s="2"/>
      <c r="W1904" t="str">
        <f t="shared" si="30"/>
        <v>SA_New_</v>
      </c>
      <c r="X1904" s="2" t="s">
        <v>1615</v>
      </c>
    </row>
    <row r="1905" spans="1:24" hidden="1" x14ac:dyDescent="0.35">
      <c r="B1905" t="s">
        <v>1092</v>
      </c>
      <c r="C1905" s="1">
        <v>45481</v>
      </c>
      <c r="D1905" t="s">
        <v>1589</v>
      </c>
      <c r="S1905" t="s">
        <v>1092</v>
      </c>
      <c r="T1905" s="6"/>
      <c r="U1905" s="6"/>
      <c r="V1905" s="2"/>
      <c r="W1905" t="str">
        <f t="shared" si="30"/>
        <v>SA_New_</v>
      </c>
      <c r="X1905" s="2" t="s">
        <v>1615</v>
      </c>
    </row>
    <row r="1906" spans="1:24" hidden="1" x14ac:dyDescent="0.35">
      <c r="B1906" t="s">
        <v>1092</v>
      </c>
      <c r="C1906" s="1">
        <v>45481</v>
      </c>
      <c r="D1906" t="s">
        <v>1590</v>
      </c>
      <c r="S1906" t="s">
        <v>1092</v>
      </c>
      <c r="T1906" s="6"/>
      <c r="U1906" s="6"/>
      <c r="V1906" s="2"/>
      <c r="W1906" t="str">
        <f t="shared" si="30"/>
        <v>SA_New_</v>
      </c>
      <c r="X1906" s="2" t="s">
        <v>1615</v>
      </c>
    </row>
    <row r="1907" spans="1:24" hidden="1" x14ac:dyDescent="0.35">
      <c r="B1907" t="s">
        <v>1092</v>
      </c>
      <c r="C1907" s="1">
        <v>45512</v>
      </c>
      <c r="D1907" t="s">
        <v>1591</v>
      </c>
      <c r="S1907" t="s">
        <v>1092</v>
      </c>
      <c r="T1907" s="6"/>
      <c r="U1907" s="6"/>
      <c r="V1907" s="2"/>
      <c r="W1907" t="str">
        <f t="shared" si="30"/>
        <v>SA_New_</v>
      </c>
      <c r="X1907" s="2" t="s">
        <v>1615</v>
      </c>
    </row>
    <row r="1908" spans="1:24" hidden="1" x14ac:dyDescent="0.35">
      <c r="B1908" t="s">
        <v>1092</v>
      </c>
      <c r="C1908" s="1">
        <v>45516</v>
      </c>
      <c r="D1908" t="s">
        <v>1592</v>
      </c>
      <c r="S1908" t="s">
        <v>1092</v>
      </c>
      <c r="T1908" s="6"/>
      <c r="U1908" s="6"/>
      <c r="V1908" s="2"/>
      <c r="W1908" t="str">
        <f t="shared" si="30"/>
        <v>SA_New_</v>
      </c>
      <c r="X1908" s="2" t="s">
        <v>1615</v>
      </c>
    </row>
    <row r="1909" spans="1:24" hidden="1" x14ac:dyDescent="0.35">
      <c r="B1909" t="s">
        <v>1092</v>
      </c>
      <c r="C1909" s="1">
        <v>45519</v>
      </c>
      <c r="D1909" t="s">
        <v>1593</v>
      </c>
      <c r="S1909" t="s">
        <v>1092</v>
      </c>
      <c r="T1909" s="6"/>
      <c r="U1909" s="6"/>
      <c r="V1909" s="2"/>
      <c r="W1909" t="str">
        <f t="shared" si="30"/>
        <v>SA_New_</v>
      </c>
      <c r="X1909" s="2" t="s">
        <v>1615</v>
      </c>
    </row>
    <row r="1910" spans="1:24" hidden="1" x14ac:dyDescent="0.35">
      <c r="B1910" t="s">
        <v>1092</v>
      </c>
      <c r="C1910" s="1">
        <v>45523</v>
      </c>
      <c r="D1910" t="s">
        <v>1594</v>
      </c>
      <c r="S1910" t="s">
        <v>1092</v>
      </c>
      <c r="T1910" s="6"/>
      <c r="U1910" s="6"/>
      <c r="V1910" s="2"/>
      <c r="W1910" t="str">
        <f t="shared" si="30"/>
        <v>SA_New_</v>
      </c>
      <c r="X1910" s="2" t="s">
        <v>1615</v>
      </c>
    </row>
    <row r="1911" spans="1:24" hidden="1" x14ac:dyDescent="0.35">
      <c r="B1911" t="s">
        <v>1092</v>
      </c>
      <c r="C1911" s="1">
        <v>45524</v>
      </c>
      <c r="D1911" t="s">
        <v>1595</v>
      </c>
      <c r="S1911" t="s">
        <v>1092</v>
      </c>
      <c r="T1911" s="6"/>
      <c r="U1911" s="6"/>
      <c r="V1911" s="2"/>
      <c r="W1911" t="str">
        <f t="shared" si="30"/>
        <v>SA_New_</v>
      </c>
      <c r="X1911" s="2" t="s">
        <v>1615</v>
      </c>
    </row>
    <row r="1912" spans="1:24" hidden="1" x14ac:dyDescent="0.35">
      <c r="B1912" t="s">
        <v>1092</v>
      </c>
      <c r="C1912" s="1">
        <v>45524</v>
      </c>
      <c r="D1912" t="s">
        <v>1596</v>
      </c>
      <c r="S1912" t="s">
        <v>1092</v>
      </c>
      <c r="T1912" s="6"/>
      <c r="U1912" s="6"/>
      <c r="V1912" s="2"/>
      <c r="W1912" t="str">
        <f t="shared" si="30"/>
        <v>SA_New_</v>
      </c>
      <c r="X1912" s="2" t="s">
        <v>1615</v>
      </c>
    </row>
    <row r="1913" spans="1:24" hidden="1" x14ac:dyDescent="0.35">
      <c r="B1913" t="s">
        <v>1092</v>
      </c>
      <c r="C1913" s="1">
        <v>45524</v>
      </c>
      <c r="D1913" t="s">
        <v>1597</v>
      </c>
      <c r="S1913" t="s">
        <v>1092</v>
      </c>
      <c r="T1913" s="6"/>
      <c r="U1913" s="6"/>
      <c r="V1913" s="2"/>
      <c r="W1913" t="str">
        <f t="shared" si="30"/>
        <v>SA_New_</v>
      </c>
      <c r="X1913" s="2" t="s">
        <v>1615</v>
      </c>
    </row>
    <row r="1914" spans="1:24" hidden="1" x14ac:dyDescent="0.35">
      <c r="A1914">
        <v>58</v>
      </c>
      <c r="B1914" t="s">
        <v>1092</v>
      </c>
      <c r="C1914" s="1">
        <v>45425</v>
      </c>
      <c r="D1914" t="s">
        <v>2104</v>
      </c>
      <c r="F1914" t="s">
        <v>1985</v>
      </c>
      <c r="G1914" t="s">
        <v>1606</v>
      </c>
      <c r="H1914" t="s">
        <v>2105</v>
      </c>
      <c r="I1914" t="s">
        <v>1993</v>
      </c>
      <c r="S1914" t="s">
        <v>1092</v>
      </c>
      <c r="T1914" s="5" t="s">
        <v>947</v>
      </c>
      <c r="U1914" s="5" t="s">
        <v>950</v>
      </c>
      <c r="V1914" t="s">
        <v>956</v>
      </c>
      <c r="W1914" t="str">
        <f t="shared" si="30"/>
        <v>SA_New_20245</v>
      </c>
      <c r="X1914" s="2" t="s">
        <v>1616</v>
      </c>
    </row>
    <row r="1915" spans="1:24" hidden="1" x14ac:dyDescent="0.35">
      <c r="A1915">
        <v>59</v>
      </c>
      <c r="B1915" t="s">
        <v>1092</v>
      </c>
      <c r="C1915" s="1">
        <v>45425</v>
      </c>
      <c r="D1915" t="s">
        <v>2106</v>
      </c>
      <c r="F1915" t="s">
        <v>2079</v>
      </c>
      <c r="G1915" t="s">
        <v>2019</v>
      </c>
      <c r="H1915" t="s">
        <v>2107</v>
      </c>
      <c r="I1915" t="s">
        <v>1993</v>
      </c>
      <c r="S1915" t="s">
        <v>1092</v>
      </c>
      <c r="T1915" s="5" t="s">
        <v>947</v>
      </c>
      <c r="U1915" s="5" t="s">
        <v>950</v>
      </c>
      <c r="V1915" t="s">
        <v>956</v>
      </c>
      <c r="W1915" t="str">
        <f t="shared" si="30"/>
        <v>SA_New_20245</v>
      </c>
      <c r="X1915" s="2" t="s">
        <v>1616</v>
      </c>
    </row>
    <row r="1916" spans="1:24" hidden="1" x14ac:dyDescent="0.35">
      <c r="A1916">
        <v>60</v>
      </c>
      <c r="B1916" t="s">
        <v>1092</v>
      </c>
      <c r="C1916" s="1">
        <v>45425</v>
      </c>
      <c r="D1916" t="s">
        <v>2108</v>
      </c>
      <c r="F1916" t="s">
        <v>1981</v>
      </c>
      <c r="G1916" t="s">
        <v>1606</v>
      </c>
      <c r="H1916" t="s">
        <v>2109</v>
      </c>
      <c r="I1916" t="s">
        <v>1993</v>
      </c>
      <c r="S1916" t="s">
        <v>1092</v>
      </c>
      <c r="T1916" s="5" t="s">
        <v>947</v>
      </c>
      <c r="U1916" s="5" t="s">
        <v>950</v>
      </c>
      <c r="V1916" t="s">
        <v>956</v>
      </c>
      <c r="W1916" t="str">
        <f t="shared" si="30"/>
        <v>SA_New_20245</v>
      </c>
      <c r="X1916" s="2" t="s">
        <v>1616</v>
      </c>
    </row>
    <row r="1917" spans="1:24" hidden="1" x14ac:dyDescent="0.35">
      <c r="A1917">
        <v>61</v>
      </c>
      <c r="B1917" t="s">
        <v>1092</v>
      </c>
      <c r="C1917" s="1">
        <v>45425</v>
      </c>
      <c r="D1917" t="s">
        <v>2110</v>
      </c>
      <c r="F1917" t="s">
        <v>1981</v>
      </c>
      <c r="G1917" t="s">
        <v>1606</v>
      </c>
      <c r="H1917" t="s">
        <v>2111</v>
      </c>
      <c r="I1917" t="s">
        <v>1976</v>
      </c>
      <c r="S1917" t="s">
        <v>1092</v>
      </c>
      <c r="T1917" s="5" t="s">
        <v>947</v>
      </c>
      <c r="U1917" s="5" t="s">
        <v>950</v>
      </c>
      <c r="V1917" t="s">
        <v>956</v>
      </c>
      <c r="W1917" t="str">
        <f t="shared" si="30"/>
        <v>SA_New_20245</v>
      </c>
      <c r="X1917" s="2" t="s">
        <v>1616</v>
      </c>
    </row>
    <row r="1918" spans="1:24" hidden="1" x14ac:dyDescent="0.35">
      <c r="A1918">
        <v>62</v>
      </c>
      <c r="B1918" t="s">
        <v>1092</v>
      </c>
      <c r="C1918" s="1">
        <v>45426</v>
      </c>
      <c r="D1918" t="s">
        <v>2112</v>
      </c>
      <c r="F1918" t="s">
        <v>1991</v>
      </c>
      <c r="G1918" t="s">
        <v>1606</v>
      </c>
      <c r="H1918" t="s">
        <v>2113</v>
      </c>
      <c r="I1918" t="s">
        <v>1993</v>
      </c>
      <c r="S1918" t="s">
        <v>1092</v>
      </c>
      <c r="T1918" s="5" t="s">
        <v>947</v>
      </c>
      <c r="U1918" s="5" t="s">
        <v>951</v>
      </c>
      <c r="V1918" t="s">
        <v>956</v>
      </c>
      <c r="W1918" t="str">
        <f t="shared" si="30"/>
        <v>SA_New_20245</v>
      </c>
      <c r="X1918" s="2" t="s">
        <v>1616</v>
      </c>
    </row>
    <row r="1919" spans="1:24" hidden="1" x14ac:dyDescent="0.35">
      <c r="A1919">
        <v>63</v>
      </c>
      <c r="B1919" t="s">
        <v>1092</v>
      </c>
      <c r="C1919" s="1">
        <v>45426</v>
      </c>
      <c r="D1919" t="s">
        <v>2114</v>
      </c>
      <c r="F1919" t="s">
        <v>1978</v>
      </c>
      <c r="G1919" t="s">
        <v>1606</v>
      </c>
      <c r="H1919" t="s">
        <v>2115</v>
      </c>
      <c r="I1919" t="s">
        <v>1976</v>
      </c>
      <c r="S1919" t="s">
        <v>1092</v>
      </c>
      <c r="T1919" s="5" t="s">
        <v>947</v>
      </c>
      <c r="U1919" s="5" t="s">
        <v>951</v>
      </c>
      <c r="V1919" t="s">
        <v>956</v>
      </c>
      <c r="W1919" t="str">
        <f t="shared" si="30"/>
        <v>SA_New_20245</v>
      </c>
      <c r="X1919" s="2" t="s">
        <v>1616</v>
      </c>
    </row>
    <row r="1920" spans="1:24" hidden="1" x14ac:dyDescent="0.35">
      <c r="A1920">
        <v>64</v>
      </c>
      <c r="B1920" t="s">
        <v>1092</v>
      </c>
      <c r="C1920" s="1">
        <v>45426</v>
      </c>
      <c r="D1920" t="s">
        <v>2116</v>
      </c>
      <c r="F1920" t="s">
        <v>2079</v>
      </c>
      <c r="G1920" t="s">
        <v>2016</v>
      </c>
      <c r="H1920" t="s">
        <v>2117</v>
      </c>
      <c r="I1920" t="s">
        <v>1993</v>
      </c>
      <c r="S1920" t="s">
        <v>1092</v>
      </c>
      <c r="T1920" s="5" t="s">
        <v>947</v>
      </c>
      <c r="U1920" s="5" t="s">
        <v>951</v>
      </c>
      <c r="V1920" t="s">
        <v>956</v>
      </c>
      <c r="W1920" t="str">
        <f t="shared" si="30"/>
        <v>SA_New_20245</v>
      </c>
      <c r="X1920" s="2" t="s">
        <v>1616</v>
      </c>
    </row>
    <row r="1921" spans="1:24" hidden="1" x14ac:dyDescent="0.35">
      <c r="A1921">
        <v>65</v>
      </c>
      <c r="B1921" t="s">
        <v>1092</v>
      </c>
      <c r="C1921" s="1">
        <v>45433</v>
      </c>
      <c r="D1921" t="s">
        <v>2118</v>
      </c>
      <c r="F1921" t="s">
        <v>1978</v>
      </c>
      <c r="G1921" t="s">
        <v>1606</v>
      </c>
      <c r="H1921" t="s">
        <v>2119</v>
      </c>
      <c r="I1921" t="s">
        <v>1993</v>
      </c>
      <c r="S1921" t="s">
        <v>1092</v>
      </c>
      <c r="T1921" s="5" t="s">
        <v>947</v>
      </c>
      <c r="U1921" s="5" t="s">
        <v>944</v>
      </c>
      <c r="V1921" t="s">
        <v>956</v>
      </c>
      <c r="W1921" t="str">
        <f t="shared" si="30"/>
        <v>SA_New_20245</v>
      </c>
      <c r="X1921" s="2" t="s">
        <v>1616</v>
      </c>
    </row>
    <row r="1922" spans="1:24" hidden="1" x14ac:dyDescent="0.35">
      <c r="A1922">
        <v>66</v>
      </c>
      <c r="B1922" t="s">
        <v>1092</v>
      </c>
      <c r="C1922" s="1">
        <v>45433</v>
      </c>
      <c r="D1922" t="s">
        <v>2120</v>
      </c>
      <c r="F1922" t="s">
        <v>2079</v>
      </c>
      <c r="G1922" t="s">
        <v>2019</v>
      </c>
      <c r="H1922" t="s">
        <v>2121</v>
      </c>
      <c r="I1922" t="s">
        <v>1993</v>
      </c>
      <c r="S1922" t="s">
        <v>1092</v>
      </c>
      <c r="T1922" s="5" t="s">
        <v>947</v>
      </c>
      <c r="U1922" s="5" t="s">
        <v>944</v>
      </c>
      <c r="V1922" t="s">
        <v>956</v>
      </c>
      <c r="W1922" t="str">
        <f t="shared" ref="W1922:W1985" si="31">CONCATENATE(B1922,"_",V1922,T1922)</f>
        <v>SA_New_20245</v>
      </c>
      <c r="X1922" s="2" t="s">
        <v>1616</v>
      </c>
    </row>
    <row r="1923" spans="1:24" hidden="1" x14ac:dyDescent="0.35">
      <c r="A1923">
        <v>67</v>
      </c>
      <c r="B1923" t="s">
        <v>1092</v>
      </c>
      <c r="C1923" s="1">
        <v>45433</v>
      </c>
      <c r="D1923" t="s">
        <v>2122</v>
      </c>
      <c r="F1923" t="s">
        <v>1991</v>
      </c>
      <c r="G1923" t="s">
        <v>1606</v>
      </c>
      <c r="H1923" t="s">
        <v>2123</v>
      </c>
      <c r="I1923" t="s">
        <v>1983</v>
      </c>
      <c r="S1923" t="s">
        <v>1092</v>
      </c>
      <c r="T1923" s="5" t="s">
        <v>947</v>
      </c>
      <c r="U1923" s="5" t="s">
        <v>944</v>
      </c>
      <c r="V1923" t="s">
        <v>956</v>
      </c>
      <c r="W1923" t="str">
        <f t="shared" si="31"/>
        <v>SA_New_20245</v>
      </c>
      <c r="X1923" s="2" t="s">
        <v>1616</v>
      </c>
    </row>
    <row r="1924" spans="1:24" hidden="1" x14ac:dyDescent="0.35">
      <c r="A1924">
        <v>68</v>
      </c>
      <c r="B1924" t="s">
        <v>1092</v>
      </c>
      <c r="C1924" s="1">
        <v>45433</v>
      </c>
      <c r="D1924" t="s">
        <v>2124</v>
      </c>
      <c r="F1924" t="s">
        <v>1991</v>
      </c>
      <c r="G1924" t="s">
        <v>1606</v>
      </c>
      <c r="H1924" t="s">
        <v>2125</v>
      </c>
      <c r="I1924" t="s">
        <v>1993</v>
      </c>
      <c r="S1924" t="s">
        <v>1092</v>
      </c>
      <c r="T1924" s="5" t="s">
        <v>947</v>
      </c>
      <c r="U1924" s="5" t="s">
        <v>944</v>
      </c>
      <c r="V1924" t="s">
        <v>956</v>
      </c>
      <c r="W1924" t="str">
        <f t="shared" si="31"/>
        <v>SA_New_20245</v>
      </c>
      <c r="X1924" s="2" t="s">
        <v>1616</v>
      </c>
    </row>
    <row r="1925" spans="1:24" hidden="1" x14ac:dyDescent="0.35">
      <c r="A1925">
        <v>69</v>
      </c>
      <c r="B1925" t="s">
        <v>1092</v>
      </c>
      <c r="C1925" s="1">
        <v>45434</v>
      </c>
      <c r="D1925" t="s">
        <v>2126</v>
      </c>
      <c r="F1925" t="s">
        <v>1991</v>
      </c>
      <c r="G1925" t="s">
        <v>1606</v>
      </c>
      <c r="H1925" t="s">
        <v>2127</v>
      </c>
      <c r="I1925" t="s">
        <v>1993</v>
      </c>
      <c r="S1925" t="s">
        <v>1092</v>
      </c>
      <c r="T1925" s="5" t="s">
        <v>947</v>
      </c>
      <c r="U1925" s="5" t="s">
        <v>933</v>
      </c>
      <c r="V1925" t="s">
        <v>956</v>
      </c>
      <c r="W1925" t="str">
        <f t="shared" si="31"/>
        <v>SA_New_20245</v>
      </c>
      <c r="X1925" s="2" t="s">
        <v>1616</v>
      </c>
    </row>
    <row r="1926" spans="1:24" hidden="1" x14ac:dyDescent="0.35">
      <c r="A1926">
        <v>70</v>
      </c>
      <c r="B1926" t="s">
        <v>1092</v>
      </c>
      <c r="C1926" s="1">
        <v>45434</v>
      </c>
      <c r="D1926" t="s">
        <v>2128</v>
      </c>
      <c r="F1926" t="s">
        <v>1985</v>
      </c>
      <c r="G1926" t="s">
        <v>1606</v>
      </c>
      <c r="H1926" t="s">
        <v>2129</v>
      </c>
      <c r="I1926" t="s">
        <v>1993</v>
      </c>
      <c r="S1926" t="s">
        <v>1092</v>
      </c>
      <c r="T1926" s="5" t="s">
        <v>947</v>
      </c>
      <c r="U1926" s="5" t="s">
        <v>933</v>
      </c>
      <c r="V1926" t="s">
        <v>956</v>
      </c>
      <c r="W1926" t="str">
        <f t="shared" si="31"/>
        <v>SA_New_20245</v>
      </c>
      <c r="X1926" s="2" t="s">
        <v>1616</v>
      </c>
    </row>
    <row r="1927" spans="1:24" hidden="1" x14ac:dyDescent="0.35">
      <c r="A1927">
        <v>71</v>
      </c>
      <c r="B1927" t="s">
        <v>1092</v>
      </c>
      <c r="C1927" s="1">
        <v>45439</v>
      </c>
      <c r="D1927" t="s">
        <v>2130</v>
      </c>
      <c r="F1927" t="s">
        <v>1991</v>
      </c>
      <c r="G1927" t="s">
        <v>1606</v>
      </c>
      <c r="H1927" t="s">
        <v>2131</v>
      </c>
      <c r="I1927" t="s">
        <v>1993</v>
      </c>
      <c r="S1927" t="s">
        <v>1092</v>
      </c>
      <c r="T1927" s="5" t="s">
        <v>947</v>
      </c>
      <c r="U1927" s="5" t="s">
        <v>925</v>
      </c>
      <c r="V1927" t="s">
        <v>956</v>
      </c>
      <c r="W1927" t="str">
        <f t="shared" si="31"/>
        <v>SA_New_20245</v>
      </c>
      <c r="X1927" s="2" t="s">
        <v>1616</v>
      </c>
    </row>
    <row r="1928" spans="1:24" hidden="1" x14ac:dyDescent="0.35">
      <c r="A1928">
        <v>72</v>
      </c>
      <c r="B1928" t="s">
        <v>1092</v>
      </c>
      <c r="C1928" s="1">
        <v>45439</v>
      </c>
      <c r="D1928" t="s">
        <v>2132</v>
      </c>
      <c r="F1928" t="s">
        <v>1981</v>
      </c>
      <c r="G1928" t="s">
        <v>20</v>
      </c>
      <c r="H1928" t="s">
        <v>2133</v>
      </c>
      <c r="I1928" t="s">
        <v>1993</v>
      </c>
      <c r="S1928" t="s">
        <v>1092</v>
      </c>
      <c r="T1928" s="5" t="s">
        <v>947</v>
      </c>
      <c r="U1928" s="5" t="s">
        <v>925</v>
      </c>
      <c r="V1928" t="s">
        <v>956</v>
      </c>
      <c r="W1928" t="str">
        <f t="shared" si="31"/>
        <v>SA_New_20245</v>
      </c>
      <c r="X1928" s="2" t="s">
        <v>1616</v>
      </c>
    </row>
    <row r="1929" spans="1:24" hidden="1" x14ac:dyDescent="0.35">
      <c r="A1929">
        <v>73</v>
      </c>
      <c r="B1929" t="s">
        <v>1092</v>
      </c>
      <c r="C1929" s="1">
        <v>45439</v>
      </c>
      <c r="D1929" t="s">
        <v>2134</v>
      </c>
      <c r="F1929" t="s">
        <v>1974</v>
      </c>
      <c r="G1929" t="s">
        <v>1599</v>
      </c>
      <c r="H1929" t="s">
        <v>2135</v>
      </c>
      <c r="I1929" t="s">
        <v>1983</v>
      </c>
      <c r="S1929" t="s">
        <v>1092</v>
      </c>
      <c r="T1929" s="5" t="s">
        <v>947</v>
      </c>
      <c r="U1929" s="5" t="s">
        <v>925</v>
      </c>
      <c r="V1929" t="s">
        <v>956</v>
      </c>
      <c r="W1929" t="str">
        <f t="shared" si="31"/>
        <v>SA_New_20245</v>
      </c>
      <c r="X1929" s="2" t="s">
        <v>1616</v>
      </c>
    </row>
    <row r="1930" spans="1:24" hidden="1" x14ac:dyDescent="0.35">
      <c r="A1930">
        <v>74</v>
      </c>
      <c r="B1930" t="s">
        <v>1092</v>
      </c>
      <c r="C1930" s="1">
        <v>45439</v>
      </c>
      <c r="D1930" t="s">
        <v>2136</v>
      </c>
      <c r="F1930" t="s">
        <v>1991</v>
      </c>
      <c r="G1930" t="s">
        <v>2019</v>
      </c>
      <c r="H1930" t="s">
        <v>2137</v>
      </c>
      <c r="I1930" t="s">
        <v>1993</v>
      </c>
      <c r="S1930" t="s">
        <v>1092</v>
      </c>
      <c r="T1930" s="5" t="s">
        <v>947</v>
      </c>
      <c r="U1930" s="5" t="s">
        <v>925</v>
      </c>
      <c r="V1930" t="s">
        <v>956</v>
      </c>
      <c r="W1930" t="str">
        <f t="shared" si="31"/>
        <v>SA_New_20245</v>
      </c>
      <c r="X1930" s="2" t="s">
        <v>1616</v>
      </c>
    </row>
    <row r="1931" spans="1:24" hidden="1" x14ac:dyDescent="0.35">
      <c r="A1931">
        <v>75</v>
      </c>
      <c r="B1931" t="s">
        <v>1092</v>
      </c>
      <c r="C1931" s="1">
        <v>45439</v>
      </c>
      <c r="D1931" t="s">
        <v>2138</v>
      </c>
      <c r="F1931" t="s">
        <v>1991</v>
      </c>
      <c r="G1931" t="s">
        <v>1735</v>
      </c>
      <c r="H1931" t="s">
        <v>2139</v>
      </c>
      <c r="I1931" t="s">
        <v>1993</v>
      </c>
      <c r="S1931" t="s">
        <v>1092</v>
      </c>
      <c r="T1931" s="5" t="s">
        <v>947</v>
      </c>
      <c r="U1931" s="5" t="s">
        <v>925</v>
      </c>
      <c r="V1931" t="s">
        <v>956</v>
      </c>
      <c r="W1931" t="str">
        <f t="shared" si="31"/>
        <v>SA_New_20245</v>
      </c>
      <c r="X1931" s="2" t="s">
        <v>1616</v>
      </c>
    </row>
    <row r="1932" spans="1:24" hidden="1" x14ac:dyDescent="0.35">
      <c r="A1932">
        <v>76</v>
      </c>
      <c r="B1932" t="s">
        <v>1092</v>
      </c>
      <c r="C1932" s="1">
        <v>45446</v>
      </c>
      <c r="D1932" t="s">
        <v>2140</v>
      </c>
      <c r="F1932" t="s">
        <v>1978</v>
      </c>
      <c r="G1932" t="s">
        <v>1911</v>
      </c>
      <c r="H1932" t="s">
        <v>2141</v>
      </c>
      <c r="I1932" t="s">
        <v>1993</v>
      </c>
      <c r="S1932" t="s">
        <v>1092</v>
      </c>
      <c r="T1932" s="5" t="s">
        <v>927</v>
      </c>
      <c r="U1932" s="5" t="s">
        <v>941</v>
      </c>
      <c r="V1932" t="s">
        <v>956</v>
      </c>
      <c r="W1932" t="str">
        <f t="shared" si="31"/>
        <v>SA_New_20246</v>
      </c>
      <c r="X1932" s="2" t="s">
        <v>1616</v>
      </c>
    </row>
    <row r="1933" spans="1:24" hidden="1" x14ac:dyDescent="0.35">
      <c r="A1933">
        <v>77</v>
      </c>
      <c r="B1933" t="s">
        <v>1092</v>
      </c>
      <c r="C1933" s="1">
        <v>45447</v>
      </c>
      <c r="D1933" t="s">
        <v>2142</v>
      </c>
      <c r="F1933" t="s">
        <v>2079</v>
      </c>
      <c r="G1933" t="s">
        <v>1606</v>
      </c>
      <c r="H1933" t="s">
        <v>2143</v>
      </c>
      <c r="I1933" t="s">
        <v>1993</v>
      </c>
      <c r="S1933" t="s">
        <v>1092</v>
      </c>
      <c r="T1933" s="5" t="s">
        <v>927</v>
      </c>
      <c r="U1933" s="5" t="s">
        <v>946</v>
      </c>
      <c r="V1933" t="s">
        <v>956</v>
      </c>
      <c r="W1933" t="str">
        <f t="shared" si="31"/>
        <v>SA_New_20246</v>
      </c>
      <c r="X1933" s="2" t="s">
        <v>1616</v>
      </c>
    </row>
    <row r="1934" spans="1:24" hidden="1" x14ac:dyDescent="0.35">
      <c r="A1934">
        <v>78</v>
      </c>
      <c r="B1934" t="s">
        <v>1092</v>
      </c>
      <c r="C1934" s="1">
        <v>45447</v>
      </c>
      <c r="D1934" t="s">
        <v>2126</v>
      </c>
      <c r="F1934" t="s">
        <v>1981</v>
      </c>
      <c r="G1934" t="s">
        <v>1606</v>
      </c>
      <c r="H1934" t="s">
        <v>2144</v>
      </c>
      <c r="I1934" t="s">
        <v>1993</v>
      </c>
      <c r="S1934" t="s">
        <v>1092</v>
      </c>
      <c r="T1934" s="5" t="s">
        <v>927</v>
      </c>
      <c r="U1934" s="5" t="s">
        <v>946</v>
      </c>
      <c r="V1934" t="s">
        <v>956</v>
      </c>
      <c r="W1934" t="str">
        <f t="shared" si="31"/>
        <v>SA_New_20246</v>
      </c>
      <c r="X1934" s="2" t="s">
        <v>1616</v>
      </c>
    </row>
    <row r="1935" spans="1:24" hidden="1" x14ac:dyDescent="0.35">
      <c r="A1935">
        <v>79</v>
      </c>
      <c r="B1935" t="s">
        <v>1092</v>
      </c>
      <c r="C1935" s="1">
        <v>45447</v>
      </c>
      <c r="D1935" t="s">
        <v>2145</v>
      </c>
      <c r="F1935" t="s">
        <v>2079</v>
      </c>
      <c r="G1935" t="s">
        <v>1606</v>
      </c>
      <c r="H1935" t="s">
        <v>2146</v>
      </c>
      <c r="I1935" t="s">
        <v>1983</v>
      </c>
      <c r="S1935" t="s">
        <v>1092</v>
      </c>
      <c r="T1935" s="5" t="s">
        <v>927</v>
      </c>
      <c r="U1935" s="5" t="s">
        <v>946</v>
      </c>
      <c r="V1935" t="s">
        <v>956</v>
      </c>
      <c r="W1935" t="str">
        <f t="shared" si="31"/>
        <v>SA_New_20246</v>
      </c>
      <c r="X1935" s="2" t="s">
        <v>1616</v>
      </c>
    </row>
    <row r="1936" spans="1:24" hidden="1" x14ac:dyDescent="0.35">
      <c r="A1936">
        <v>80</v>
      </c>
      <c r="B1936" t="s">
        <v>1092</v>
      </c>
      <c r="C1936" s="1">
        <v>45449</v>
      </c>
      <c r="D1936" t="s">
        <v>2147</v>
      </c>
      <c r="F1936" t="s">
        <v>2079</v>
      </c>
      <c r="G1936" t="s">
        <v>2148</v>
      </c>
      <c r="H1936" t="s">
        <v>2149</v>
      </c>
      <c r="I1936" t="s">
        <v>1993</v>
      </c>
      <c r="S1936" t="s">
        <v>1092</v>
      </c>
      <c r="T1936" s="5" t="s">
        <v>927</v>
      </c>
      <c r="U1936" s="5" t="s">
        <v>927</v>
      </c>
      <c r="V1936" t="s">
        <v>956</v>
      </c>
      <c r="W1936" t="str">
        <f t="shared" si="31"/>
        <v>SA_New_20246</v>
      </c>
      <c r="X1936" s="2" t="s">
        <v>1616</v>
      </c>
    </row>
    <row r="1937" spans="1:24" hidden="1" x14ac:dyDescent="0.35">
      <c r="A1937">
        <v>81</v>
      </c>
      <c r="B1937" t="s">
        <v>1092</v>
      </c>
      <c r="C1937" s="1">
        <v>45449</v>
      </c>
      <c r="D1937" t="s">
        <v>2150</v>
      </c>
      <c r="F1937" t="s">
        <v>1981</v>
      </c>
      <c r="G1937" t="s">
        <v>1606</v>
      </c>
      <c r="H1937" t="s">
        <v>2151</v>
      </c>
      <c r="I1937" t="s">
        <v>1993</v>
      </c>
      <c r="S1937" t="s">
        <v>1092</v>
      </c>
      <c r="T1937" s="5" t="s">
        <v>927</v>
      </c>
      <c r="U1937" s="5" t="s">
        <v>927</v>
      </c>
      <c r="V1937" t="s">
        <v>956</v>
      </c>
      <c r="W1937" t="str">
        <f t="shared" si="31"/>
        <v>SA_New_20246</v>
      </c>
      <c r="X1937" s="2" t="s">
        <v>1616</v>
      </c>
    </row>
    <row r="1938" spans="1:24" hidden="1" x14ac:dyDescent="0.35">
      <c r="A1938">
        <v>82</v>
      </c>
      <c r="B1938" t="s">
        <v>1092</v>
      </c>
      <c r="C1938" s="1">
        <v>45453</v>
      </c>
      <c r="D1938" t="s">
        <v>2152</v>
      </c>
      <c r="F1938" t="s">
        <v>1974</v>
      </c>
      <c r="G1938" t="s">
        <v>1603</v>
      </c>
      <c r="H1938" t="s">
        <v>2153</v>
      </c>
      <c r="I1938" t="s">
        <v>1989</v>
      </c>
      <c r="S1938" t="s">
        <v>1092</v>
      </c>
      <c r="T1938" s="5" t="s">
        <v>927</v>
      </c>
      <c r="U1938" s="5" t="s">
        <v>948</v>
      </c>
      <c r="V1938" t="s">
        <v>956</v>
      </c>
      <c r="W1938" t="str">
        <f t="shared" si="31"/>
        <v>SA_New_20246</v>
      </c>
      <c r="X1938" s="2" t="s">
        <v>1616</v>
      </c>
    </row>
    <row r="1939" spans="1:24" hidden="1" x14ac:dyDescent="0.35">
      <c r="A1939">
        <v>83</v>
      </c>
      <c r="B1939" t="s">
        <v>1092</v>
      </c>
      <c r="C1939" s="1">
        <v>45460</v>
      </c>
      <c r="D1939" t="s">
        <v>2154</v>
      </c>
      <c r="F1939" t="s">
        <v>1978</v>
      </c>
      <c r="G1939" t="s">
        <v>2013</v>
      </c>
      <c r="H1939" t="s">
        <v>2155</v>
      </c>
      <c r="I1939" t="s">
        <v>1976</v>
      </c>
      <c r="S1939" t="s">
        <v>1092</v>
      </c>
      <c r="T1939" s="5" t="s">
        <v>927</v>
      </c>
      <c r="U1939" s="5" t="s">
        <v>929</v>
      </c>
      <c r="V1939" t="s">
        <v>956</v>
      </c>
      <c r="W1939" t="str">
        <f t="shared" si="31"/>
        <v>SA_New_20246</v>
      </c>
      <c r="X1939" s="2" t="s">
        <v>1616</v>
      </c>
    </row>
    <row r="1940" spans="1:24" hidden="1" x14ac:dyDescent="0.35">
      <c r="A1940">
        <v>84</v>
      </c>
      <c r="B1940" t="s">
        <v>1092</v>
      </c>
      <c r="C1940" s="1">
        <v>45460</v>
      </c>
      <c r="D1940" t="s">
        <v>2156</v>
      </c>
      <c r="F1940" t="s">
        <v>1978</v>
      </c>
      <c r="G1940" t="s">
        <v>1606</v>
      </c>
      <c r="H1940" t="s">
        <v>2157</v>
      </c>
      <c r="I1940" t="s">
        <v>1976</v>
      </c>
      <c r="S1940" t="s">
        <v>1092</v>
      </c>
      <c r="T1940" s="5" t="s">
        <v>927</v>
      </c>
      <c r="U1940" s="5" t="s">
        <v>929</v>
      </c>
      <c r="V1940" t="s">
        <v>956</v>
      </c>
      <c r="W1940" t="str">
        <f t="shared" si="31"/>
        <v>SA_New_20246</v>
      </c>
      <c r="X1940" s="2" t="s">
        <v>1616</v>
      </c>
    </row>
    <row r="1941" spans="1:24" hidden="1" x14ac:dyDescent="0.35">
      <c r="A1941">
        <v>85</v>
      </c>
      <c r="B1941" t="s">
        <v>1092</v>
      </c>
      <c r="C1941" s="1">
        <v>45460</v>
      </c>
      <c r="D1941" t="s">
        <v>2158</v>
      </c>
      <c r="F1941" t="s">
        <v>2079</v>
      </c>
      <c r="G1941" t="s">
        <v>1673</v>
      </c>
      <c r="H1941" t="s">
        <v>2159</v>
      </c>
      <c r="I1941" t="s">
        <v>1993</v>
      </c>
      <c r="S1941" t="s">
        <v>1092</v>
      </c>
      <c r="T1941" s="5" t="s">
        <v>927</v>
      </c>
      <c r="U1941" s="5" t="s">
        <v>929</v>
      </c>
      <c r="V1941" t="s">
        <v>956</v>
      </c>
      <c r="W1941" t="str">
        <f t="shared" si="31"/>
        <v>SA_New_20246</v>
      </c>
      <c r="X1941" s="2" t="s">
        <v>1616</v>
      </c>
    </row>
    <row r="1942" spans="1:24" hidden="1" x14ac:dyDescent="0.35">
      <c r="A1942">
        <v>86</v>
      </c>
      <c r="B1942" t="s">
        <v>1092</v>
      </c>
      <c r="C1942" s="1">
        <v>45467</v>
      </c>
      <c r="D1942" t="s">
        <v>2160</v>
      </c>
      <c r="F1942" t="s">
        <v>2079</v>
      </c>
      <c r="G1942" t="s">
        <v>1603</v>
      </c>
      <c r="H1942" t="s">
        <v>2161</v>
      </c>
      <c r="I1942" t="s">
        <v>1983</v>
      </c>
      <c r="S1942" t="s">
        <v>1092</v>
      </c>
      <c r="T1942" s="5" t="s">
        <v>927</v>
      </c>
      <c r="U1942" s="5" t="s">
        <v>935</v>
      </c>
      <c r="V1942" t="s">
        <v>956</v>
      </c>
      <c r="W1942" t="str">
        <f t="shared" si="31"/>
        <v>SA_New_20246</v>
      </c>
      <c r="X1942" s="2" t="s">
        <v>1616</v>
      </c>
    </row>
    <row r="1943" spans="1:24" hidden="1" x14ac:dyDescent="0.35">
      <c r="A1943">
        <v>87</v>
      </c>
      <c r="B1943" t="s">
        <v>1092</v>
      </c>
      <c r="C1943" s="1">
        <v>45467</v>
      </c>
      <c r="D1943" t="s">
        <v>2162</v>
      </c>
      <c r="F1943" t="s">
        <v>1974</v>
      </c>
      <c r="G1943" t="s">
        <v>1606</v>
      </c>
      <c r="H1943" t="s">
        <v>2163</v>
      </c>
      <c r="I1943" t="s">
        <v>1989</v>
      </c>
      <c r="S1943" t="s">
        <v>1092</v>
      </c>
      <c r="T1943" s="5" t="s">
        <v>927</v>
      </c>
      <c r="U1943" s="5" t="s">
        <v>935</v>
      </c>
      <c r="V1943" t="s">
        <v>956</v>
      </c>
      <c r="W1943" t="str">
        <f t="shared" si="31"/>
        <v>SA_New_20246</v>
      </c>
      <c r="X1943" s="2" t="s">
        <v>1616</v>
      </c>
    </row>
    <row r="1944" spans="1:24" hidden="1" x14ac:dyDescent="0.35">
      <c r="A1944">
        <v>88</v>
      </c>
      <c r="B1944" t="s">
        <v>1092</v>
      </c>
      <c r="C1944" s="1">
        <v>45467</v>
      </c>
      <c r="D1944" t="s">
        <v>2164</v>
      </c>
      <c r="F1944" t="s">
        <v>1978</v>
      </c>
      <c r="G1944" t="s">
        <v>1911</v>
      </c>
      <c r="H1944" t="s">
        <v>2165</v>
      </c>
      <c r="I1944" t="s">
        <v>1989</v>
      </c>
      <c r="S1944" t="s">
        <v>1092</v>
      </c>
      <c r="T1944" s="5" t="s">
        <v>927</v>
      </c>
      <c r="U1944" s="5" t="s">
        <v>935</v>
      </c>
      <c r="V1944" t="s">
        <v>956</v>
      </c>
      <c r="W1944" t="str">
        <f t="shared" si="31"/>
        <v>SA_New_20246</v>
      </c>
      <c r="X1944" s="2" t="s">
        <v>1616</v>
      </c>
    </row>
    <row r="1945" spans="1:24" hidden="1" x14ac:dyDescent="0.35">
      <c r="A1945">
        <v>89</v>
      </c>
      <c r="B1945" t="s">
        <v>1092</v>
      </c>
      <c r="C1945" s="1">
        <v>45470</v>
      </c>
      <c r="D1945" t="s">
        <v>2166</v>
      </c>
      <c r="F1945" t="s">
        <v>1974</v>
      </c>
      <c r="G1945" t="s">
        <v>1911</v>
      </c>
      <c r="H1945" t="s">
        <v>2167</v>
      </c>
      <c r="I1945" t="s">
        <v>1989</v>
      </c>
      <c r="S1945" t="s">
        <v>1092</v>
      </c>
      <c r="T1945" s="5" t="s">
        <v>927</v>
      </c>
      <c r="U1945" s="5" t="s">
        <v>925</v>
      </c>
      <c r="V1945" t="s">
        <v>956</v>
      </c>
      <c r="W1945" t="str">
        <f t="shared" si="31"/>
        <v>SA_New_20246</v>
      </c>
      <c r="X1945" s="2" t="s">
        <v>1616</v>
      </c>
    </row>
    <row r="1946" spans="1:24" hidden="1" x14ac:dyDescent="0.35">
      <c r="A1946">
        <v>90</v>
      </c>
      <c r="B1946" t="s">
        <v>1092</v>
      </c>
      <c r="C1946" s="1">
        <v>45475</v>
      </c>
      <c r="D1946" t="s">
        <v>2168</v>
      </c>
      <c r="F1946" t="s">
        <v>1974</v>
      </c>
      <c r="G1946" t="s">
        <v>1606</v>
      </c>
      <c r="H1946" t="s">
        <v>2169</v>
      </c>
      <c r="I1946" t="s">
        <v>1989</v>
      </c>
      <c r="S1946" t="s">
        <v>1092</v>
      </c>
      <c r="T1946" s="5" t="s">
        <v>936</v>
      </c>
      <c r="U1946" s="5" t="s">
        <v>921</v>
      </c>
      <c r="V1946" t="s">
        <v>956</v>
      </c>
      <c r="W1946" t="str">
        <f t="shared" si="31"/>
        <v>SA_New_20247</v>
      </c>
      <c r="X1946" s="2" t="s">
        <v>1616</v>
      </c>
    </row>
    <row r="1947" spans="1:24" hidden="1" x14ac:dyDescent="0.35">
      <c r="A1947">
        <v>91</v>
      </c>
      <c r="B1947" t="s">
        <v>1092</v>
      </c>
      <c r="C1947" s="1">
        <v>45475</v>
      </c>
      <c r="D1947" t="s">
        <v>2170</v>
      </c>
      <c r="F1947" t="s">
        <v>2171</v>
      </c>
      <c r="G1947" t="s">
        <v>1599</v>
      </c>
      <c r="H1947" t="s">
        <v>2172</v>
      </c>
      <c r="I1947" t="s">
        <v>1983</v>
      </c>
      <c r="S1947" t="s">
        <v>1092</v>
      </c>
      <c r="T1947" s="5" t="s">
        <v>936</v>
      </c>
      <c r="U1947" s="5" t="s">
        <v>921</v>
      </c>
      <c r="V1947" t="s">
        <v>956</v>
      </c>
      <c r="W1947" t="str">
        <f t="shared" si="31"/>
        <v>SA_New_20247</v>
      </c>
      <c r="X1947" s="2" t="s">
        <v>1616</v>
      </c>
    </row>
    <row r="1948" spans="1:24" hidden="1" x14ac:dyDescent="0.35">
      <c r="A1948">
        <v>92</v>
      </c>
      <c r="B1948" t="s">
        <v>1092</v>
      </c>
      <c r="C1948" s="1">
        <v>45478</v>
      </c>
      <c r="D1948" t="s">
        <v>2173</v>
      </c>
      <c r="F1948" t="s">
        <v>1974</v>
      </c>
      <c r="G1948" t="s">
        <v>1606</v>
      </c>
      <c r="H1948" t="s">
        <v>2174</v>
      </c>
      <c r="I1948" t="s">
        <v>1976</v>
      </c>
      <c r="S1948" t="s">
        <v>1092</v>
      </c>
      <c r="T1948" s="5" t="s">
        <v>936</v>
      </c>
      <c r="U1948" s="5" t="s">
        <v>947</v>
      </c>
      <c r="V1948" t="s">
        <v>956</v>
      </c>
      <c r="W1948" t="str">
        <f t="shared" si="31"/>
        <v>SA_New_20247</v>
      </c>
      <c r="X1948" s="2" t="s">
        <v>1616</v>
      </c>
    </row>
    <row r="1949" spans="1:24" hidden="1" x14ac:dyDescent="0.35">
      <c r="A1949">
        <v>93</v>
      </c>
      <c r="B1949" t="s">
        <v>1092</v>
      </c>
      <c r="C1949" s="1">
        <v>45478</v>
      </c>
      <c r="D1949" t="s">
        <v>2175</v>
      </c>
      <c r="F1949" t="s">
        <v>1974</v>
      </c>
      <c r="G1949" t="s">
        <v>20</v>
      </c>
      <c r="H1949" t="s">
        <v>2176</v>
      </c>
      <c r="I1949" t="s">
        <v>1989</v>
      </c>
      <c r="S1949" t="s">
        <v>1092</v>
      </c>
      <c r="T1949" s="5" t="s">
        <v>936</v>
      </c>
      <c r="U1949" s="5" t="s">
        <v>947</v>
      </c>
      <c r="V1949" t="s">
        <v>956</v>
      </c>
      <c r="W1949" t="str">
        <f t="shared" si="31"/>
        <v>SA_New_20247</v>
      </c>
      <c r="X1949" s="2" t="s">
        <v>1616</v>
      </c>
    </row>
    <row r="1950" spans="1:24" hidden="1" x14ac:dyDescent="0.35">
      <c r="A1950">
        <v>94</v>
      </c>
      <c r="B1950" t="s">
        <v>1092</v>
      </c>
      <c r="C1950" s="1">
        <v>45489</v>
      </c>
      <c r="D1950" t="s">
        <v>2177</v>
      </c>
      <c r="F1950" t="s">
        <v>1974</v>
      </c>
      <c r="G1950" t="s">
        <v>1606</v>
      </c>
      <c r="H1950" t="s">
        <v>2178</v>
      </c>
      <c r="I1950" t="s">
        <v>1993</v>
      </c>
      <c r="S1950" t="s">
        <v>1092</v>
      </c>
      <c r="T1950" s="5" t="s">
        <v>936</v>
      </c>
      <c r="U1950" s="5" t="s">
        <v>928</v>
      </c>
      <c r="V1950" t="s">
        <v>956</v>
      </c>
      <c r="W1950" t="str">
        <f t="shared" si="31"/>
        <v>SA_New_20247</v>
      </c>
      <c r="X1950" s="2" t="s">
        <v>1616</v>
      </c>
    </row>
    <row r="1951" spans="1:24" hidden="1" x14ac:dyDescent="0.35">
      <c r="A1951">
        <v>95</v>
      </c>
      <c r="B1951" t="s">
        <v>1092</v>
      </c>
      <c r="C1951" s="1">
        <v>45489</v>
      </c>
      <c r="D1951" t="s">
        <v>2179</v>
      </c>
      <c r="F1951" t="s">
        <v>1974</v>
      </c>
      <c r="G1951" t="s">
        <v>1606</v>
      </c>
      <c r="H1951" t="s">
        <v>2180</v>
      </c>
      <c r="I1951" t="s">
        <v>1993</v>
      </c>
      <c r="S1951" t="s">
        <v>1092</v>
      </c>
      <c r="T1951" s="5" t="s">
        <v>936</v>
      </c>
      <c r="U1951" s="5" t="s">
        <v>928</v>
      </c>
      <c r="V1951" t="s">
        <v>956</v>
      </c>
      <c r="W1951" t="str">
        <f t="shared" si="31"/>
        <v>SA_New_20247</v>
      </c>
      <c r="X1951" s="2" t="s">
        <v>1616</v>
      </c>
    </row>
    <row r="1952" spans="1:24" hidden="1" x14ac:dyDescent="0.35">
      <c r="A1952">
        <v>96</v>
      </c>
      <c r="B1952" t="s">
        <v>1092</v>
      </c>
      <c r="C1952" s="1">
        <v>45490</v>
      </c>
      <c r="D1952" t="s">
        <v>2181</v>
      </c>
      <c r="F1952" t="s">
        <v>2171</v>
      </c>
      <c r="G1952" t="s">
        <v>1720</v>
      </c>
      <c r="H1952" t="s">
        <v>2182</v>
      </c>
      <c r="I1952" t="s">
        <v>1983</v>
      </c>
      <c r="S1952" t="s">
        <v>1092</v>
      </c>
      <c r="T1952" s="5" t="s">
        <v>936</v>
      </c>
      <c r="U1952" s="5" t="s">
        <v>929</v>
      </c>
      <c r="V1952" t="s">
        <v>956</v>
      </c>
      <c r="W1952" t="str">
        <f t="shared" si="31"/>
        <v>SA_New_20247</v>
      </c>
      <c r="X1952" s="2" t="s">
        <v>1616</v>
      </c>
    </row>
    <row r="1953" spans="1:24" hidden="1" x14ac:dyDescent="0.35">
      <c r="A1953">
        <v>97</v>
      </c>
      <c r="B1953" t="s">
        <v>1092</v>
      </c>
      <c r="C1953" s="1">
        <v>45497</v>
      </c>
      <c r="D1953" t="s">
        <v>2183</v>
      </c>
      <c r="F1953" t="s">
        <v>1981</v>
      </c>
      <c r="G1953" t="s">
        <v>1606</v>
      </c>
      <c r="H1953" t="s">
        <v>2184</v>
      </c>
      <c r="I1953" t="s">
        <v>1983</v>
      </c>
      <c r="S1953" t="s">
        <v>1092</v>
      </c>
      <c r="T1953" s="5" t="s">
        <v>936</v>
      </c>
      <c r="U1953" s="5" t="s">
        <v>935</v>
      </c>
      <c r="V1953" t="s">
        <v>956</v>
      </c>
      <c r="W1953" t="str">
        <f t="shared" si="31"/>
        <v>SA_New_20247</v>
      </c>
      <c r="X1953" s="2" t="s">
        <v>1616</v>
      </c>
    </row>
    <row r="1954" spans="1:24" hidden="1" x14ac:dyDescent="0.35">
      <c r="A1954">
        <v>98</v>
      </c>
      <c r="B1954" t="s">
        <v>1092</v>
      </c>
      <c r="C1954" s="1">
        <v>45506</v>
      </c>
      <c r="D1954" t="s">
        <v>2185</v>
      </c>
      <c r="F1954" t="s">
        <v>1981</v>
      </c>
      <c r="G1954" t="s">
        <v>1606</v>
      </c>
      <c r="H1954" t="s">
        <v>2186</v>
      </c>
      <c r="I1954" t="s">
        <v>1993</v>
      </c>
      <c r="S1954" t="s">
        <v>1092</v>
      </c>
      <c r="T1954" s="5" t="s">
        <v>940</v>
      </c>
      <c r="U1954" s="5" t="s">
        <v>921</v>
      </c>
      <c r="V1954" t="s">
        <v>956</v>
      </c>
      <c r="W1954" t="str">
        <f t="shared" si="31"/>
        <v>SA_New_20248</v>
      </c>
      <c r="X1954" s="2" t="s">
        <v>1616</v>
      </c>
    </row>
    <row r="1955" spans="1:24" hidden="1" x14ac:dyDescent="0.35">
      <c r="A1955">
        <v>99</v>
      </c>
      <c r="B1955" t="s">
        <v>1092</v>
      </c>
      <c r="C1955" s="1">
        <v>45506</v>
      </c>
      <c r="D1955" t="s">
        <v>1960</v>
      </c>
      <c r="F1955" t="s">
        <v>1981</v>
      </c>
      <c r="G1955" t="s">
        <v>1606</v>
      </c>
      <c r="H1955" t="s">
        <v>2187</v>
      </c>
      <c r="I1955" t="s">
        <v>1993</v>
      </c>
      <c r="S1955" t="s">
        <v>1092</v>
      </c>
      <c r="T1955" s="5" t="s">
        <v>940</v>
      </c>
      <c r="U1955" s="5" t="s">
        <v>921</v>
      </c>
      <c r="V1955" t="s">
        <v>956</v>
      </c>
      <c r="W1955" t="str">
        <f t="shared" si="31"/>
        <v>SA_New_20248</v>
      </c>
      <c r="X1955" s="2" t="s">
        <v>1616</v>
      </c>
    </row>
    <row r="1956" spans="1:24" hidden="1" x14ac:dyDescent="0.35">
      <c r="A1956">
        <v>100</v>
      </c>
      <c r="B1956" t="s">
        <v>1092</v>
      </c>
      <c r="C1956" s="1">
        <v>45506</v>
      </c>
      <c r="D1956" t="s">
        <v>2188</v>
      </c>
      <c r="F1956" t="s">
        <v>1981</v>
      </c>
      <c r="G1956" t="s">
        <v>1606</v>
      </c>
      <c r="H1956" t="s">
        <v>2189</v>
      </c>
      <c r="I1956" t="s">
        <v>1993</v>
      </c>
      <c r="S1956" t="s">
        <v>1092</v>
      </c>
      <c r="T1956" s="5" t="s">
        <v>940</v>
      </c>
      <c r="U1956" s="5" t="s">
        <v>921</v>
      </c>
      <c r="V1956" t="s">
        <v>956</v>
      </c>
      <c r="W1956" t="str">
        <f t="shared" si="31"/>
        <v>SA_New_20248</v>
      </c>
      <c r="X1956" s="2" t="s">
        <v>1616</v>
      </c>
    </row>
    <row r="1957" spans="1:24" hidden="1" x14ac:dyDescent="0.35">
      <c r="A1957">
        <v>101</v>
      </c>
      <c r="B1957" t="s">
        <v>1092</v>
      </c>
      <c r="C1957" s="1">
        <v>45506</v>
      </c>
      <c r="D1957" t="s">
        <v>2190</v>
      </c>
      <c r="F1957" t="s">
        <v>1981</v>
      </c>
      <c r="G1957" t="s">
        <v>20</v>
      </c>
      <c r="H1957" t="s">
        <v>2191</v>
      </c>
      <c r="I1957" t="s">
        <v>1993</v>
      </c>
      <c r="S1957" t="s">
        <v>1092</v>
      </c>
      <c r="T1957" s="5" t="s">
        <v>940</v>
      </c>
      <c r="U1957" s="5" t="s">
        <v>921</v>
      </c>
      <c r="V1957" t="s">
        <v>956</v>
      </c>
      <c r="W1957" t="str">
        <f t="shared" si="31"/>
        <v>SA_New_20248</v>
      </c>
      <c r="X1957" s="2" t="s">
        <v>1616</v>
      </c>
    </row>
    <row r="1958" spans="1:24" hidden="1" x14ac:dyDescent="0.35">
      <c r="A1958">
        <v>102</v>
      </c>
      <c r="B1958" t="s">
        <v>1092</v>
      </c>
      <c r="C1958" s="1">
        <v>45506</v>
      </c>
      <c r="D1958" t="s">
        <v>2192</v>
      </c>
      <c r="F1958" t="s">
        <v>1981</v>
      </c>
      <c r="G1958" t="s">
        <v>1606</v>
      </c>
      <c r="H1958" t="s">
        <v>2193</v>
      </c>
      <c r="I1958" t="s">
        <v>1993</v>
      </c>
      <c r="S1958" t="s">
        <v>1092</v>
      </c>
      <c r="T1958" s="5" t="s">
        <v>940</v>
      </c>
      <c r="U1958" s="5" t="s">
        <v>921</v>
      </c>
      <c r="V1958" t="s">
        <v>956</v>
      </c>
      <c r="W1958" t="str">
        <f t="shared" si="31"/>
        <v>SA_New_20248</v>
      </c>
      <c r="X1958" s="2" t="s">
        <v>1616</v>
      </c>
    </row>
    <row r="1959" spans="1:24" hidden="1" x14ac:dyDescent="0.35">
      <c r="A1959">
        <v>103</v>
      </c>
      <c r="B1959" t="s">
        <v>1092</v>
      </c>
      <c r="C1959" s="1">
        <v>45512</v>
      </c>
      <c r="D1959" t="s">
        <v>2194</v>
      </c>
      <c r="F1959" t="s">
        <v>1981</v>
      </c>
      <c r="G1959" t="s">
        <v>1759</v>
      </c>
      <c r="H1959" t="s">
        <v>2195</v>
      </c>
      <c r="I1959" t="s">
        <v>1976</v>
      </c>
      <c r="S1959" t="s">
        <v>1092</v>
      </c>
      <c r="T1959" s="5" t="s">
        <v>940</v>
      </c>
      <c r="U1959" s="5" t="s">
        <v>940</v>
      </c>
      <c r="V1959" t="s">
        <v>956</v>
      </c>
      <c r="W1959" t="str">
        <f t="shared" si="31"/>
        <v>SA_New_20248</v>
      </c>
      <c r="X1959" s="2" t="s">
        <v>1616</v>
      </c>
    </row>
    <row r="1960" spans="1:24" hidden="1" x14ac:dyDescent="0.35">
      <c r="A1960">
        <v>104</v>
      </c>
      <c r="B1960" t="s">
        <v>1092</v>
      </c>
      <c r="C1960" s="1">
        <v>45512</v>
      </c>
      <c r="D1960" t="s">
        <v>2196</v>
      </c>
      <c r="F1960" t="s">
        <v>1974</v>
      </c>
      <c r="G1960" t="s">
        <v>1599</v>
      </c>
      <c r="H1960" t="s">
        <v>2197</v>
      </c>
      <c r="I1960" t="s">
        <v>1989</v>
      </c>
      <c r="S1960" t="s">
        <v>1092</v>
      </c>
      <c r="T1960" s="5" t="s">
        <v>940</v>
      </c>
      <c r="U1960" s="5" t="s">
        <v>940</v>
      </c>
      <c r="V1960" t="s">
        <v>956</v>
      </c>
      <c r="W1960" t="str">
        <f t="shared" si="31"/>
        <v>SA_New_20248</v>
      </c>
      <c r="X1960" s="2" t="s">
        <v>1616</v>
      </c>
    </row>
    <row r="1961" spans="1:24" hidden="1" x14ac:dyDescent="0.35">
      <c r="A1961">
        <v>105</v>
      </c>
      <c r="B1961" t="s">
        <v>1092</v>
      </c>
      <c r="C1961" s="1">
        <v>45517</v>
      </c>
      <c r="D1961" t="s">
        <v>2198</v>
      </c>
      <c r="F1961" t="s">
        <v>1974</v>
      </c>
      <c r="G1961" t="s">
        <v>1606</v>
      </c>
      <c r="H1961" t="s">
        <v>2199</v>
      </c>
      <c r="I1961" t="s">
        <v>1993</v>
      </c>
      <c r="S1961" t="s">
        <v>1092</v>
      </c>
      <c r="T1961" s="5" t="s">
        <v>940</v>
      </c>
      <c r="U1961" s="5" t="s">
        <v>950</v>
      </c>
      <c r="V1961" t="s">
        <v>956</v>
      </c>
      <c r="W1961" t="str">
        <f t="shared" si="31"/>
        <v>SA_New_20248</v>
      </c>
      <c r="X1961" s="2" t="s">
        <v>1616</v>
      </c>
    </row>
    <row r="1962" spans="1:24" hidden="1" x14ac:dyDescent="0.35">
      <c r="A1962">
        <v>106</v>
      </c>
      <c r="B1962" t="s">
        <v>1092</v>
      </c>
      <c r="C1962" s="1">
        <v>45517</v>
      </c>
      <c r="D1962" t="s">
        <v>2200</v>
      </c>
      <c r="F1962" t="s">
        <v>1978</v>
      </c>
      <c r="G1962" t="s">
        <v>1609</v>
      </c>
      <c r="H1962" t="s">
        <v>2201</v>
      </c>
      <c r="I1962" t="s">
        <v>1976</v>
      </c>
      <c r="S1962" t="s">
        <v>1092</v>
      </c>
      <c r="T1962" s="5" t="s">
        <v>940</v>
      </c>
      <c r="U1962" s="5" t="s">
        <v>950</v>
      </c>
      <c r="V1962" t="s">
        <v>956</v>
      </c>
      <c r="W1962" t="str">
        <f t="shared" si="31"/>
        <v>SA_New_20248</v>
      </c>
      <c r="X1962" s="2" t="s">
        <v>1616</v>
      </c>
    </row>
    <row r="1963" spans="1:24" hidden="1" x14ac:dyDescent="0.35">
      <c r="A1963">
        <v>107</v>
      </c>
      <c r="B1963" t="s">
        <v>1092</v>
      </c>
      <c r="C1963" s="1">
        <v>45520</v>
      </c>
      <c r="D1963" t="s">
        <v>2202</v>
      </c>
      <c r="F1963" t="s">
        <v>1974</v>
      </c>
      <c r="G1963" t="s">
        <v>1606</v>
      </c>
      <c r="H1963" t="s">
        <v>2203</v>
      </c>
      <c r="I1963" t="s">
        <v>1976</v>
      </c>
      <c r="S1963" t="s">
        <v>1092</v>
      </c>
      <c r="T1963" s="5" t="s">
        <v>940</v>
      </c>
      <c r="U1963" s="5" t="s">
        <v>928</v>
      </c>
      <c r="V1963" t="s">
        <v>956</v>
      </c>
      <c r="W1963" t="str">
        <f t="shared" si="31"/>
        <v>SA_New_20248</v>
      </c>
      <c r="X1963" s="2" t="s">
        <v>1616</v>
      </c>
    </row>
    <row r="1964" spans="1:24" hidden="1" x14ac:dyDescent="0.35">
      <c r="A1964">
        <v>108</v>
      </c>
      <c r="B1964" t="s">
        <v>1092</v>
      </c>
      <c r="C1964" s="1">
        <v>45526</v>
      </c>
      <c r="D1964" t="s">
        <v>2204</v>
      </c>
      <c r="F1964" t="s">
        <v>1991</v>
      </c>
      <c r="G1964" t="s">
        <v>1603</v>
      </c>
      <c r="H1964" t="s">
        <v>2205</v>
      </c>
      <c r="I1964" t="s">
        <v>1976</v>
      </c>
      <c r="S1964" t="s">
        <v>1092</v>
      </c>
      <c r="T1964" s="5" t="s">
        <v>940</v>
      </c>
      <c r="U1964" s="5" t="s">
        <v>933</v>
      </c>
      <c r="V1964" t="s">
        <v>956</v>
      </c>
      <c r="W1964" t="str">
        <f t="shared" si="31"/>
        <v>SA_New_20248</v>
      </c>
      <c r="X1964" s="2" t="s">
        <v>1616</v>
      </c>
    </row>
    <row r="1965" spans="1:24" hidden="1" x14ac:dyDescent="0.35">
      <c r="A1965">
        <v>109</v>
      </c>
      <c r="B1965" t="s">
        <v>1092</v>
      </c>
      <c r="C1965" s="1">
        <v>45534</v>
      </c>
      <c r="D1965" t="s">
        <v>2206</v>
      </c>
      <c r="F1965" t="s">
        <v>1985</v>
      </c>
      <c r="G1965" t="s">
        <v>1606</v>
      </c>
      <c r="H1965" t="s">
        <v>2207</v>
      </c>
      <c r="I1965" t="s">
        <v>1989</v>
      </c>
      <c r="S1965" t="s">
        <v>1092</v>
      </c>
      <c r="T1965" s="5" t="s">
        <v>940</v>
      </c>
      <c r="U1965" s="5" t="s">
        <v>938</v>
      </c>
      <c r="V1965" t="s">
        <v>956</v>
      </c>
      <c r="W1965" t="str">
        <f t="shared" si="31"/>
        <v>SA_New_20248</v>
      </c>
      <c r="X1965" s="2" t="s">
        <v>1616</v>
      </c>
    </row>
    <row r="1966" spans="1:24" hidden="1" x14ac:dyDescent="0.35">
      <c r="A1966">
        <v>110</v>
      </c>
      <c r="B1966" t="s">
        <v>1092</v>
      </c>
      <c r="C1966" s="1">
        <v>45551</v>
      </c>
      <c r="D1966" t="s">
        <v>2208</v>
      </c>
      <c r="F1966" t="s">
        <v>1991</v>
      </c>
      <c r="G1966" t="s">
        <v>1606</v>
      </c>
      <c r="H1966" t="s">
        <v>2209</v>
      </c>
      <c r="I1966" t="s">
        <v>1983</v>
      </c>
      <c r="S1966" t="s">
        <v>1092</v>
      </c>
      <c r="T1966" s="5" t="s">
        <v>942</v>
      </c>
      <c r="U1966" s="5" t="s">
        <v>928</v>
      </c>
      <c r="V1966" t="s">
        <v>956</v>
      </c>
      <c r="W1966" t="str">
        <f t="shared" si="31"/>
        <v>SA_New_20249</v>
      </c>
      <c r="X1966" s="2" t="s">
        <v>1616</v>
      </c>
    </row>
    <row r="1967" spans="1:24" hidden="1" x14ac:dyDescent="0.35">
      <c r="A1967">
        <v>111</v>
      </c>
      <c r="B1967" t="s">
        <v>1092</v>
      </c>
      <c r="C1967" s="1">
        <v>45551</v>
      </c>
      <c r="D1967" t="s">
        <v>2210</v>
      </c>
      <c r="F1967" t="s">
        <v>1985</v>
      </c>
      <c r="G1967" t="s">
        <v>2088</v>
      </c>
      <c r="H1967" t="s">
        <v>2211</v>
      </c>
      <c r="I1967" t="s">
        <v>1993</v>
      </c>
      <c r="S1967" t="s">
        <v>1092</v>
      </c>
      <c r="T1967" s="5" t="s">
        <v>942</v>
      </c>
      <c r="U1967" s="5" t="s">
        <v>928</v>
      </c>
      <c r="V1967" t="s">
        <v>956</v>
      </c>
      <c r="W1967" t="str">
        <f t="shared" si="31"/>
        <v>SA_New_20249</v>
      </c>
      <c r="X1967" s="2" t="s">
        <v>1616</v>
      </c>
    </row>
    <row r="1968" spans="1:24" hidden="1" x14ac:dyDescent="0.35">
      <c r="A1968">
        <v>112</v>
      </c>
      <c r="B1968" t="s">
        <v>1092</v>
      </c>
      <c r="C1968" s="1">
        <v>45551</v>
      </c>
      <c r="D1968" t="s">
        <v>2212</v>
      </c>
      <c r="F1968" t="s">
        <v>1981</v>
      </c>
      <c r="G1968" t="s">
        <v>1606</v>
      </c>
      <c r="H1968" t="s">
        <v>2213</v>
      </c>
      <c r="I1968" t="s">
        <v>1976</v>
      </c>
      <c r="S1968" t="s">
        <v>1092</v>
      </c>
      <c r="T1968" s="5" t="s">
        <v>942</v>
      </c>
      <c r="U1968" s="5" t="s">
        <v>928</v>
      </c>
      <c r="V1968" t="s">
        <v>956</v>
      </c>
      <c r="W1968" t="str">
        <f t="shared" si="31"/>
        <v>SA_New_20249</v>
      </c>
      <c r="X1968" s="2" t="s">
        <v>1616</v>
      </c>
    </row>
    <row r="1969" spans="1:24" hidden="1" x14ac:dyDescent="0.35">
      <c r="A1969">
        <v>113</v>
      </c>
      <c r="B1969" t="s">
        <v>1092</v>
      </c>
      <c r="C1969" s="1">
        <v>45554</v>
      </c>
      <c r="D1969" t="s">
        <v>2214</v>
      </c>
      <c r="F1969" t="s">
        <v>1991</v>
      </c>
      <c r="G1969" t="s">
        <v>1606</v>
      </c>
      <c r="H1969" t="s">
        <v>2215</v>
      </c>
      <c r="I1969" t="s">
        <v>1976</v>
      </c>
      <c r="S1969" t="s">
        <v>1092</v>
      </c>
      <c r="T1969" s="5" t="s">
        <v>942</v>
      </c>
      <c r="U1969" s="5" t="s">
        <v>931</v>
      </c>
      <c r="V1969" t="s">
        <v>956</v>
      </c>
      <c r="W1969" t="str">
        <f t="shared" si="31"/>
        <v>SA_New_20249</v>
      </c>
      <c r="X1969" s="2" t="s">
        <v>1616</v>
      </c>
    </row>
    <row r="1970" spans="1:24" hidden="1" x14ac:dyDescent="0.35">
      <c r="A1970">
        <v>114</v>
      </c>
      <c r="B1970" t="s">
        <v>1092</v>
      </c>
      <c r="C1970" s="1">
        <v>45558</v>
      </c>
      <c r="D1970" t="s">
        <v>2216</v>
      </c>
      <c r="F1970" t="s">
        <v>1981</v>
      </c>
      <c r="G1970" t="s">
        <v>1599</v>
      </c>
      <c r="H1970" t="s">
        <v>2217</v>
      </c>
      <c r="I1970" t="s">
        <v>1993</v>
      </c>
      <c r="S1970" t="s">
        <v>1092</v>
      </c>
      <c r="T1970" s="5" t="s">
        <v>942</v>
      </c>
      <c r="U1970" s="5" t="s">
        <v>934</v>
      </c>
      <c r="V1970" t="s">
        <v>956</v>
      </c>
      <c r="W1970" t="str">
        <f t="shared" si="31"/>
        <v>SA_New_20249</v>
      </c>
      <c r="X1970" s="2" t="s">
        <v>1616</v>
      </c>
    </row>
    <row r="1971" spans="1:24" hidden="1" x14ac:dyDescent="0.35">
      <c r="A1971">
        <v>51</v>
      </c>
      <c r="B1971" t="s">
        <v>1092</v>
      </c>
      <c r="C1971" s="1">
        <v>45554</v>
      </c>
      <c r="D1971" t="s">
        <v>2270</v>
      </c>
      <c r="F1971" t="s">
        <v>1974</v>
      </c>
      <c r="G1971" t="s">
        <v>20</v>
      </c>
      <c r="H1971" t="s">
        <v>2271</v>
      </c>
      <c r="I1971" t="s">
        <v>1976</v>
      </c>
      <c r="S1971" t="s">
        <v>1092</v>
      </c>
      <c r="T1971" s="6" t="s">
        <v>942</v>
      </c>
      <c r="U1971" s="6" t="s">
        <v>931</v>
      </c>
      <c r="V1971" s="2" t="s">
        <v>956</v>
      </c>
      <c r="W1971" t="str">
        <f t="shared" si="31"/>
        <v>SA_New_20249</v>
      </c>
      <c r="X1971" s="2" t="s">
        <v>1615</v>
      </c>
    </row>
    <row r="1972" spans="1:24" hidden="1" x14ac:dyDescent="0.35">
      <c r="A1972">
        <v>52</v>
      </c>
      <c r="B1972" t="s">
        <v>1092</v>
      </c>
      <c r="C1972" s="1">
        <v>45581</v>
      </c>
      <c r="D1972" t="s">
        <v>2272</v>
      </c>
      <c r="F1972" t="s">
        <v>1981</v>
      </c>
      <c r="G1972" t="s">
        <v>20</v>
      </c>
      <c r="H1972" t="s">
        <v>2273</v>
      </c>
      <c r="I1972" t="s">
        <v>1993</v>
      </c>
      <c r="S1972" t="s">
        <v>1092</v>
      </c>
      <c r="T1972" s="6" t="s">
        <v>948</v>
      </c>
      <c r="U1972" s="6" t="s">
        <v>928</v>
      </c>
      <c r="V1972" s="2" t="s">
        <v>956</v>
      </c>
      <c r="W1972" t="str">
        <f t="shared" si="31"/>
        <v>SA_New_202410</v>
      </c>
      <c r="X1972" s="2" t="s">
        <v>1615</v>
      </c>
    </row>
    <row r="1973" spans="1:24" hidden="1" x14ac:dyDescent="0.35">
      <c r="A1973">
        <v>53</v>
      </c>
      <c r="B1973" t="s">
        <v>1092</v>
      </c>
      <c r="C1973" s="1">
        <v>45581</v>
      </c>
      <c r="D1973" t="s">
        <v>2274</v>
      </c>
      <c r="F1973" t="s">
        <v>2275</v>
      </c>
      <c r="G1973" t="s">
        <v>92</v>
      </c>
      <c r="H1973" t="s">
        <v>2276</v>
      </c>
      <c r="I1973" t="s">
        <v>2277</v>
      </c>
      <c r="S1973" t="s">
        <v>1092</v>
      </c>
      <c r="T1973" s="6" t="s">
        <v>948</v>
      </c>
      <c r="U1973" s="6" t="s">
        <v>928</v>
      </c>
      <c r="V1973" s="2" t="s">
        <v>956</v>
      </c>
      <c r="W1973" t="str">
        <f t="shared" si="31"/>
        <v>SA_New_202410</v>
      </c>
      <c r="X1973" s="2" t="s">
        <v>1615</v>
      </c>
    </row>
    <row r="1974" spans="1:24" hidden="1" x14ac:dyDescent="0.35">
      <c r="A1974">
        <v>54</v>
      </c>
      <c r="B1974" t="s">
        <v>1092</v>
      </c>
      <c r="C1974" s="1">
        <v>45581</v>
      </c>
      <c r="D1974" t="s">
        <v>2278</v>
      </c>
      <c r="F1974" t="s">
        <v>1974</v>
      </c>
      <c r="G1974" t="s">
        <v>116</v>
      </c>
      <c r="H1974" t="s">
        <v>2279</v>
      </c>
      <c r="I1974" t="s">
        <v>1976</v>
      </c>
      <c r="S1974" t="s">
        <v>1092</v>
      </c>
      <c r="T1974" s="6" t="s">
        <v>948</v>
      </c>
      <c r="U1974" s="6" t="s">
        <v>928</v>
      </c>
      <c r="V1974" s="2" t="s">
        <v>956</v>
      </c>
      <c r="W1974" t="str">
        <f t="shared" si="31"/>
        <v>SA_New_202410</v>
      </c>
      <c r="X1974" s="2" t="s">
        <v>1615</v>
      </c>
    </row>
    <row r="1975" spans="1:24" hidden="1" x14ac:dyDescent="0.35">
      <c r="A1975">
        <v>55</v>
      </c>
      <c r="B1975" t="s">
        <v>1092</v>
      </c>
      <c r="C1975" s="1">
        <v>45581</v>
      </c>
      <c r="D1975" t="s">
        <v>2280</v>
      </c>
      <c r="F1975" t="s">
        <v>1981</v>
      </c>
      <c r="G1975" t="s">
        <v>20</v>
      </c>
      <c r="H1975" t="s">
        <v>2281</v>
      </c>
      <c r="I1975" t="s">
        <v>1989</v>
      </c>
      <c r="S1975" t="s">
        <v>1092</v>
      </c>
      <c r="T1975" s="6" t="s">
        <v>948</v>
      </c>
      <c r="U1975" s="6" t="s">
        <v>928</v>
      </c>
      <c r="V1975" s="2" t="s">
        <v>956</v>
      </c>
      <c r="W1975" t="str">
        <f t="shared" si="31"/>
        <v>SA_New_202410</v>
      </c>
      <c r="X1975" s="2" t="s">
        <v>1615</v>
      </c>
    </row>
    <row r="1976" spans="1:24" hidden="1" x14ac:dyDescent="0.35">
      <c r="A1976">
        <v>56</v>
      </c>
      <c r="B1976" t="s">
        <v>1092</v>
      </c>
      <c r="C1976" s="1">
        <v>45586</v>
      </c>
      <c r="D1976" t="s">
        <v>2282</v>
      </c>
      <c r="F1976" t="s">
        <v>1974</v>
      </c>
      <c r="G1976" t="s">
        <v>20</v>
      </c>
      <c r="H1976" t="s">
        <v>2283</v>
      </c>
      <c r="I1976" t="s">
        <v>1976</v>
      </c>
      <c r="S1976" t="s">
        <v>1092</v>
      </c>
      <c r="T1976" s="6" t="s">
        <v>948</v>
      </c>
      <c r="U1976" s="6" t="s">
        <v>944</v>
      </c>
      <c r="V1976" s="2" t="s">
        <v>956</v>
      </c>
      <c r="W1976" t="str">
        <f t="shared" si="31"/>
        <v>SA_New_202410</v>
      </c>
      <c r="X1976" s="2" t="s">
        <v>1615</v>
      </c>
    </row>
    <row r="1977" spans="1:24" hidden="1" x14ac:dyDescent="0.35">
      <c r="A1977">
        <v>57</v>
      </c>
      <c r="B1977" t="s">
        <v>1092</v>
      </c>
      <c r="C1977" s="1">
        <v>45590</v>
      </c>
      <c r="D1977" t="s">
        <v>2284</v>
      </c>
      <c r="F1977" t="s">
        <v>1978</v>
      </c>
      <c r="G1977" t="s">
        <v>20</v>
      </c>
      <c r="H1977" t="s">
        <v>2285</v>
      </c>
      <c r="I1977" t="s">
        <v>1976</v>
      </c>
      <c r="S1977" t="s">
        <v>1092</v>
      </c>
      <c r="T1977" s="6" t="s">
        <v>948</v>
      </c>
      <c r="U1977" s="6" t="s">
        <v>922</v>
      </c>
      <c r="V1977" s="2" t="s">
        <v>956</v>
      </c>
      <c r="W1977" t="str">
        <f t="shared" si="31"/>
        <v>SA_New_202410</v>
      </c>
      <c r="X1977" s="2" t="s">
        <v>1615</v>
      </c>
    </row>
    <row r="1978" spans="1:24" hidden="1" x14ac:dyDescent="0.35">
      <c r="A1978">
        <v>58</v>
      </c>
      <c r="B1978" t="s">
        <v>1092</v>
      </c>
      <c r="C1978" s="1">
        <v>45593</v>
      </c>
      <c r="D1978" t="s">
        <v>2286</v>
      </c>
      <c r="F1978" t="s">
        <v>1991</v>
      </c>
      <c r="G1978" t="s">
        <v>20</v>
      </c>
      <c r="H1978" t="s">
        <v>2287</v>
      </c>
      <c r="I1978" t="s">
        <v>1993</v>
      </c>
      <c r="S1978" t="s">
        <v>1092</v>
      </c>
      <c r="T1978" s="6" t="s">
        <v>948</v>
      </c>
      <c r="U1978" s="6" t="s">
        <v>926</v>
      </c>
      <c r="V1978" s="2" t="s">
        <v>956</v>
      </c>
      <c r="W1978" t="str">
        <f t="shared" si="31"/>
        <v>SA_New_202410</v>
      </c>
      <c r="X1978" s="2" t="s">
        <v>1615</v>
      </c>
    </row>
    <row r="1979" spans="1:24" hidden="1" x14ac:dyDescent="0.35">
      <c r="A1979">
        <v>59</v>
      </c>
      <c r="B1979" t="s">
        <v>1092</v>
      </c>
      <c r="C1979" s="1">
        <v>45602</v>
      </c>
      <c r="D1979" t="s">
        <v>2288</v>
      </c>
      <c r="F1979" t="s">
        <v>1991</v>
      </c>
      <c r="G1979" t="s">
        <v>20</v>
      </c>
      <c r="H1979" t="s">
        <v>2289</v>
      </c>
      <c r="I1979" t="s">
        <v>1993</v>
      </c>
      <c r="S1979" t="s">
        <v>1092</v>
      </c>
      <c r="T1979" s="6" t="s">
        <v>945</v>
      </c>
      <c r="U1979" s="6" t="s">
        <v>927</v>
      </c>
      <c r="V1979" s="2" t="s">
        <v>956</v>
      </c>
      <c r="W1979" t="str">
        <f t="shared" si="31"/>
        <v>SA_New_202411</v>
      </c>
      <c r="X1979" s="2" t="s">
        <v>1615</v>
      </c>
    </row>
    <row r="1980" spans="1:24" hidden="1" x14ac:dyDescent="0.35">
      <c r="A1980">
        <v>60</v>
      </c>
      <c r="B1980" t="s">
        <v>1092</v>
      </c>
      <c r="C1980" s="1">
        <v>45602</v>
      </c>
      <c r="D1980" t="s">
        <v>2290</v>
      </c>
      <c r="F1980" t="s">
        <v>1991</v>
      </c>
      <c r="G1980" t="s">
        <v>20</v>
      </c>
      <c r="H1980" t="s">
        <v>2291</v>
      </c>
      <c r="I1980" t="s">
        <v>1993</v>
      </c>
      <c r="S1980" t="s">
        <v>1092</v>
      </c>
      <c r="T1980" s="6" t="s">
        <v>945</v>
      </c>
      <c r="U1980" s="6" t="s">
        <v>927</v>
      </c>
      <c r="V1980" s="2" t="s">
        <v>956</v>
      </c>
      <c r="W1980" t="str">
        <f t="shared" si="31"/>
        <v>SA_New_202411</v>
      </c>
      <c r="X1980" s="2" t="s">
        <v>1615</v>
      </c>
    </row>
    <row r="1981" spans="1:24" hidden="1" x14ac:dyDescent="0.35">
      <c r="A1981">
        <v>53</v>
      </c>
      <c r="B1981" t="s">
        <v>1092</v>
      </c>
      <c r="C1981" s="1">
        <v>45581</v>
      </c>
      <c r="D1981" t="s">
        <v>2274</v>
      </c>
      <c r="F1981" t="s">
        <v>2275</v>
      </c>
      <c r="G1981" t="s">
        <v>92</v>
      </c>
      <c r="H1981" t="s">
        <v>2276</v>
      </c>
      <c r="I1981" t="s">
        <v>2277</v>
      </c>
      <c r="S1981" t="s">
        <v>1092</v>
      </c>
      <c r="T1981" s="6" t="s">
        <v>948</v>
      </c>
      <c r="U1981" s="6" t="s">
        <v>928</v>
      </c>
      <c r="V1981" s="2" t="s">
        <v>956</v>
      </c>
      <c r="W1981" t="str">
        <f t="shared" si="31"/>
        <v>SA_New_202410</v>
      </c>
      <c r="X1981" s="2" t="s">
        <v>1615</v>
      </c>
    </row>
    <row r="1982" spans="1:24" hidden="1" x14ac:dyDescent="0.35">
      <c r="A1982">
        <v>54</v>
      </c>
      <c r="B1982" t="s">
        <v>1092</v>
      </c>
      <c r="C1982" s="1">
        <v>45581</v>
      </c>
      <c r="D1982" t="s">
        <v>2278</v>
      </c>
      <c r="F1982" t="s">
        <v>1974</v>
      </c>
      <c r="G1982" t="s">
        <v>116</v>
      </c>
      <c r="H1982" t="s">
        <v>2279</v>
      </c>
      <c r="I1982" t="s">
        <v>1976</v>
      </c>
      <c r="S1982" t="s">
        <v>1092</v>
      </c>
      <c r="T1982" s="6" t="s">
        <v>948</v>
      </c>
      <c r="U1982" s="6" t="s">
        <v>928</v>
      </c>
      <c r="V1982" s="2" t="s">
        <v>956</v>
      </c>
      <c r="W1982" t="str">
        <f t="shared" si="31"/>
        <v>SA_New_202410</v>
      </c>
      <c r="X1982" s="2" t="s">
        <v>1615</v>
      </c>
    </row>
    <row r="1983" spans="1:24" hidden="1" x14ac:dyDescent="0.35">
      <c r="A1983">
        <v>55</v>
      </c>
      <c r="B1983" t="s">
        <v>1092</v>
      </c>
      <c r="C1983" s="1">
        <v>45581</v>
      </c>
      <c r="D1983" t="s">
        <v>2280</v>
      </c>
      <c r="F1983" t="s">
        <v>1981</v>
      </c>
      <c r="G1983" t="s">
        <v>20</v>
      </c>
      <c r="H1983" t="s">
        <v>2281</v>
      </c>
      <c r="I1983" t="s">
        <v>1989</v>
      </c>
      <c r="S1983" t="s">
        <v>1092</v>
      </c>
      <c r="T1983" s="6" t="s">
        <v>948</v>
      </c>
      <c r="U1983" s="6" t="s">
        <v>928</v>
      </c>
      <c r="V1983" s="2" t="s">
        <v>956</v>
      </c>
      <c r="W1983" t="str">
        <f t="shared" si="31"/>
        <v>SA_New_202410</v>
      </c>
      <c r="X1983" s="2" t="s">
        <v>1615</v>
      </c>
    </row>
    <row r="1984" spans="1:24" hidden="1" x14ac:dyDescent="0.35">
      <c r="A1984">
        <v>56</v>
      </c>
      <c r="B1984" t="s">
        <v>1092</v>
      </c>
      <c r="C1984" s="1">
        <v>45586</v>
      </c>
      <c r="D1984" t="s">
        <v>2282</v>
      </c>
      <c r="F1984" t="s">
        <v>1974</v>
      </c>
      <c r="G1984" t="s">
        <v>20</v>
      </c>
      <c r="H1984" t="s">
        <v>2283</v>
      </c>
      <c r="I1984" t="s">
        <v>1976</v>
      </c>
      <c r="S1984" t="s">
        <v>1092</v>
      </c>
      <c r="T1984" s="6" t="s">
        <v>948</v>
      </c>
      <c r="U1984" s="6" t="s">
        <v>944</v>
      </c>
      <c r="V1984" s="2" t="s">
        <v>956</v>
      </c>
      <c r="W1984" t="str">
        <f t="shared" si="31"/>
        <v>SA_New_202410</v>
      </c>
      <c r="X1984" s="2" t="s">
        <v>1615</v>
      </c>
    </row>
    <row r="1985" spans="1:24" hidden="1" x14ac:dyDescent="0.35">
      <c r="A1985">
        <v>57</v>
      </c>
      <c r="B1985" t="s">
        <v>1092</v>
      </c>
      <c r="C1985" s="1">
        <v>45590</v>
      </c>
      <c r="D1985" t="s">
        <v>2284</v>
      </c>
      <c r="F1985" t="s">
        <v>1978</v>
      </c>
      <c r="G1985" t="s">
        <v>20</v>
      </c>
      <c r="H1985" t="s">
        <v>2285</v>
      </c>
      <c r="I1985" t="s">
        <v>1976</v>
      </c>
      <c r="S1985" t="s">
        <v>1092</v>
      </c>
      <c r="T1985" s="6" t="s">
        <v>948</v>
      </c>
      <c r="U1985" s="6" t="s">
        <v>922</v>
      </c>
      <c r="V1985" s="2" t="s">
        <v>956</v>
      </c>
      <c r="W1985" t="str">
        <f t="shared" si="31"/>
        <v>SA_New_202410</v>
      </c>
      <c r="X1985" s="2" t="s">
        <v>1615</v>
      </c>
    </row>
    <row r="1986" spans="1:24" hidden="1" x14ac:dyDescent="0.35">
      <c r="A1986">
        <v>58</v>
      </c>
      <c r="B1986" t="s">
        <v>1092</v>
      </c>
      <c r="C1986" s="1">
        <v>45593</v>
      </c>
      <c r="D1986" t="s">
        <v>2286</v>
      </c>
      <c r="F1986" t="s">
        <v>1991</v>
      </c>
      <c r="G1986" t="s">
        <v>20</v>
      </c>
      <c r="H1986" t="s">
        <v>2287</v>
      </c>
      <c r="I1986" t="s">
        <v>1993</v>
      </c>
      <c r="S1986" t="s">
        <v>1092</v>
      </c>
      <c r="T1986" s="6" t="s">
        <v>948</v>
      </c>
      <c r="U1986" s="6" t="s">
        <v>926</v>
      </c>
      <c r="V1986" s="2" t="s">
        <v>956</v>
      </c>
      <c r="W1986" t="str">
        <f t="shared" ref="W1986:W2049" si="32">CONCATENATE(B1986,"_",V1986,T1986)</f>
        <v>SA_New_202410</v>
      </c>
      <c r="X1986" s="2" t="s">
        <v>1615</v>
      </c>
    </row>
    <row r="1987" spans="1:24" hidden="1" x14ac:dyDescent="0.35">
      <c r="A1987">
        <v>59</v>
      </c>
      <c r="B1987" t="s">
        <v>1092</v>
      </c>
      <c r="C1987" s="1">
        <v>45602</v>
      </c>
      <c r="D1987" t="s">
        <v>2288</v>
      </c>
      <c r="F1987" t="s">
        <v>1991</v>
      </c>
      <c r="G1987" t="s">
        <v>20</v>
      </c>
      <c r="H1987" t="s">
        <v>2289</v>
      </c>
      <c r="I1987" t="s">
        <v>1993</v>
      </c>
      <c r="S1987" t="s">
        <v>1092</v>
      </c>
      <c r="T1987" s="6" t="s">
        <v>945</v>
      </c>
      <c r="U1987" s="6" t="s">
        <v>927</v>
      </c>
      <c r="V1987" s="2" t="s">
        <v>956</v>
      </c>
      <c r="W1987" t="str">
        <f t="shared" si="32"/>
        <v>SA_New_202411</v>
      </c>
      <c r="X1987" s="2" t="s">
        <v>1615</v>
      </c>
    </row>
    <row r="1988" spans="1:24" hidden="1" x14ac:dyDescent="0.35">
      <c r="A1988">
        <v>60</v>
      </c>
      <c r="B1988" t="s">
        <v>1092</v>
      </c>
      <c r="C1988" s="1">
        <v>45602</v>
      </c>
      <c r="D1988" t="s">
        <v>2290</v>
      </c>
      <c r="F1988" t="s">
        <v>1991</v>
      </c>
      <c r="G1988" t="s">
        <v>20</v>
      </c>
      <c r="H1988" t="s">
        <v>2291</v>
      </c>
      <c r="I1988" t="s">
        <v>1993</v>
      </c>
      <c r="S1988" t="s">
        <v>1092</v>
      </c>
      <c r="T1988" s="6" t="s">
        <v>945</v>
      </c>
      <c r="U1988" s="6" t="s">
        <v>927</v>
      </c>
      <c r="V1988" s="2" t="s">
        <v>956</v>
      </c>
      <c r="W1988" t="str">
        <f t="shared" si="32"/>
        <v>SA_New_202411</v>
      </c>
      <c r="X1988" s="2" t="s">
        <v>1615</v>
      </c>
    </row>
    <row r="1989" spans="1:24" hidden="1" x14ac:dyDescent="0.35">
      <c r="A1989">
        <v>61</v>
      </c>
      <c r="B1989" t="s">
        <v>1092</v>
      </c>
      <c r="C1989" s="1">
        <v>45644</v>
      </c>
      <c r="D1989" t="s">
        <v>3285</v>
      </c>
      <c r="F1989" t="s">
        <v>3286</v>
      </c>
      <c r="G1989" t="s">
        <v>20</v>
      </c>
      <c r="H1989" t="s">
        <v>3287</v>
      </c>
      <c r="I1989" t="s">
        <v>3288</v>
      </c>
      <c r="S1989" t="s">
        <v>1092</v>
      </c>
      <c r="T1989" s="6" t="s">
        <v>949</v>
      </c>
      <c r="U1989" s="6" t="s">
        <v>930</v>
      </c>
      <c r="V1989" s="2" t="s">
        <v>956</v>
      </c>
      <c r="W1989" t="str">
        <f t="shared" si="32"/>
        <v>SA_New_202412</v>
      </c>
      <c r="X1989" s="2" t="s">
        <v>1615</v>
      </c>
    </row>
    <row r="1990" spans="1:24" hidden="1" x14ac:dyDescent="0.35">
      <c r="A1990">
        <v>115</v>
      </c>
      <c r="B1990" t="s">
        <v>1092</v>
      </c>
      <c r="C1990" s="1">
        <v>45572</v>
      </c>
      <c r="D1990" t="s">
        <v>3344</v>
      </c>
      <c r="F1990" t="s">
        <v>1991</v>
      </c>
      <c r="G1990" t="s">
        <v>1753</v>
      </c>
      <c r="H1990" t="s">
        <v>3377</v>
      </c>
      <c r="I1990" t="s">
        <v>1993</v>
      </c>
      <c r="S1990" t="s">
        <v>1092</v>
      </c>
      <c r="T1990" s="6" t="s">
        <v>948</v>
      </c>
      <c r="U1990" s="6" t="s">
        <v>936</v>
      </c>
      <c r="V1990" s="2" t="s">
        <v>956</v>
      </c>
      <c r="W1990" t="str">
        <f t="shared" si="32"/>
        <v>SA_New_202410</v>
      </c>
      <c r="X1990" s="2" t="s">
        <v>1616</v>
      </c>
    </row>
    <row r="1991" spans="1:24" hidden="1" x14ac:dyDescent="0.35">
      <c r="A1991">
        <v>116</v>
      </c>
      <c r="B1991" t="s">
        <v>1092</v>
      </c>
      <c r="C1991" s="1">
        <v>45572</v>
      </c>
      <c r="D1991" t="s">
        <v>3345</v>
      </c>
      <c r="F1991" t="s">
        <v>1974</v>
      </c>
      <c r="G1991" t="s">
        <v>1606</v>
      </c>
      <c r="H1991" t="s">
        <v>3378</v>
      </c>
      <c r="I1991" t="s">
        <v>1993</v>
      </c>
      <c r="S1991" t="s">
        <v>1092</v>
      </c>
      <c r="T1991" s="6" t="s">
        <v>948</v>
      </c>
      <c r="U1991" s="6" t="s">
        <v>936</v>
      </c>
      <c r="V1991" s="2" t="s">
        <v>956</v>
      </c>
      <c r="W1991" t="str">
        <f t="shared" si="32"/>
        <v>SA_New_202410</v>
      </c>
      <c r="X1991" s="2" t="s">
        <v>1616</v>
      </c>
    </row>
    <row r="1992" spans="1:24" hidden="1" x14ac:dyDescent="0.35">
      <c r="A1992">
        <v>117</v>
      </c>
      <c r="B1992" t="s">
        <v>1092</v>
      </c>
      <c r="C1992" s="1">
        <v>45579</v>
      </c>
      <c r="D1992" t="s">
        <v>3346</v>
      </c>
      <c r="F1992" t="s">
        <v>1981</v>
      </c>
      <c r="G1992" t="s">
        <v>1606</v>
      </c>
      <c r="H1992" t="s">
        <v>3379</v>
      </c>
      <c r="I1992" t="s">
        <v>1993</v>
      </c>
      <c r="S1992" t="s">
        <v>1092</v>
      </c>
      <c r="T1992" s="6" t="s">
        <v>948</v>
      </c>
      <c r="U1992" s="6" t="s">
        <v>951</v>
      </c>
      <c r="V1992" s="2" t="s">
        <v>956</v>
      </c>
      <c r="W1992" t="str">
        <f t="shared" si="32"/>
        <v>SA_New_202410</v>
      </c>
      <c r="X1992" s="2" t="s">
        <v>1616</v>
      </c>
    </row>
    <row r="1993" spans="1:24" hidden="1" x14ac:dyDescent="0.35">
      <c r="A1993">
        <v>118</v>
      </c>
      <c r="B1993" t="s">
        <v>1092</v>
      </c>
      <c r="C1993" s="1">
        <v>45579</v>
      </c>
      <c r="D1993" t="s">
        <v>3347</v>
      </c>
      <c r="F1993" t="s">
        <v>1981</v>
      </c>
      <c r="G1993" t="s">
        <v>1606</v>
      </c>
      <c r="H1993" t="s">
        <v>3380</v>
      </c>
      <c r="I1993" t="s">
        <v>1993</v>
      </c>
      <c r="S1993" t="s">
        <v>1092</v>
      </c>
      <c r="T1993" s="6" t="s">
        <v>948</v>
      </c>
      <c r="U1993" s="6" t="s">
        <v>951</v>
      </c>
      <c r="V1993" s="2" t="s">
        <v>956</v>
      </c>
      <c r="W1993" t="str">
        <f t="shared" si="32"/>
        <v>SA_New_202410</v>
      </c>
      <c r="X1993" s="2" t="s">
        <v>1616</v>
      </c>
    </row>
    <row r="1994" spans="1:24" hidden="1" x14ac:dyDescent="0.35">
      <c r="A1994">
        <v>119</v>
      </c>
      <c r="B1994" t="s">
        <v>1092</v>
      </c>
      <c r="C1994" s="1">
        <v>45579</v>
      </c>
      <c r="D1994" t="s">
        <v>3348</v>
      </c>
      <c r="F1994" t="s">
        <v>1991</v>
      </c>
      <c r="G1994" t="s">
        <v>1606</v>
      </c>
      <c r="H1994" t="s">
        <v>3381</v>
      </c>
      <c r="I1994" t="s">
        <v>1993</v>
      </c>
      <c r="S1994" t="s">
        <v>1092</v>
      </c>
      <c r="T1994" s="6" t="s">
        <v>948</v>
      </c>
      <c r="U1994" s="6" t="s">
        <v>951</v>
      </c>
      <c r="V1994" s="2" t="s">
        <v>956</v>
      </c>
      <c r="W1994" t="str">
        <f t="shared" si="32"/>
        <v>SA_New_202410</v>
      </c>
      <c r="X1994" s="2" t="s">
        <v>1616</v>
      </c>
    </row>
    <row r="1995" spans="1:24" hidden="1" x14ac:dyDescent="0.35">
      <c r="A1995">
        <v>120</v>
      </c>
      <c r="B1995" t="s">
        <v>1092</v>
      </c>
      <c r="C1995" s="1">
        <v>45581</v>
      </c>
      <c r="D1995" t="s">
        <v>2204</v>
      </c>
      <c r="F1995" t="s">
        <v>1991</v>
      </c>
      <c r="G1995" t="s">
        <v>1603</v>
      </c>
      <c r="H1995" t="s">
        <v>3382</v>
      </c>
      <c r="I1995" t="s">
        <v>1976</v>
      </c>
      <c r="S1995" t="s">
        <v>1092</v>
      </c>
      <c r="T1995" s="6" t="s">
        <v>948</v>
      </c>
      <c r="U1995" s="6" t="s">
        <v>928</v>
      </c>
      <c r="V1995" s="2" t="s">
        <v>956</v>
      </c>
      <c r="W1995" t="str">
        <f t="shared" si="32"/>
        <v>SA_New_202410</v>
      </c>
      <c r="X1995" s="2" t="s">
        <v>1616</v>
      </c>
    </row>
    <row r="1996" spans="1:24" hidden="1" x14ac:dyDescent="0.35">
      <c r="A1996">
        <v>121</v>
      </c>
      <c r="B1996" t="s">
        <v>1092</v>
      </c>
      <c r="C1996" s="1">
        <v>45581</v>
      </c>
      <c r="D1996" t="s">
        <v>3349</v>
      </c>
      <c r="F1996" t="s">
        <v>1978</v>
      </c>
      <c r="G1996" t="s">
        <v>1606</v>
      </c>
      <c r="H1996" t="s">
        <v>3383</v>
      </c>
      <c r="I1996" t="s">
        <v>1989</v>
      </c>
      <c r="S1996" t="s">
        <v>1092</v>
      </c>
      <c r="T1996" s="6" t="s">
        <v>948</v>
      </c>
      <c r="U1996" s="6" t="s">
        <v>928</v>
      </c>
      <c r="V1996" s="2" t="s">
        <v>956</v>
      </c>
      <c r="W1996" t="str">
        <f t="shared" si="32"/>
        <v>SA_New_202410</v>
      </c>
      <c r="X1996" s="2" t="s">
        <v>1616</v>
      </c>
    </row>
    <row r="1997" spans="1:24" hidden="1" x14ac:dyDescent="0.35">
      <c r="A1997">
        <v>122</v>
      </c>
      <c r="B1997" t="s">
        <v>1092</v>
      </c>
      <c r="C1997" s="1">
        <v>45581</v>
      </c>
      <c r="D1997" t="s">
        <v>3350</v>
      </c>
      <c r="F1997" t="s">
        <v>1981</v>
      </c>
      <c r="G1997" t="s">
        <v>1606</v>
      </c>
      <c r="H1997" t="s">
        <v>3384</v>
      </c>
      <c r="I1997" t="s">
        <v>1993</v>
      </c>
      <c r="S1997" t="s">
        <v>1092</v>
      </c>
      <c r="T1997" s="6" t="s">
        <v>948</v>
      </c>
      <c r="U1997" s="6" t="s">
        <v>928</v>
      </c>
      <c r="V1997" s="2" t="s">
        <v>956</v>
      </c>
      <c r="W1997" t="str">
        <f t="shared" si="32"/>
        <v>SA_New_202410</v>
      </c>
      <c r="X1997" s="2" t="s">
        <v>1616</v>
      </c>
    </row>
    <row r="1998" spans="1:24" hidden="1" x14ac:dyDescent="0.35">
      <c r="A1998">
        <v>123</v>
      </c>
      <c r="B1998" t="s">
        <v>1092</v>
      </c>
      <c r="C1998" s="1">
        <v>45586</v>
      </c>
      <c r="D1998" t="s">
        <v>3351</v>
      </c>
      <c r="F1998" t="s">
        <v>1974</v>
      </c>
      <c r="G1998" t="s">
        <v>1606</v>
      </c>
      <c r="H1998" t="s">
        <v>3385</v>
      </c>
      <c r="I1998" t="s">
        <v>1976</v>
      </c>
      <c r="S1998" t="s">
        <v>1092</v>
      </c>
      <c r="T1998" s="6" t="s">
        <v>948</v>
      </c>
      <c r="U1998" s="6" t="s">
        <v>944</v>
      </c>
      <c r="V1998" s="2" t="s">
        <v>956</v>
      </c>
      <c r="W1998" t="str">
        <f t="shared" si="32"/>
        <v>SA_New_202410</v>
      </c>
      <c r="X1998" s="2" t="s">
        <v>1616</v>
      </c>
    </row>
    <row r="1999" spans="1:24" hidden="1" x14ac:dyDescent="0.35">
      <c r="A1999">
        <v>124</v>
      </c>
      <c r="B1999" t="s">
        <v>1092</v>
      </c>
      <c r="C1999" s="1">
        <v>45586</v>
      </c>
      <c r="D1999" t="s">
        <v>3352</v>
      </c>
      <c r="F1999" t="s">
        <v>1981</v>
      </c>
      <c r="G1999" t="s">
        <v>1603</v>
      </c>
      <c r="H1999" t="s">
        <v>3386</v>
      </c>
      <c r="I1999" t="s">
        <v>1983</v>
      </c>
      <c r="S1999" t="s">
        <v>1092</v>
      </c>
      <c r="T1999" s="6" t="s">
        <v>948</v>
      </c>
      <c r="U1999" s="6" t="s">
        <v>944</v>
      </c>
      <c r="V1999" s="2" t="s">
        <v>956</v>
      </c>
      <c r="W1999" t="str">
        <f t="shared" si="32"/>
        <v>SA_New_202410</v>
      </c>
      <c r="X1999" s="2" t="s">
        <v>1616</v>
      </c>
    </row>
    <row r="2000" spans="1:24" hidden="1" x14ac:dyDescent="0.35">
      <c r="A2000">
        <v>125</v>
      </c>
      <c r="B2000" t="s">
        <v>1092</v>
      </c>
      <c r="C2000" s="1">
        <v>45590</v>
      </c>
      <c r="D2000" t="s">
        <v>3353</v>
      </c>
      <c r="F2000" t="s">
        <v>1974</v>
      </c>
      <c r="G2000" t="s">
        <v>1606</v>
      </c>
      <c r="H2000" t="s">
        <v>3387</v>
      </c>
      <c r="I2000" t="s">
        <v>1976</v>
      </c>
      <c r="S2000" t="s">
        <v>1092</v>
      </c>
      <c r="T2000" s="6" t="s">
        <v>948</v>
      </c>
      <c r="U2000" s="6" t="s">
        <v>922</v>
      </c>
      <c r="V2000" s="2" t="s">
        <v>956</v>
      </c>
      <c r="W2000" t="str">
        <f t="shared" si="32"/>
        <v>SA_New_202410</v>
      </c>
      <c r="X2000" s="2" t="s">
        <v>1616</v>
      </c>
    </row>
    <row r="2001" spans="1:24" hidden="1" x14ac:dyDescent="0.35">
      <c r="A2001">
        <v>126</v>
      </c>
      <c r="B2001" t="s">
        <v>1092</v>
      </c>
      <c r="C2001" s="1">
        <v>45590</v>
      </c>
      <c r="D2001" t="s">
        <v>3354</v>
      </c>
      <c r="F2001" t="s">
        <v>1981</v>
      </c>
      <c r="G2001" t="s">
        <v>1606</v>
      </c>
      <c r="H2001" t="s">
        <v>3388</v>
      </c>
      <c r="I2001" t="s">
        <v>1983</v>
      </c>
      <c r="S2001" t="s">
        <v>1092</v>
      </c>
      <c r="T2001" s="6" t="s">
        <v>948</v>
      </c>
      <c r="U2001" s="6" t="s">
        <v>922</v>
      </c>
      <c r="V2001" s="2" t="s">
        <v>956</v>
      </c>
      <c r="W2001" t="str">
        <f t="shared" si="32"/>
        <v>SA_New_202410</v>
      </c>
      <c r="X2001" s="2" t="s">
        <v>1616</v>
      </c>
    </row>
    <row r="2002" spans="1:24" hidden="1" x14ac:dyDescent="0.35">
      <c r="A2002">
        <v>127</v>
      </c>
      <c r="B2002" t="s">
        <v>1092</v>
      </c>
      <c r="C2002" s="1">
        <v>45593</v>
      </c>
      <c r="D2002" t="s">
        <v>3355</v>
      </c>
      <c r="F2002" t="s">
        <v>1991</v>
      </c>
      <c r="G2002" t="s">
        <v>1606</v>
      </c>
      <c r="H2002" t="s">
        <v>3389</v>
      </c>
      <c r="I2002" t="s">
        <v>1989</v>
      </c>
      <c r="S2002" t="s">
        <v>1092</v>
      </c>
      <c r="T2002" s="6" t="s">
        <v>948</v>
      </c>
      <c r="U2002" s="6" t="s">
        <v>926</v>
      </c>
      <c r="V2002" s="2" t="s">
        <v>956</v>
      </c>
      <c r="W2002" t="str">
        <f t="shared" si="32"/>
        <v>SA_New_202410</v>
      </c>
      <c r="X2002" s="2" t="s">
        <v>1616</v>
      </c>
    </row>
    <row r="2003" spans="1:24" hidden="1" x14ac:dyDescent="0.35">
      <c r="A2003">
        <v>128</v>
      </c>
      <c r="B2003" t="s">
        <v>1092</v>
      </c>
      <c r="C2003" s="1">
        <v>45594</v>
      </c>
      <c r="D2003" t="s">
        <v>3356</v>
      </c>
      <c r="F2003" t="s">
        <v>1991</v>
      </c>
      <c r="G2003" t="s">
        <v>1606</v>
      </c>
      <c r="H2003" t="s">
        <v>3390</v>
      </c>
      <c r="I2003" t="s">
        <v>1993</v>
      </c>
      <c r="S2003" t="s">
        <v>1092</v>
      </c>
      <c r="T2003" s="6" t="s">
        <v>948</v>
      </c>
      <c r="U2003" s="6" t="s">
        <v>937</v>
      </c>
      <c r="V2003" s="2" t="s">
        <v>956</v>
      </c>
      <c r="W2003" t="str">
        <f t="shared" si="32"/>
        <v>SA_New_202410</v>
      </c>
      <c r="X2003" s="2" t="s">
        <v>1616</v>
      </c>
    </row>
    <row r="2004" spans="1:24" hidden="1" x14ac:dyDescent="0.35">
      <c r="A2004">
        <v>129</v>
      </c>
      <c r="B2004" t="s">
        <v>1092</v>
      </c>
      <c r="C2004" s="1">
        <v>45597</v>
      </c>
      <c r="D2004" t="s">
        <v>3357</v>
      </c>
      <c r="F2004" t="s">
        <v>1981</v>
      </c>
      <c r="G2004" t="s">
        <v>3391</v>
      </c>
      <c r="H2004" t="s">
        <v>3392</v>
      </c>
      <c r="I2004" t="s">
        <v>1993</v>
      </c>
      <c r="S2004" t="s">
        <v>1092</v>
      </c>
      <c r="T2004" s="6" t="s">
        <v>945</v>
      </c>
      <c r="U2004" s="6" t="s">
        <v>953</v>
      </c>
      <c r="V2004" s="2" t="s">
        <v>956</v>
      </c>
      <c r="W2004" t="str">
        <f t="shared" si="32"/>
        <v>SA_New_202411</v>
      </c>
      <c r="X2004" s="2" t="s">
        <v>1616</v>
      </c>
    </row>
    <row r="2005" spans="1:24" hidden="1" x14ac:dyDescent="0.35">
      <c r="A2005">
        <v>130</v>
      </c>
      <c r="B2005" t="s">
        <v>1092</v>
      </c>
      <c r="C2005" s="1">
        <v>45597</v>
      </c>
      <c r="D2005" t="s">
        <v>3358</v>
      </c>
      <c r="F2005" t="s">
        <v>1981</v>
      </c>
      <c r="G2005" t="s">
        <v>3391</v>
      </c>
      <c r="H2005" t="s">
        <v>3393</v>
      </c>
      <c r="I2005" t="s">
        <v>1983</v>
      </c>
      <c r="S2005" t="s">
        <v>1092</v>
      </c>
      <c r="T2005" s="6" t="s">
        <v>945</v>
      </c>
      <c r="U2005" s="6" t="s">
        <v>953</v>
      </c>
      <c r="V2005" s="2" t="s">
        <v>956</v>
      </c>
      <c r="W2005" t="str">
        <f t="shared" si="32"/>
        <v>SA_New_202411</v>
      </c>
      <c r="X2005" s="2" t="s">
        <v>1616</v>
      </c>
    </row>
    <row r="2006" spans="1:24" hidden="1" x14ac:dyDescent="0.35">
      <c r="A2006">
        <v>131</v>
      </c>
      <c r="B2006" t="s">
        <v>1092</v>
      </c>
      <c r="C2006" s="1">
        <v>45609</v>
      </c>
      <c r="D2006" t="s">
        <v>3359</v>
      </c>
      <c r="F2006" t="s">
        <v>1974</v>
      </c>
      <c r="G2006" t="s">
        <v>3391</v>
      </c>
      <c r="H2006" t="s">
        <v>3394</v>
      </c>
      <c r="I2006" t="s">
        <v>1976</v>
      </c>
      <c r="S2006" t="s">
        <v>1092</v>
      </c>
      <c r="T2006" s="6" t="s">
        <v>945</v>
      </c>
      <c r="U2006" s="6" t="s">
        <v>950</v>
      </c>
      <c r="V2006" s="2" t="s">
        <v>956</v>
      </c>
      <c r="W2006" t="str">
        <f t="shared" si="32"/>
        <v>SA_New_202411</v>
      </c>
      <c r="X2006" s="2" t="s">
        <v>1616</v>
      </c>
    </row>
    <row r="2007" spans="1:24" hidden="1" x14ac:dyDescent="0.35">
      <c r="A2007">
        <v>132</v>
      </c>
      <c r="B2007" t="s">
        <v>1092</v>
      </c>
      <c r="C2007" s="1">
        <v>45609</v>
      </c>
      <c r="D2007" t="s">
        <v>3360</v>
      </c>
      <c r="F2007" t="s">
        <v>1991</v>
      </c>
      <c r="G2007" t="s">
        <v>3391</v>
      </c>
      <c r="H2007" t="s">
        <v>3395</v>
      </c>
      <c r="I2007" t="s">
        <v>1993</v>
      </c>
      <c r="S2007" t="s">
        <v>1092</v>
      </c>
      <c r="T2007" s="6" t="s">
        <v>945</v>
      </c>
      <c r="U2007" s="6" t="s">
        <v>950</v>
      </c>
      <c r="V2007" s="2" t="s">
        <v>956</v>
      </c>
      <c r="W2007" t="str">
        <f t="shared" si="32"/>
        <v>SA_New_202411</v>
      </c>
      <c r="X2007" s="2" t="s">
        <v>1616</v>
      </c>
    </row>
    <row r="2008" spans="1:24" hidden="1" x14ac:dyDescent="0.35">
      <c r="A2008">
        <v>133</v>
      </c>
      <c r="B2008" t="s">
        <v>1092</v>
      </c>
      <c r="C2008" s="1">
        <v>45609</v>
      </c>
      <c r="D2008" t="s">
        <v>3361</v>
      </c>
      <c r="F2008" t="s">
        <v>1974</v>
      </c>
      <c r="G2008" t="s">
        <v>3391</v>
      </c>
      <c r="H2008" t="s">
        <v>3396</v>
      </c>
      <c r="I2008" t="s">
        <v>1983</v>
      </c>
      <c r="S2008" t="s">
        <v>1092</v>
      </c>
      <c r="T2008" s="6" t="s">
        <v>945</v>
      </c>
      <c r="U2008" s="6" t="s">
        <v>950</v>
      </c>
      <c r="V2008" s="2" t="s">
        <v>956</v>
      </c>
      <c r="W2008" t="str">
        <f t="shared" si="32"/>
        <v>SA_New_202411</v>
      </c>
      <c r="X2008" s="2" t="s">
        <v>1616</v>
      </c>
    </row>
    <row r="2009" spans="1:24" hidden="1" x14ac:dyDescent="0.35">
      <c r="A2009">
        <v>134</v>
      </c>
      <c r="B2009" t="s">
        <v>1092</v>
      </c>
      <c r="C2009" s="1">
        <v>45609</v>
      </c>
      <c r="D2009" t="s">
        <v>3362</v>
      </c>
      <c r="F2009" t="s">
        <v>1974</v>
      </c>
      <c r="G2009" t="s">
        <v>3391</v>
      </c>
      <c r="H2009" t="s">
        <v>3397</v>
      </c>
      <c r="I2009" t="s">
        <v>1976</v>
      </c>
      <c r="S2009" t="s">
        <v>1092</v>
      </c>
      <c r="T2009" s="6" t="s">
        <v>945</v>
      </c>
      <c r="U2009" s="6" t="s">
        <v>950</v>
      </c>
      <c r="V2009" s="2" t="s">
        <v>956</v>
      </c>
      <c r="W2009" t="str">
        <f t="shared" si="32"/>
        <v>SA_New_202411</v>
      </c>
      <c r="X2009" s="2" t="s">
        <v>1616</v>
      </c>
    </row>
    <row r="2010" spans="1:24" hidden="1" x14ac:dyDescent="0.35">
      <c r="A2010">
        <v>135</v>
      </c>
      <c r="B2010" t="s">
        <v>1092</v>
      </c>
      <c r="C2010" s="1">
        <v>45611</v>
      </c>
      <c r="D2010" t="s">
        <v>3363</v>
      </c>
      <c r="F2010" t="s">
        <v>1974</v>
      </c>
      <c r="G2010" t="s">
        <v>3391</v>
      </c>
      <c r="H2010" t="s">
        <v>3398</v>
      </c>
      <c r="I2010" t="s">
        <v>1976</v>
      </c>
      <c r="S2010" t="s">
        <v>1092</v>
      </c>
      <c r="T2010" s="6" t="s">
        <v>945</v>
      </c>
      <c r="U2010" s="6" t="s">
        <v>943</v>
      </c>
      <c r="V2010" s="2" t="s">
        <v>956</v>
      </c>
      <c r="W2010" t="str">
        <f t="shared" si="32"/>
        <v>SA_New_202411</v>
      </c>
      <c r="X2010" s="2" t="s">
        <v>1616</v>
      </c>
    </row>
    <row r="2011" spans="1:24" hidden="1" x14ac:dyDescent="0.35">
      <c r="A2011">
        <v>136</v>
      </c>
      <c r="B2011" t="s">
        <v>1092</v>
      </c>
      <c r="C2011" s="1">
        <v>45611</v>
      </c>
      <c r="D2011" t="s">
        <v>3364</v>
      </c>
      <c r="F2011" t="s">
        <v>1981</v>
      </c>
      <c r="G2011" t="s">
        <v>3391</v>
      </c>
      <c r="H2011" t="s">
        <v>3399</v>
      </c>
      <c r="I2011" t="s">
        <v>1976</v>
      </c>
      <c r="S2011" t="s">
        <v>1092</v>
      </c>
      <c r="T2011" s="6" t="s">
        <v>945</v>
      </c>
      <c r="U2011" s="6" t="s">
        <v>943</v>
      </c>
      <c r="V2011" s="2" t="s">
        <v>956</v>
      </c>
      <c r="W2011" t="str">
        <f t="shared" si="32"/>
        <v>SA_New_202411</v>
      </c>
      <c r="X2011" s="2" t="s">
        <v>1616</v>
      </c>
    </row>
    <row r="2012" spans="1:24" hidden="1" x14ac:dyDescent="0.35">
      <c r="A2012">
        <v>137</v>
      </c>
      <c r="B2012" t="s">
        <v>1092</v>
      </c>
      <c r="C2012" s="1">
        <v>45611</v>
      </c>
      <c r="D2012" t="s">
        <v>3365</v>
      </c>
      <c r="F2012" t="s">
        <v>1974</v>
      </c>
      <c r="G2012" t="s">
        <v>3391</v>
      </c>
      <c r="H2012" t="s">
        <v>3400</v>
      </c>
      <c r="I2012" t="s">
        <v>1989</v>
      </c>
      <c r="S2012" t="s">
        <v>1092</v>
      </c>
      <c r="T2012" s="6" t="s">
        <v>945</v>
      </c>
      <c r="U2012" s="6" t="s">
        <v>943</v>
      </c>
      <c r="V2012" s="2" t="s">
        <v>956</v>
      </c>
      <c r="W2012" t="str">
        <f t="shared" si="32"/>
        <v>SA_New_202411</v>
      </c>
      <c r="X2012" s="2" t="s">
        <v>1616</v>
      </c>
    </row>
    <row r="2013" spans="1:24" hidden="1" x14ac:dyDescent="0.35">
      <c r="A2013">
        <v>138</v>
      </c>
      <c r="B2013" t="s">
        <v>1092</v>
      </c>
      <c r="C2013" s="1">
        <v>45623</v>
      </c>
      <c r="D2013" t="s">
        <v>3366</v>
      </c>
      <c r="F2013" t="s">
        <v>1974</v>
      </c>
      <c r="G2013" t="s">
        <v>3391</v>
      </c>
      <c r="H2013" t="s">
        <v>3401</v>
      </c>
      <c r="I2013" t="s">
        <v>1983</v>
      </c>
      <c r="S2013" t="s">
        <v>1092</v>
      </c>
      <c r="T2013" s="6" t="s">
        <v>945</v>
      </c>
      <c r="U2013" s="6" t="s">
        <v>925</v>
      </c>
      <c r="V2013" s="2" t="s">
        <v>956</v>
      </c>
      <c r="W2013" t="str">
        <f t="shared" si="32"/>
        <v>SA_New_202411</v>
      </c>
      <c r="X2013" s="2" t="s">
        <v>1616</v>
      </c>
    </row>
    <row r="2014" spans="1:24" hidden="1" x14ac:dyDescent="0.35">
      <c r="A2014">
        <v>139</v>
      </c>
      <c r="B2014" t="s">
        <v>1092</v>
      </c>
      <c r="C2014" s="1">
        <v>45623</v>
      </c>
      <c r="D2014" t="s">
        <v>3367</v>
      </c>
      <c r="F2014" t="s">
        <v>1974</v>
      </c>
      <c r="G2014" t="s">
        <v>3391</v>
      </c>
      <c r="H2014" t="s">
        <v>3402</v>
      </c>
      <c r="I2014" t="s">
        <v>1989</v>
      </c>
      <c r="S2014" t="s">
        <v>1092</v>
      </c>
      <c r="T2014" s="6" t="s">
        <v>945</v>
      </c>
      <c r="U2014" s="6" t="s">
        <v>925</v>
      </c>
      <c r="V2014" s="2" t="s">
        <v>956</v>
      </c>
      <c r="W2014" t="str">
        <f t="shared" si="32"/>
        <v>SA_New_202411</v>
      </c>
      <c r="X2014" s="2" t="s">
        <v>1616</v>
      </c>
    </row>
    <row r="2015" spans="1:24" hidden="1" x14ac:dyDescent="0.35">
      <c r="A2015">
        <v>140</v>
      </c>
      <c r="B2015" t="s">
        <v>1092</v>
      </c>
      <c r="C2015" s="1">
        <v>45623</v>
      </c>
      <c r="D2015" t="s">
        <v>3368</v>
      </c>
      <c r="F2015" t="s">
        <v>1985</v>
      </c>
      <c r="G2015" t="s">
        <v>3391</v>
      </c>
      <c r="H2015" t="s">
        <v>3403</v>
      </c>
      <c r="I2015" t="s">
        <v>1993</v>
      </c>
      <c r="S2015" t="s">
        <v>1092</v>
      </c>
      <c r="T2015" s="6" t="s">
        <v>945</v>
      </c>
      <c r="U2015" s="6" t="s">
        <v>925</v>
      </c>
      <c r="V2015" s="2" t="s">
        <v>956</v>
      </c>
      <c r="W2015" t="str">
        <f t="shared" si="32"/>
        <v>SA_New_202411</v>
      </c>
      <c r="X2015" s="2" t="s">
        <v>1616</v>
      </c>
    </row>
    <row r="2016" spans="1:24" hidden="1" x14ac:dyDescent="0.35">
      <c r="A2016">
        <v>141</v>
      </c>
      <c r="B2016" t="s">
        <v>1092</v>
      </c>
      <c r="C2016" s="1">
        <v>45623</v>
      </c>
      <c r="D2016" t="s">
        <v>3369</v>
      </c>
      <c r="F2016" t="s">
        <v>2079</v>
      </c>
      <c r="G2016" t="s">
        <v>3391</v>
      </c>
      <c r="H2016" t="s">
        <v>3404</v>
      </c>
      <c r="I2016" t="s">
        <v>1983</v>
      </c>
      <c r="S2016" t="s">
        <v>1092</v>
      </c>
      <c r="T2016" s="6" t="s">
        <v>945</v>
      </c>
      <c r="U2016" s="6" t="s">
        <v>925</v>
      </c>
      <c r="V2016" s="2" t="s">
        <v>956</v>
      </c>
      <c r="W2016" t="str">
        <f t="shared" si="32"/>
        <v>SA_New_202411</v>
      </c>
      <c r="X2016" s="2" t="s">
        <v>1616</v>
      </c>
    </row>
    <row r="2017" spans="1:24" hidden="1" x14ac:dyDescent="0.35">
      <c r="A2017">
        <v>142</v>
      </c>
      <c r="B2017" t="s">
        <v>1092</v>
      </c>
      <c r="C2017" s="1">
        <v>45623</v>
      </c>
      <c r="D2017" t="s">
        <v>3370</v>
      </c>
      <c r="F2017" t="s">
        <v>2079</v>
      </c>
      <c r="G2017" t="s">
        <v>3391</v>
      </c>
      <c r="H2017" t="s">
        <v>3405</v>
      </c>
      <c r="I2017" t="s">
        <v>1989</v>
      </c>
      <c r="S2017" t="s">
        <v>1092</v>
      </c>
      <c r="T2017" s="6" t="s">
        <v>945</v>
      </c>
      <c r="U2017" s="6" t="s">
        <v>925</v>
      </c>
      <c r="V2017" s="2" t="s">
        <v>956</v>
      </c>
      <c r="W2017" t="str">
        <f t="shared" si="32"/>
        <v>SA_New_202411</v>
      </c>
      <c r="X2017" s="2" t="s">
        <v>1616</v>
      </c>
    </row>
    <row r="2018" spans="1:24" hidden="1" x14ac:dyDescent="0.35">
      <c r="A2018">
        <v>143</v>
      </c>
      <c r="B2018" t="s">
        <v>1092</v>
      </c>
      <c r="C2018" s="1">
        <v>45630</v>
      </c>
      <c r="D2018" t="s">
        <v>3371</v>
      </c>
      <c r="F2018" t="s">
        <v>1981</v>
      </c>
      <c r="G2018" t="s">
        <v>3391</v>
      </c>
      <c r="H2018" t="s">
        <v>3406</v>
      </c>
      <c r="I2018" t="s">
        <v>1993</v>
      </c>
      <c r="S2018" t="s">
        <v>1092</v>
      </c>
      <c r="T2018" s="6" t="s">
        <v>949</v>
      </c>
      <c r="U2018" s="6" t="s">
        <v>946</v>
      </c>
      <c r="V2018" s="2" t="s">
        <v>956</v>
      </c>
      <c r="W2018" t="str">
        <f t="shared" si="32"/>
        <v>SA_New_202412</v>
      </c>
      <c r="X2018" s="2" t="s">
        <v>1616</v>
      </c>
    </row>
    <row r="2019" spans="1:24" hidden="1" x14ac:dyDescent="0.35">
      <c r="A2019">
        <v>144</v>
      </c>
      <c r="B2019" t="s">
        <v>1092</v>
      </c>
      <c r="C2019" s="1">
        <v>45630</v>
      </c>
      <c r="D2019" t="s">
        <v>3372</v>
      </c>
      <c r="F2019" t="s">
        <v>1978</v>
      </c>
      <c r="G2019" t="s">
        <v>3391</v>
      </c>
      <c r="H2019" t="s">
        <v>3407</v>
      </c>
      <c r="I2019" t="s">
        <v>1983</v>
      </c>
      <c r="S2019" t="s">
        <v>1092</v>
      </c>
      <c r="T2019" s="6" t="s">
        <v>949</v>
      </c>
      <c r="U2019" s="6" t="s">
        <v>946</v>
      </c>
      <c r="V2019" s="2" t="s">
        <v>956</v>
      </c>
      <c r="W2019" t="str">
        <f t="shared" si="32"/>
        <v>SA_New_202412</v>
      </c>
      <c r="X2019" s="2" t="s">
        <v>1616</v>
      </c>
    </row>
    <row r="2020" spans="1:24" hidden="1" x14ac:dyDescent="0.35">
      <c r="A2020">
        <v>145</v>
      </c>
      <c r="B2020" t="s">
        <v>1092</v>
      </c>
      <c r="C2020" s="1">
        <v>45630</v>
      </c>
      <c r="D2020" t="s">
        <v>3373</v>
      </c>
      <c r="F2020" t="s">
        <v>1981</v>
      </c>
      <c r="G2020" t="s">
        <v>3391</v>
      </c>
      <c r="H2020" t="s">
        <v>3408</v>
      </c>
      <c r="I2020" t="s">
        <v>1993</v>
      </c>
      <c r="S2020" t="s">
        <v>1092</v>
      </c>
      <c r="T2020" s="6" t="s">
        <v>949</v>
      </c>
      <c r="U2020" s="6" t="s">
        <v>946</v>
      </c>
      <c r="V2020" s="2" t="s">
        <v>956</v>
      </c>
      <c r="W2020" t="str">
        <f t="shared" si="32"/>
        <v>SA_New_202412</v>
      </c>
      <c r="X2020" s="2" t="s">
        <v>1616</v>
      </c>
    </row>
    <row r="2021" spans="1:24" hidden="1" x14ac:dyDescent="0.35">
      <c r="A2021">
        <v>146</v>
      </c>
      <c r="B2021" t="s">
        <v>1092</v>
      </c>
      <c r="C2021" s="1">
        <v>45639</v>
      </c>
      <c r="D2021" t="s">
        <v>3374</v>
      </c>
      <c r="F2021" t="s">
        <v>1974</v>
      </c>
      <c r="G2021" t="s">
        <v>3391</v>
      </c>
      <c r="H2021" t="s">
        <v>3409</v>
      </c>
      <c r="I2021" t="s">
        <v>1993</v>
      </c>
      <c r="S2021" t="s">
        <v>1092</v>
      </c>
      <c r="T2021" s="6" t="s">
        <v>949</v>
      </c>
      <c r="U2021" s="6" t="s">
        <v>950</v>
      </c>
      <c r="V2021" s="2" t="s">
        <v>956</v>
      </c>
      <c r="W2021" t="str">
        <f t="shared" si="32"/>
        <v>SA_New_202412</v>
      </c>
      <c r="X2021" s="2" t="s">
        <v>1616</v>
      </c>
    </row>
    <row r="2022" spans="1:24" hidden="1" x14ac:dyDescent="0.35">
      <c r="A2022">
        <v>147</v>
      </c>
      <c r="B2022" t="s">
        <v>1092</v>
      </c>
      <c r="C2022" s="1">
        <v>45651</v>
      </c>
      <c r="D2022" t="s">
        <v>3375</v>
      </c>
      <c r="F2022" t="s">
        <v>1974</v>
      </c>
      <c r="G2022" t="s">
        <v>1606</v>
      </c>
      <c r="H2022" t="s">
        <v>3410</v>
      </c>
      <c r="I2022" t="s">
        <v>1993</v>
      </c>
      <c r="S2022" t="s">
        <v>1092</v>
      </c>
      <c r="T2022" s="6" t="s">
        <v>949</v>
      </c>
      <c r="U2022" s="6" t="s">
        <v>922</v>
      </c>
      <c r="V2022" s="2" t="s">
        <v>956</v>
      </c>
      <c r="W2022" t="str">
        <f t="shared" si="32"/>
        <v>SA_New_202412</v>
      </c>
      <c r="X2022" s="2" t="s">
        <v>1616</v>
      </c>
    </row>
    <row r="2023" spans="1:24" hidden="1" x14ac:dyDescent="0.35">
      <c r="A2023">
        <v>148</v>
      </c>
      <c r="B2023" t="s">
        <v>1092</v>
      </c>
      <c r="C2023" s="1">
        <v>45653</v>
      </c>
      <c r="D2023" t="s">
        <v>3376</v>
      </c>
      <c r="F2023" t="s">
        <v>1981</v>
      </c>
      <c r="G2023" t="s">
        <v>1606</v>
      </c>
      <c r="H2023" t="s">
        <v>3411</v>
      </c>
      <c r="I2023" t="s">
        <v>1976</v>
      </c>
      <c r="S2023" t="s">
        <v>1092</v>
      </c>
      <c r="T2023" s="6" t="s">
        <v>949</v>
      </c>
      <c r="U2023" s="6" t="s">
        <v>925</v>
      </c>
      <c r="V2023" s="2" t="s">
        <v>956</v>
      </c>
      <c r="W2023" t="str">
        <f t="shared" si="32"/>
        <v>SA_New_202412</v>
      </c>
      <c r="X2023" s="2" t="s">
        <v>1616</v>
      </c>
    </row>
    <row r="2024" spans="1:24" hidden="1" x14ac:dyDescent="0.35">
      <c r="A2024">
        <v>1</v>
      </c>
      <c r="B2024" t="s">
        <v>1092</v>
      </c>
      <c r="C2024" s="1">
        <v>45659</v>
      </c>
      <c r="D2024" t="s">
        <v>3421</v>
      </c>
      <c r="F2024" t="s">
        <v>1981</v>
      </c>
      <c r="G2024" t="s">
        <v>1753</v>
      </c>
      <c r="H2024" t="s">
        <v>3422</v>
      </c>
      <c r="I2024" t="s">
        <v>1993</v>
      </c>
      <c r="J2024">
        <f>1-25.5%</f>
        <v>0.745</v>
      </c>
      <c r="S2024" t="s">
        <v>1092</v>
      </c>
      <c r="T2024" s="5" t="s">
        <v>953</v>
      </c>
      <c r="U2024" s="5" t="s">
        <v>921</v>
      </c>
      <c r="V2024" t="s">
        <v>1650</v>
      </c>
      <c r="W2024" t="str">
        <f t="shared" si="32"/>
        <v>SA_New_20251</v>
      </c>
      <c r="X2024" t="s">
        <v>1616</v>
      </c>
    </row>
    <row r="2025" spans="1:24" hidden="1" x14ac:dyDescent="0.35">
      <c r="A2025">
        <v>2</v>
      </c>
      <c r="B2025" t="s">
        <v>1092</v>
      </c>
      <c r="C2025" s="1">
        <v>45670</v>
      </c>
      <c r="D2025" t="s">
        <v>3423</v>
      </c>
      <c r="F2025" t="s">
        <v>1978</v>
      </c>
      <c r="G2025" t="s">
        <v>1609</v>
      </c>
      <c r="H2025" t="s">
        <v>3424</v>
      </c>
      <c r="I2025" t="s">
        <v>1983</v>
      </c>
      <c r="J2025">
        <f>1-11.8%</f>
        <v>0.88200000000000001</v>
      </c>
      <c r="S2025" t="s">
        <v>1092</v>
      </c>
      <c r="T2025" s="5" t="s">
        <v>953</v>
      </c>
      <c r="U2025" s="5" t="s">
        <v>950</v>
      </c>
      <c r="V2025" t="s">
        <v>1650</v>
      </c>
      <c r="W2025" t="str">
        <f t="shared" si="32"/>
        <v>SA_New_20251</v>
      </c>
      <c r="X2025" t="s">
        <v>1616</v>
      </c>
    </row>
    <row r="2026" spans="1:24" hidden="1" x14ac:dyDescent="0.35">
      <c r="A2026">
        <v>1</v>
      </c>
      <c r="B2026" t="s">
        <v>1092</v>
      </c>
      <c r="C2026" s="1">
        <v>45674</v>
      </c>
      <c r="D2026" t="s">
        <v>3446</v>
      </c>
      <c r="F2026" t="s">
        <v>1985</v>
      </c>
      <c r="G2026" t="s">
        <v>20</v>
      </c>
      <c r="H2026" t="s">
        <v>3447</v>
      </c>
      <c r="I2026" t="s">
        <v>1993</v>
      </c>
      <c r="J2026">
        <v>0.73099999999999998</v>
      </c>
      <c r="S2026" t="s">
        <v>1092</v>
      </c>
      <c r="T2026" s="5" t="s">
        <v>953</v>
      </c>
      <c r="U2026" s="5" t="s">
        <v>929</v>
      </c>
      <c r="V2026" t="s">
        <v>1650</v>
      </c>
      <c r="W2026" t="str">
        <f t="shared" si="32"/>
        <v>SA_New_20251</v>
      </c>
      <c r="X2026" t="s">
        <v>1615</v>
      </c>
    </row>
    <row r="2027" spans="1:24" hidden="1" x14ac:dyDescent="0.35">
      <c r="A2027">
        <v>2</v>
      </c>
      <c r="B2027" t="s">
        <v>1092</v>
      </c>
      <c r="C2027" s="1">
        <v>45701</v>
      </c>
      <c r="D2027" t="s">
        <v>3448</v>
      </c>
      <c r="F2027" t="s">
        <v>1991</v>
      </c>
      <c r="G2027" t="s">
        <v>762</v>
      </c>
      <c r="H2027" t="s">
        <v>3449</v>
      </c>
      <c r="I2027" t="s">
        <v>3450</v>
      </c>
      <c r="J2027">
        <v>0.746</v>
      </c>
      <c r="S2027" t="s">
        <v>1092</v>
      </c>
      <c r="T2027" s="5" t="s">
        <v>921</v>
      </c>
      <c r="U2027" s="5" t="s">
        <v>950</v>
      </c>
      <c r="V2027" t="s">
        <v>1650</v>
      </c>
      <c r="W2027" t="str">
        <f t="shared" si="32"/>
        <v>SA_New_20252</v>
      </c>
      <c r="X2027" t="s">
        <v>1615</v>
      </c>
    </row>
    <row r="2028" spans="1:24" hidden="1" x14ac:dyDescent="0.35">
      <c r="A2028">
        <v>3</v>
      </c>
      <c r="B2028" t="s">
        <v>1092</v>
      </c>
      <c r="C2028" s="1">
        <v>45701</v>
      </c>
      <c r="D2028" t="s">
        <v>3451</v>
      </c>
      <c r="F2028" t="s">
        <v>1981</v>
      </c>
      <c r="G2028" t="s">
        <v>20</v>
      </c>
      <c r="H2028" t="s">
        <v>3452</v>
      </c>
      <c r="I2028" t="s">
        <v>3453</v>
      </c>
      <c r="J2028">
        <v>0.77</v>
      </c>
      <c r="S2028" t="s">
        <v>1092</v>
      </c>
      <c r="T2028" s="5" t="s">
        <v>921</v>
      </c>
      <c r="U2028" s="5" t="s">
        <v>950</v>
      </c>
      <c r="V2028" t="s">
        <v>1650</v>
      </c>
      <c r="W2028" t="str">
        <f t="shared" si="32"/>
        <v>SA_New_20252</v>
      </c>
      <c r="X2028" t="s">
        <v>1615</v>
      </c>
    </row>
    <row r="2029" spans="1:24" hidden="1" x14ac:dyDescent="0.35">
      <c r="A2029">
        <v>2</v>
      </c>
      <c r="B2029" t="s">
        <v>1092</v>
      </c>
      <c r="C2029" s="1">
        <v>45701</v>
      </c>
      <c r="D2029" t="s">
        <v>3448</v>
      </c>
      <c r="E2029" t="s">
        <v>1991</v>
      </c>
      <c r="F2029" t="s">
        <v>762</v>
      </c>
      <c r="G2029" t="s">
        <v>3449</v>
      </c>
      <c r="H2029" t="s">
        <v>3450</v>
      </c>
      <c r="J2029">
        <v>0.746</v>
      </c>
      <c r="S2029" t="s">
        <v>1092</v>
      </c>
      <c r="T2029" s="5" t="s">
        <v>921</v>
      </c>
      <c r="U2029" s="5" t="s">
        <v>950</v>
      </c>
      <c r="V2029" t="s">
        <v>1650</v>
      </c>
      <c r="W2029" t="str">
        <f t="shared" si="32"/>
        <v>SA_New_20252</v>
      </c>
      <c r="X2029" t="s">
        <v>1615</v>
      </c>
    </row>
    <row r="2030" spans="1:24" hidden="1" x14ac:dyDescent="0.35">
      <c r="A2030">
        <v>3</v>
      </c>
      <c r="B2030" t="s">
        <v>1092</v>
      </c>
      <c r="C2030" s="1">
        <v>45701</v>
      </c>
      <c r="D2030" t="s">
        <v>3451</v>
      </c>
      <c r="E2030" t="s">
        <v>1981</v>
      </c>
      <c r="F2030" t="s">
        <v>20</v>
      </c>
      <c r="G2030" t="s">
        <v>3452</v>
      </c>
      <c r="H2030" t="s">
        <v>3453</v>
      </c>
      <c r="J2030">
        <v>0.77</v>
      </c>
      <c r="S2030" t="s">
        <v>1092</v>
      </c>
      <c r="T2030" s="5" t="s">
        <v>921</v>
      </c>
      <c r="U2030" s="5" t="s">
        <v>950</v>
      </c>
      <c r="V2030" t="s">
        <v>1650</v>
      </c>
      <c r="W2030" t="str">
        <f t="shared" si="32"/>
        <v>SA_New_20252</v>
      </c>
      <c r="X2030" t="s">
        <v>1615</v>
      </c>
    </row>
    <row r="2031" spans="1:24" hidden="1" x14ac:dyDescent="0.35">
      <c r="A2031">
        <v>1</v>
      </c>
      <c r="B2031" t="s">
        <v>1092</v>
      </c>
      <c r="C2031" s="1">
        <v>45659</v>
      </c>
      <c r="D2031" t="s">
        <v>3421</v>
      </c>
      <c r="F2031" t="s">
        <v>1981</v>
      </c>
      <c r="G2031" t="s">
        <v>1753</v>
      </c>
      <c r="H2031" t="s">
        <v>3422</v>
      </c>
      <c r="I2031" t="s">
        <v>1993</v>
      </c>
      <c r="J2031">
        <f>1-25.5%</f>
        <v>0.745</v>
      </c>
      <c r="S2031" t="s">
        <v>1092</v>
      </c>
      <c r="T2031" s="5" t="s">
        <v>953</v>
      </c>
      <c r="U2031" s="5" t="s">
        <v>921</v>
      </c>
      <c r="V2031" t="s">
        <v>1650</v>
      </c>
      <c r="W2031" t="str">
        <f t="shared" si="32"/>
        <v>SA_New_20251</v>
      </c>
      <c r="X2031" t="s">
        <v>1616</v>
      </c>
    </row>
    <row r="2032" spans="1:24" hidden="1" x14ac:dyDescent="0.35">
      <c r="A2032">
        <v>2</v>
      </c>
      <c r="B2032" t="s">
        <v>1092</v>
      </c>
      <c r="C2032" s="1">
        <v>45670</v>
      </c>
      <c r="D2032" t="s">
        <v>3423</v>
      </c>
      <c r="F2032" t="s">
        <v>1978</v>
      </c>
      <c r="G2032" t="s">
        <v>1609</v>
      </c>
      <c r="H2032" t="s">
        <v>3424</v>
      </c>
      <c r="I2032" t="s">
        <v>1983</v>
      </c>
      <c r="J2032">
        <f>1-11.8%</f>
        <v>0.88200000000000001</v>
      </c>
      <c r="S2032" t="s">
        <v>1092</v>
      </c>
      <c r="T2032" s="5" t="s">
        <v>953</v>
      </c>
      <c r="U2032" s="5" t="s">
        <v>950</v>
      </c>
      <c r="V2032" t="s">
        <v>1650</v>
      </c>
      <c r="W2032" t="str">
        <f t="shared" si="32"/>
        <v>SA_New_20251</v>
      </c>
      <c r="X2032" t="s">
        <v>1616</v>
      </c>
    </row>
    <row r="2033" spans="1:24" hidden="1" x14ac:dyDescent="0.35">
      <c r="A2033">
        <v>3</v>
      </c>
      <c r="B2033" t="s">
        <v>1092</v>
      </c>
      <c r="C2033" s="1">
        <v>45695</v>
      </c>
      <c r="D2033" t="s">
        <v>3555</v>
      </c>
      <c r="F2033" t="s">
        <v>2070</v>
      </c>
      <c r="G2033" t="s">
        <v>1606</v>
      </c>
      <c r="H2033" t="s">
        <v>3556</v>
      </c>
      <c r="I2033" t="s">
        <v>1993</v>
      </c>
      <c r="J2033">
        <f>1-1.9%</f>
        <v>0.98099999999999998</v>
      </c>
      <c r="S2033" t="s">
        <v>1092</v>
      </c>
      <c r="T2033" s="5" t="s">
        <v>921</v>
      </c>
      <c r="U2033" s="5" t="s">
        <v>936</v>
      </c>
      <c r="V2033" t="s">
        <v>1650</v>
      </c>
      <c r="W2033" t="str">
        <f t="shared" si="32"/>
        <v>SA_New_20252</v>
      </c>
      <c r="X2033" t="s">
        <v>1616</v>
      </c>
    </row>
    <row r="2034" spans="1:24" hidden="1" x14ac:dyDescent="0.35">
      <c r="A2034">
        <v>4</v>
      </c>
      <c r="B2034" t="s">
        <v>1092</v>
      </c>
      <c r="C2034" s="1">
        <v>45705</v>
      </c>
      <c r="D2034" t="s">
        <v>3557</v>
      </c>
      <c r="F2034" t="s">
        <v>1974</v>
      </c>
      <c r="G2034" t="s">
        <v>1606</v>
      </c>
      <c r="H2034" t="s">
        <v>3558</v>
      </c>
      <c r="I2034" t="s">
        <v>1976</v>
      </c>
      <c r="J2034">
        <f>1-1.6%</f>
        <v>0.98399999999999999</v>
      </c>
      <c r="S2034" t="s">
        <v>1092</v>
      </c>
      <c r="T2034" s="5" t="s">
        <v>921</v>
      </c>
      <c r="U2034" s="5" t="s">
        <v>929</v>
      </c>
      <c r="V2034" t="s">
        <v>1650</v>
      </c>
      <c r="W2034" t="str">
        <f t="shared" si="32"/>
        <v>SA_New_20252</v>
      </c>
      <c r="X2034" t="s">
        <v>1616</v>
      </c>
    </row>
    <row r="2035" spans="1:24" hidden="1" x14ac:dyDescent="0.35">
      <c r="A2035">
        <v>5</v>
      </c>
      <c r="B2035" t="s">
        <v>1092</v>
      </c>
      <c r="C2035" s="1">
        <v>45712</v>
      </c>
      <c r="D2035" t="s">
        <v>3559</v>
      </c>
      <c r="F2035" t="s">
        <v>1978</v>
      </c>
      <c r="G2035" t="s">
        <v>1606</v>
      </c>
      <c r="H2035" t="s">
        <v>3560</v>
      </c>
      <c r="I2035" t="s">
        <v>1976</v>
      </c>
      <c r="J2035">
        <f>1-21.3%</f>
        <v>0.78700000000000003</v>
      </c>
      <c r="S2035" t="s">
        <v>1092</v>
      </c>
      <c r="T2035" s="5" t="s">
        <v>921</v>
      </c>
      <c r="U2035" s="5" t="s">
        <v>935</v>
      </c>
      <c r="V2035" t="s">
        <v>1650</v>
      </c>
      <c r="W2035" t="str">
        <f t="shared" si="32"/>
        <v>SA_New_20252</v>
      </c>
      <c r="X2035" t="s">
        <v>1616</v>
      </c>
    </row>
    <row r="2036" spans="1:24" hidden="1" x14ac:dyDescent="0.35">
      <c r="A2036">
        <v>6</v>
      </c>
      <c r="B2036" t="s">
        <v>1092</v>
      </c>
      <c r="C2036" s="1">
        <v>45722</v>
      </c>
      <c r="D2036" t="s">
        <v>3561</v>
      </c>
      <c r="F2036" t="s">
        <v>1981</v>
      </c>
      <c r="G2036" t="s">
        <v>1609</v>
      </c>
      <c r="H2036" t="s">
        <v>3562</v>
      </c>
      <c r="I2036" t="s">
        <v>1976</v>
      </c>
      <c r="J2036">
        <f>1-22.5%</f>
        <v>0.77500000000000002</v>
      </c>
      <c r="S2036" t="s">
        <v>1092</v>
      </c>
      <c r="T2036" s="5" t="s">
        <v>941</v>
      </c>
      <c r="U2036" s="5" t="s">
        <v>927</v>
      </c>
      <c r="V2036" t="s">
        <v>1650</v>
      </c>
      <c r="W2036" t="str">
        <f t="shared" si="32"/>
        <v>SA_New_20253</v>
      </c>
      <c r="X2036" t="s">
        <v>1616</v>
      </c>
    </row>
    <row r="2037" spans="1:24" hidden="1" x14ac:dyDescent="0.35">
      <c r="A2037">
        <v>7</v>
      </c>
      <c r="B2037" t="s">
        <v>1092</v>
      </c>
      <c r="C2037" s="1">
        <v>45722</v>
      </c>
      <c r="D2037" t="s">
        <v>3563</v>
      </c>
      <c r="F2037" t="s">
        <v>1985</v>
      </c>
      <c r="G2037" t="s">
        <v>1606</v>
      </c>
      <c r="H2037" t="s">
        <v>3564</v>
      </c>
      <c r="I2037" t="s">
        <v>1993</v>
      </c>
      <c r="J2037">
        <f>1-11.1%</f>
        <v>0.88900000000000001</v>
      </c>
      <c r="S2037" t="s">
        <v>1092</v>
      </c>
      <c r="T2037" s="5" t="s">
        <v>941</v>
      </c>
      <c r="U2037" s="5" t="s">
        <v>927</v>
      </c>
      <c r="V2037" t="s">
        <v>1650</v>
      </c>
      <c r="W2037" t="str">
        <f t="shared" si="32"/>
        <v>SA_New_20253</v>
      </c>
      <c r="X2037" t="s">
        <v>1616</v>
      </c>
    </row>
    <row r="2038" spans="1:24" hidden="1" x14ac:dyDescent="0.35">
      <c r="A2038">
        <v>8</v>
      </c>
      <c r="B2038" t="s">
        <v>1092</v>
      </c>
      <c r="C2038" s="1">
        <v>45728</v>
      </c>
      <c r="D2038" t="s">
        <v>3565</v>
      </c>
      <c r="F2038" t="s">
        <v>2070</v>
      </c>
      <c r="G2038" t="s">
        <v>1609</v>
      </c>
      <c r="H2038" t="s">
        <v>3566</v>
      </c>
      <c r="I2038" t="s">
        <v>1993</v>
      </c>
      <c r="J2038">
        <f>1-15.3%</f>
        <v>0.84699999999999998</v>
      </c>
      <c r="S2038" t="s">
        <v>1092</v>
      </c>
      <c r="T2038" s="5" t="s">
        <v>941</v>
      </c>
      <c r="U2038" s="5" t="s">
        <v>949</v>
      </c>
      <c r="V2038" t="s">
        <v>1650</v>
      </c>
      <c r="W2038" t="str">
        <f t="shared" si="32"/>
        <v>SA_New_20253</v>
      </c>
      <c r="X2038" t="s">
        <v>1616</v>
      </c>
    </row>
    <row r="2039" spans="1:24" hidden="1" x14ac:dyDescent="0.35">
      <c r="A2039">
        <v>9</v>
      </c>
      <c r="B2039" t="s">
        <v>1092</v>
      </c>
      <c r="C2039" s="1">
        <v>45728</v>
      </c>
      <c r="D2039" t="s">
        <v>3567</v>
      </c>
      <c r="F2039" t="s">
        <v>1974</v>
      </c>
      <c r="G2039" t="s">
        <v>1606</v>
      </c>
      <c r="H2039" t="s">
        <v>3568</v>
      </c>
      <c r="I2039" t="s">
        <v>1976</v>
      </c>
      <c r="J2039">
        <f>1-4.2%</f>
        <v>0.95799999999999996</v>
      </c>
      <c r="S2039" t="s">
        <v>1092</v>
      </c>
      <c r="T2039" s="5" t="s">
        <v>941</v>
      </c>
      <c r="U2039" s="5" t="s">
        <v>949</v>
      </c>
      <c r="V2039" t="s">
        <v>1650</v>
      </c>
      <c r="W2039" t="str">
        <f t="shared" si="32"/>
        <v>SA_New_20253</v>
      </c>
      <c r="X2039" t="s">
        <v>1616</v>
      </c>
    </row>
    <row r="2040" spans="1:24" hidden="1" x14ac:dyDescent="0.35">
      <c r="A2040">
        <v>10</v>
      </c>
      <c r="B2040" t="s">
        <v>1092</v>
      </c>
      <c r="C2040" s="1">
        <v>45728</v>
      </c>
      <c r="D2040" t="s">
        <v>3569</v>
      </c>
      <c r="F2040" t="s">
        <v>1981</v>
      </c>
      <c r="G2040" t="s">
        <v>1606</v>
      </c>
      <c r="H2040" t="s">
        <v>3570</v>
      </c>
      <c r="I2040" t="s">
        <v>1993</v>
      </c>
      <c r="J2040">
        <f>1-12.7%</f>
        <v>0.873</v>
      </c>
      <c r="S2040" t="s">
        <v>1092</v>
      </c>
      <c r="T2040" s="5" t="s">
        <v>941</v>
      </c>
      <c r="U2040" s="5" t="s">
        <v>949</v>
      </c>
      <c r="V2040" t="s">
        <v>1650</v>
      </c>
      <c r="W2040" t="str">
        <f t="shared" si="32"/>
        <v>SA_New_20253</v>
      </c>
      <c r="X2040" t="s">
        <v>1616</v>
      </c>
    </row>
    <row r="2041" spans="1:24" hidden="1" x14ac:dyDescent="0.35">
      <c r="A2041">
        <v>11</v>
      </c>
      <c r="B2041" t="s">
        <v>1092</v>
      </c>
      <c r="C2041" s="1">
        <v>45728</v>
      </c>
      <c r="D2041" t="s">
        <v>3571</v>
      </c>
      <c r="F2041" t="s">
        <v>1974</v>
      </c>
      <c r="G2041" t="s">
        <v>1606</v>
      </c>
      <c r="H2041" t="s">
        <v>3572</v>
      </c>
      <c r="I2041" t="s">
        <v>1993</v>
      </c>
      <c r="J2041">
        <f>1-16.7%</f>
        <v>0.83299999999999996</v>
      </c>
      <c r="S2041" t="s">
        <v>1092</v>
      </c>
      <c r="T2041" s="5" t="s">
        <v>941</v>
      </c>
      <c r="U2041" s="5" t="s">
        <v>949</v>
      </c>
      <c r="V2041" t="s">
        <v>1650</v>
      </c>
      <c r="W2041" t="str">
        <f t="shared" si="32"/>
        <v>SA_New_20253</v>
      </c>
      <c r="X2041" t="s">
        <v>1616</v>
      </c>
    </row>
    <row r="2042" spans="1:24" hidden="1" x14ac:dyDescent="0.35">
      <c r="A2042">
        <v>12</v>
      </c>
      <c r="B2042" t="s">
        <v>1092</v>
      </c>
      <c r="C2042" s="1">
        <v>45741</v>
      </c>
      <c r="D2042" t="s">
        <v>3573</v>
      </c>
      <c r="F2042" t="s">
        <v>1981</v>
      </c>
      <c r="G2042" t="s">
        <v>1606</v>
      </c>
      <c r="H2042" t="s">
        <v>3574</v>
      </c>
      <c r="I2042" t="s">
        <v>1993</v>
      </c>
      <c r="J2042">
        <f>1-24.4%</f>
        <v>0.75600000000000001</v>
      </c>
      <c r="S2042" t="s">
        <v>1092</v>
      </c>
      <c r="T2042" s="5" t="s">
        <v>941</v>
      </c>
      <c r="U2042" s="5" t="s">
        <v>922</v>
      </c>
      <c r="V2042" t="s">
        <v>1650</v>
      </c>
      <c r="W2042" t="str">
        <f t="shared" si="32"/>
        <v>SA_New_20253</v>
      </c>
      <c r="X2042" t="s">
        <v>1616</v>
      </c>
    </row>
    <row r="2043" spans="1:24" hidden="1" x14ac:dyDescent="0.35">
      <c r="A2043">
        <v>4</v>
      </c>
      <c r="B2043" t="s">
        <v>1092</v>
      </c>
      <c r="C2043" s="1">
        <v>45727</v>
      </c>
      <c r="D2043" t="s">
        <v>3614</v>
      </c>
      <c r="F2043" t="s">
        <v>2079</v>
      </c>
      <c r="G2043" t="s">
        <v>245</v>
      </c>
      <c r="H2043" t="s">
        <v>3615</v>
      </c>
      <c r="I2043" t="s">
        <v>1993</v>
      </c>
      <c r="J2043">
        <v>0.41200000000000003</v>
      </c>
      <c r="S2043" t="s">
        <v>1092</v>
      </c>
      <c r="T2043" s="5" t="s">
        <v>941</v>
      </c>
      <c r="U2043" s="5" t="s">
        <v>945</v>
      </c>
      <c r="V2043" t="s">
        <v>1650</v>
      </c>
      <c r="W2043" t="str">
        <f t="shared" si="32"/>
        <v>SA_New_20253</v>
      </c>
      <c r="X2043" t="s">
        <v>1615</v>
      </c>
    </row>
    <row r="2044" spans="1:24" hidden="1" x14ac:dyDescent="0.35">
      <c r="A2044">
        <v>5</v>
      </c>
      <c r="B2044" t="s">
        <v>1092</v>
      </c>
      <c r="C2044" s="1">
        <v>45728</v>
      </c>
      <c r="D2044" t="s">
        <v>3616</v>
      </c>
      <c r="F2044" t="s">
        <v>1978</v>
      </c>
      <c r="G2044" t="s">
        <v>149</v>
      </c>
      <c r="H2044" t="s">
        <v>3617</v>
      </c>
      <c r="I2044" t="s">
        <v>3618</v>
      </c>
      <c r="J2044">
        <v>0.48899999999999999</v>
      </c>
      <c r="S2044" t="s">
        <v>1092</v>
      </c>
      <c r="T2044" s="5" t="s">
        <v>941</v>
      </c>
      <c r="U2044" s="5" t="s">
        <v>949</v>
      </c>
      <c r="V2044" t="s">
        <v>1650</v>
      </c>
      <c r="W2044" t="str">
        <f t="shared" si="32"/>
        <v>SA_New_20253</v>
      </c>
      <c r="X2044" t="s">
        <v>1615</v>
      </c>
    </row>
    <row r="2045" spans="1:24" hidden="1" x14ac:dyDescent="0.35">
      <c r="A2045">
        <v>6</v>
      </c>
      <c r="B2045" t="s">
        <v>1092</v>
      </c>
      <c r="C2045" s="1">
        <v>45729</v>
      </c>
      <c r="D2045" t="s">
        <v>3619</v>
      </c>
      <c r="F2045" t="s">
        <v>3620</v>
      </c>
      <c r="G2045" t="s">
        <v>149</v>
      </c>
      <c r="H2045" t="s">
        <v>3621</v>
      </c>
      <c r="I2045" t="s">
        <v>3622</v>
      </c>
      <c r="J2045">
        <v>0.71399999999999997</v>
      </c>
      <c r="S2045" t="s">
        <v>1092</v>
      </c>
      <c r="T2045" s="5" t="s">
        <v>941</v>
      </c>
      <c r="U2045" s="5" t="s">
        <v>950</v>
      </c>
      <c r="V2045" t="s">
        <v>1650</v>
      </c>
      <c r="W2045" t="str">
        <f t="shared" si="32"/>
        <v>SA_New_20253</v>
      </c>
      <c r="X2045" t="s">
        <v>1615</v>
      </c>
    </row>
    <row r="2046" spans="1:24" hidden="1" x14ac:dyDescent="0.35">
      <c r="A2046">
        <v>7</v>
      </c>
      <c r="B2046" t="s">
        <v>1092</v>
      </c>
      <c r="C2046" s="1">
        <v>45730</v>
      </c>
      <c r="D2046" t="s">
        <v>3623</v>
      </c>
      <c r="F2046" t="s">
        <v>3624</v>
      </c>
      <c r="G2046" t="s">
        <v>149</v>
      </c>
      <c r="H2046" t="s">
        <v>3625</v>
      </c>
      <c r="I2046" t="s">
        <v>3618</v>
      </c>
      <c r="J2046">
        <v>0.72399999999999998</v>
      </c>
      <c r="S2046" t="s">
        <v>1092</v>
      </c>
      <c r="T2046" s="5" t="s">
        <v>941</v>
      </c>
      <c r="U2046" s="5" t="s">
        <v>951</v>
      </c>
      <c r="V2046" t="s">
        <v>1650</v>
      </c>
      <c r="W2046" t="str">
        <f t="shared" si="32"/>
        <v>SA_New_20253</v>
      </c>
      <c r="X2046" t="s">
        <v>1615</v>
      </c>
    </row>
    <row r="2047" spans="1:24" hidden="1" x14ac:dyDescent="0.35">
      <c r="A2047">
        <v>8</v>
      </c>
      <c r="B2047" t="s">
        <v>1092</v>
      </c>
      <c r="C2047" s="1">
        <v>45741</v>
      </c>
      <c r="D2047" t="s">
        <v>3626</v>
      </c>
      <c r="F2047" t="s">
        <v>1981</v>
      </c>
      <c r="G2047" t="s">
        <v>20</v>
      </c>
      <c r="H2047" t="s">
        <v>3627</v>
      </c>
      <c r="I2047" t="s">
        <v>1993</v>
      </c>
      <c r="J2047">
        <v>0.72899999999999998</v>
      </c>
      <c r="S2047" t="s">
        <v>1092</v>
      </c>
      <c r="T2047" s="5" t="s">
        <v>941</v>
      </c>
      <c r="U2047" s="5" t="s">
        <v>922</v>
      </c>
      <c r="V2047" t="s">
        <v>1650</v>
      </c>
      <c r="W2047" t="str">
        <f t="shared" si="32"/>
        <v>SA_New_20253</v>
      </c>
      <c r="X2047" t="s">
        <v>1615</v>
      </c>
    </row>
    <row r="2048" spans="1:24" hidden="1" x14ac:dyDescent="0.35">
      <c r="A2048">
        <v>9</v>
      </c>
      <c r="B2048" t="s">
        <v>1092</v>
      </c>
      <c r="C2048" s="1">
        <v>45741</v>
      </c>
      <c r="D2048" t="s">
        <v>3628</v>
      </c>
      <c r="F2048" t="s">
        <v>1981</v>
      </c>
      <c r="G2048" t="s">
        <v>20</v>
      </c>
      <c r="H2048" t="s">
        <v>3629</v>
      </c>
      <c r="I2048" t="s">
        <v>3630</v>
      </c>
      <c r="J2048">
        <v>0.91500000000000004</v>
      </c>
      <c r="S2048" t="s">
        <v>1092</v>
      </c>
      <c r="T2048" s="5" t="s">
        <v>941</v>
      </c>
      <c r="U2048" s="5" t="s">
        <v>922</v>
      </c>
      <c r="V2048" t="s">
        <v>1650</v>
      </c>
      <c r="W2048" t="str">
        <f t="shared" si="32"/>
        <v>SA_New_20253</v>
      </c>
      <c r="X2048" t="s">
        <v>1615</v>
      </c>
    </row>
    <row r="2049" spans="1:24" hidden="1" x14ac:dyDescent="0.35">
      <c r="A2049">
        <v>10</v>
      </c>
      <c r="B2049" t="s">
        <v>1092</v>
      </c>
      <c r="C2049" s="1">
        <v>45742</v>
      </c>
      <c r="D2049" t="s">
        <v>3631</v>
      </c>
      <c r="F2049" t="s">
        <v>1981</v>
      </c>
      <c r="G2049" t="s">
        <v>20</v>
      </c>
      <c r="H2049" t="s">
        <v>3632</v>
      </c>
      <c r="I2049" t="s">
        <v>3633</v>
      </c>
      <c r="J2049">
        <v>0.627</v>
      </c>
      <c r="S2049" t="s">
        <v>1092</v>
      </c>
      <c r="T2049" s="5" t="s">
        <v>941</v>
      </c>
      <c r="U2049" s="5" t="s">
        <v>924</v>
      </c>
      <c r="V2049" t="s">
        <v>1650</v>
      </c>
      <c r="W2049" t="str">
        <f t="shared" si="32"/>
        <v>SA_New_20253</v>
      </c>
      <c r="X2049" t="s">
        <v>1615</v>
      </c>
    </row>
    <row r="2050" spans="1:24" hidden="1" x14ac:dyDescent="0.35">
      <c r="A2050">
        <v>11</v>
      </c>
      <c r="B2050" t="s">
        <v>1092</v>
      </c>
      <c r="C2050" s="1">
        <v>45743</v>
      </c>
      <c r="D2050" t="s">
        <v>3634</v>
      </c>
      <c r="F2050" t="s">
        <v>1974</v>
      </c>
      <c r="G2050" t="s">
        <v>26</v>
      </c>
      <c r="H2050" t="s">
        <v>3635</v>
      </c>
      <c r="I2050" t="s">
        <v>3636</v>
      </c>
      <c r="J2050">
        <v>0.69599999999999995</v>
      </c>
      <c r="S2050" t="s">
        <v>1092</v>
      </c>
      <c r="T2050" s="5" t="s">
        <v>941</v>
      </c>
      <c r="U2050" s="5" t="s">
        <v>925</v>
      </c>
      <c r="V2050" t="s">
        <v>1650</v>
      </c>
      <c r="W2050" t="str">
        <f t="shared" ref="W2050:W2112" si="33">CONCATENATE(B2050,"_",V2050,T2050)</f>
        <v>SA_New_20253</v>
      </c>
      <c r="X2050" t="s">
        <v>1615</v>
      </c>
    </row>
    <row r="2051" spans="1:24" hidden="1" x14ac:dyDescent="0.35">
      <c r="A2051">
        <v>12</v>
      </c>
      <c r="B2051" t="s">
        <v>1092</v>
      </c>
      <c r="C2051" s="1">
        <v>45743</v>
      </c>
      <c r="D2051" t="s">
        <v>3637</v>
      </c>
      <c r="F2051" t="s">
        <v>1978</v>
      </c>
      <c r="G2051" t="s">
        <v>20</v>
      </c>
      <c r="H2051" t="s">
        <v>3638</v>
      </c>
      <c r="I2051" t="s">
        <v>1976</v>
      </c>
      <c r="J2051">
        <v>0.79800000000000004</v>
      </c>
      <c r="S2051" t="s">
        <v>1092</v>
      </c>
      <c r="T2051" s="5" t="s">
        <v>941</v>
      </c>
      <c r="U2051" s="5" t="s">
        <v>925</v>
      </c>
      <c r="V2051" t="s">
        <v>1650</v>
      </c>
      <c r="W2051" t="str">
        <f t="shared" si="33"/>
        <v>SA_New_20253</v>
      </c>
      <c r="X2051" t="s">
        <v>1615</v>
      </c>
    </row>
    <row r="2052" spans="1:24" hidden="1" x14ac:dyDescent="0.35">
      <c r="A2052">
        <v>13</v>
      </c>
      <c r="B2052" t="s">
        <v>1092</v>
      </c>
      <c r="C2052" s="1">
        <v>45747</v>
      </c>
      <c r="D2052" t="s">
        <v>3639</v>
      </c>
      <c r="F2052" t="s">
        <v>1974</v>
      </c>
      <c r="G2052" t="s">
        <v>168</v>
      </c>
      <c r="H2052" t="s">
        <v>3640</v>
      </c>
      <c r="I2052" t="s">
        <v>3641</v>
      </c>
      <c r="J2052">
        <v>0.59600000000000009</v>
      </c>
      <c r="S2052" t="s">
        <v>1092</v>
      </c>
      <c r="T2052" s="5" t="s">
        <v>941</v>
      </c>
      <c r="U2052" s="5" t="s">
        <v>939</v>
      </c>
      <c r="V2052" t="s">
        <v>1650</v>
      </c>
      <c r="W2052" t="str">
        <f t="shared" si="33"/>
        <v>SA_New_20253</v>
      </c>
      <c r="X2052" t="s">
        <v>1615</v>
      </c>
    </row>
    <row r="2053" spans="1:24" hidden="1" x14ac:dyDescent="0.35">
      <c r="A2053">
        <v>14</v>
      </c>
      <c r="B2053" t="s">
        <v>1092</v>
      </c>
      <c r="C2053" s="1">
        <v>45749</v>
      </c>
      <c r="D2053" t="s">
        <v>3642</v>
      </c>
      <c r="F2053" t="s">
        <v>1978</v>
      </c>
      <c r="G2053" t="s">
        <v>20</v>
      </c>
      <c r="H2053" t="s">
        <v>3643</v>
      </c>
      <c r="I2053" t="s">
        <v>1993</v>
      </c>
      <c r="J2053">
        <v>0.38500000000000001</v>
      </c>
      <c r="S2053" t="s">
        <v>1092</v>
      </c>
      <c r="T2053" s="5" t="s">
        <v>946</v>
      </c>
      <c r="U2053" s="5" t="s">
        <v>921</v>
      </c>
      <c r="V2053" t="s">
        <v>1650</v>
      </c>
      <c r="W2053" t="str">
        <f t="shared" si="33"/>
        <v>SA_New_20254</v>
      </c>
      <c r="X2053" t="s">
        <v>1615</v>
      </c>
    </row>
    <row r="2054" spans="1:24" hidden="1" x14ac:dyDescent="0.35">
      <c r="A2054">
        <v>15</v>
      </c>
      <c r="B2054" t="s">
        <v>1092</v>
      </c>
      <c r="C2054" s="1">
        <v>45755</v>
      </c>
      <c r="D2054" t="s">
        <v>3644</v>
      </c>
      <c r="F2054" t="s">
        <v>3645</v>
      </c>
      <c r="G2054" t="s">
        <v>20</v>
      </c>
      <c r="H2054" t="s">
        <v>3646</v>
      </c>
      <c r="I2054" t="s">
        <v>1983</v>
      </c>
      <c r="J2054">
        <v>0.86799999999999999</v>
      </c>
      <c r="S2054" t="s">
        <v>1092</v>
      </c>
      <c r="T2054" s="5" t="s">
        <v>946</v>
      </c>
      <c r="U2054" s="5" t="s">
        <v>940</v>
      </c>
      <c r="V2054" t="s">
        <v>1650</v>
      </c>
      <c r="W2054" t="str">
        <f t="shared" si="33"/>
        <v>SA_New_20254</v>
      </c>
      <c r="X2054" t="s">
        <v>1615</v>
      </c>
    </row>
    <row r="2055" spans="1:24" hidden="1" x14ac:dyDescent="0.35">
      <c r="A2055">
        <v>16</v>
      </c>
      <c r="B2055" t="s">
        <v>1092</v>
      </c>
      <c r="C2055" s="1">
        <v>45762</v>
      </c>
      <c r="D2055" t="s">
        <v>3647</v>
      </c>
      <c r="F2055" t="s">
        <v>3648</v>
      </c>
      <c r="G2055" t="s">
        <v>20</v>
      </c>
      <c r="H2055" t="s">
        <v>3649</v>
      </c>
      <c r="I2055" t="s">
        <v>1976</v>
      </c>
      <c r="J2055">
        <v>0.91900000000000004</v>
      </c>
      <c r="S2055" t="s">
        <v>1092</v>
      </c>
      <c r="T2055" s="5" t="s">
        <v>946</v>
      </c>
      <c r="U2055" s="5" t="s">
        <v>943</v>
      </c>
      <c r="V2055" t="s">
        <v>1650</v>
      </c>
      <c r="W2055" t="str">
        <f t="shared" si="33"/>
        <v>SA_New_20254</v>
      </c>
      <c r="X2055" t="s">
        <v>1615</v>
      </c>
    </row>
    <row r="2056" spans="1:24" hidden="1" x14ac:dyDescent="0.35">
      <c r="A2056">
        <v>17</v>
      </c>
      <c r="B2056" t="s">
        <v>1092</v>
      </c>
      <c r="C2056" s="1">
        <v>45762</v>
      </c>
      <c r="D2056" t="s">
        <v>3650</v>
      </c>
      <c r="F2056" t="s">
        <v>1991</v>
      </c>
      <c r="G2056" t="s">
        <v>20</v>
      </c>
      <c r="H2056" t="s">
        <v>3651</v>
      </c>
      <c r="I2056" t="s">
        <v>1976</v>
      </c>
      <c r="J2056">
        <v>0.88600000000000001</v>
      </c>
      <c r="S2056" t="s">
        <v>1092</v>
      </c>
      <c r="T2056" s="5" t="s">
        <v>946</v>
      </c>
      <c r="U2056" s="5" t="s">
        <v>943</v>
      </c>
      <c r="V2056" t="s">
        <v>1650</v>
      </c>
      <c r="W2056" t="str">
        <f t="shared" si="33"/>
        <v>SA_New_20254</v>
      </c>
      <c r="X2056" t="s">
        <v>1615</v>
      </c>
    </row>
    <row r="2057" spans="1:24" hidden="1" x14ac:dyDescent="0.35">
      <c r="A2057">
        <v>18</v>
      </c>
      <c r="B2057" t="s">
        <v>1092</v>
      </c>
      <c r="C2057" s="1">
        <v>45762</v>
      </c>
      <c r="D2057" t="s">
        <v>3652</v>
      </c>
      <c r="F2057" t="s">
        <v>1978</v>
      </c>
      <c r="G2057" t="s">
        <v>20</v>
      </c>
      <c r="H2057" t="s">
        <v>3653</v>
      </c>
      <c r="I2057" t="s">
        <v>1976</v>
      </c>
      <c r="J2057">
        <v>0.89300000000000002</v>
      </c>
      <c r="S2057" t="s">
        <v>1092</v>
      </c>
      <c r="T2057" s="5" t="s">
        <v>946</v>
      </c>
      <c r="U2057" s="5" t="s">
        <v>943</v>
      </c>
      <c r="V2057" t="s">
        <v>1650</v>
      </c>
      <c r="W2057" t="str">
        <f t="shared" si="33"/>
        <v>SA_New_20254</v>
      </c>
      <c r="X2057" t="s">
        <v>1615</v>
      </c>
    </row>
    <row r="2058" spans="1:24" hidden="1" x14ac:dyDescent="0.35">
      <c r="A2058">
        <v>19</v>
      </c>
      <c r="B2058" t="s">
        <v>1092</v>
      </c>
      <c r="C2058" s="1">
        <v>45763</v>
      </c>
      <c r="D2058" t="s">
        <v>3654</v>
      </c>
      <c r="F2058" t="s">
        <v>1981</v>
      </c>
      <c r="G2058" t="s">
        <v>20</v>
      </c>
      <c r="H2058" t="s">
        <v>3655</v>
      </c>
      <c r="I2058" t="s">
        <v>1976</v>
      </c>
      <c r="J2058">
        <v>0.82499999999999996</v>
      </c>
      <c r="S2058" t="s">
        <v>1092</v>
      </c>
      <c r="T2058" s="5" t="s">
        <v>946</v>
      </c>
      <c r="U2058" s="5" t="s">
        <v>928</v>
      </c>
      <c r="V2058" t="s">
        <v>1650</v>
      </c>
      <c r="W2058" t="str">
        <f t="shared" si="33"/>
        <v>SA_New_20254</v>
      </c>
      <c r="X2058" t="s">
        <v>1615</v>
      </c>
    </row>
    <row r="2059" spans="1:24" hidden="1" x14ac:dyDescent="0.35">
      <c r="A2059">
        <v>20</v>
      </c>
      <c r="B2059" t="s">
        <v>1092</v>
      </c>
      <c r="C2059" s="1">
        <v>45771</v>
      </c>
      <c r="D2059" t="s">
        <v>3656</v>
      </c>
      <c r="F2059" t="s">
        <v>1974</v>
      </c>
      <c r="G2059" t="s">
        <v>20</v>
      </c>
      <c r="H2059" t="s">
        <v>3657</v>
      </c>
      <c r="I2059" t="s">
        <v>1976</v>
      </c>
      <c r="J2059">
        <v>0.64600000000000002</v>
      </c>
      <c r="S2059" t="s">
        <v>1092</v>
      </c>
      <c r="T2059" s="5" t="s">
        <v>946</v>
      </c>
      <c r="U2059" s="5" t="s">
        <v>935</v>
      </c>
      <c r="V2059" t="s">
        <v>1650</v>
      </c>
      <c r="W2059" t="str">
        <f t="shared" si="33"/>
        <v>SA_New_20254</v>
      </c>
      <c r="X2059" t="s">
        <v>1615</v>
      </c>
    </row>
    <row r="2060" spans="1:24" hidden="1" x14ac:dyDescent="0.35">
      <c r="A2060">
        <v>13</v>
      </c>
      <c r="B2060" t="s">
        <v>1092</v>
      </c>
      <c r="C2060" s="1">
        <v>45747</v>
      </c>
      <c r="D2060" s="1" t="s">
        <v>3702</v>
      </c>
      <c r="F2060" t="s">
        <v>1981</v>
      </c>
      <c r="G2060" t="s">
        <v>1609</v>
      </c>
      <c r="H2060" t="s">
        <v>3708</v>
      </c>
      <c r="I2060" t="s">
        <v>1993</v>
      </c>
      <c r="J2060">
        <f>1-27.4%</f>
        <v>0.72599999999999998</v>
      </c>
      <c r="S2060" t="s">
        <v>1092</v>
      </c>
      <c r="T2060" s="6" t="s">
        <v>941</v>
      </c>
      <c r="U2060" s="6" t="s">
        <v>939</v>
      </c>
      <c r="V2060" s="2" t="s">
        <v>1650</v>
      </c>
      <c r="W2060" t="str">
        <f t="shared" si="33"/>
        <v>SA_New_20253</v>
      </c>
      <c r="X2060" t="s">
        <v>1616</v>
      </c>
    </row>
    <row r="2061" spans="1:24" hidden="1" x14ac:dyDescent="0.35">
      <c r="A2061">
        <v>14</v>
      </c>
      <c r="B2061" t="s">
        <v>1092</v>
      </c>
      <c r="C2061" s="1">
        <v>45747</v>
      </c>
      <c r="D2061" s="1" t="s">
        <v>3703</v>
      </c>
      <c r="F2061" t="s">
        <v>1974</v>
      </c>
      <c r="G2061" t="s">
        <v>1606</v>
      </c>
      <c r="H2061" t="s">
        <v>3709</v>
      </c>
      <c r="I2061" t="s">
        <v>1976</v>
      </c>
      <c r="J2061">
        <f>1-21.6%</f>
        <v>0.78400000000000003</v>
      </c>
      <c r="S2061" t="s">
        <v>1092</v>
      </c>
      <c r="T2061" s="6" t="s">
        <v>941</v>
      </c>
      <c r="U2061" s="6" t="s">
        <v>939</v>
      </c>
      <c r="V2061" s="2" t="s">
        <v>1650</v>
      </c>
      <c r="W2061" t="str">
        <f t="shared" si="33"/>
        <v>SA_New_20253</v>
      </c>
      <c r="X2061" t="s">
        <v>1616</v>
      </c>
    </row>
    <row r="2062" spans="1:24" hidden="1" x14ac:dyDescent="0.35">
      <c r="A2062">
        <v>15</v>
      </c>
      <c r="B2062" t="s">
        <v>1092</v>
      </c>
      <c r="C2062" s="1">
        <v>45751</v>
      </c>
      <c r="D2062" s="1" t="s">
        <v>3704</v>
      </c>
      <c r="F2062" t="s">
        <v>2079</v>
      </c>
      <c r="G2062" t="s">
        <v>1606</v>
      </c>
      <c r="H2062" t="s">
        <v>3710</v>
      </c>
      <c r="I2062" t="s">
        <v>1989</v>
      </c>
      <c r="J2062">
        <f>1-47.5%</f>
        <v>0.52500000000000002</v>
      </c>
      <c r="S2062" t="s">
        <v>1092</v>
      </c>
      <c r="T2062" s="6" t="s">
        <v>946</v>
      </c>
      <c r="U2062" s="6" t="s">
        <v>946</v>
      </c>
      <c r="V2062" s="2" t="s">
        <v>1650</v>
      </c>
      <c r="W2062" t="str">
        <f t="shared" si="33"/>
        <v>SA_New_20254</v>
      </c>
      <c r="X2062" t="s">
        <v>1616</v>
      </c>
    </row>
    <row r="2063" spans="1:24" hidden="1" x14ac:dyDescent="0.35">
      <c r="A2063">
        <v>16</v>
      </c>
      <c r="B2063" t="s">
        <v>1092</v>
      </c>
      <c r="C2063" s="1">
        <v>45751</v>
      </c>
      <c r="D2063" s="1" t="s">
        <v>3705</v>
      </c>
      <c r="F2063" t="s">
        <v>1985</v>
      </c>
      <c r="G2063" t="s">
        <v>1606</v>
      </c>
      <c r="H2063" t="s">
        <v>3711</v>
      </c>
      <c r="I2063" t="s">
        <v>1989</v>
      </c>
      <c r="J2063">
        <f>1-35.6%</f>
        <v>0.64399999999999991</v>
      </c>
      <c r="S2063" t="s">
        <v>1092</v>
      </c>
      <c r="T2063" s="6" t="s">
        <v>946</v>
      </c>
      <c r="U2063" s="6" t="s">
        <v>946</v>
      </c>
      <c r="V2063" s="2" t="s">
        <v>1650</v>
      </c>
      <c r="W2063" t="str">
        <f t="shared" si="33"/>
        <v>SA_New_20254</v>
      </c>
      <c r="X2063" t="s">
        <v>1616</v>
      </c>
    </row>
    <row r="2064" spans="1:24" hidden="1" x14ac:dyDescent="0.35">
      <c r="A2064">
        <v>17</v>
      </c>
      <c r="B2064" t="s">
        <v>1092</v>
      </c>
      <c r="C2064" s="1">
        <v>45763</v>
      </c>
      <c r="D2064" s="1" t="s">
        <v>3706</v>
      </c>
      <c r="F2064" t="s">
        <v>1991</v>
      </c>
      <c r="G2064" t="s">
        <v>33</v>
      </c>
      <c r="H2064" t="s">
        <v>3712</v>
      </c>
      <c r="I2064" t="s">
        <v>1976</v>
      </c>
      <c r="J2064">
        <f>1-10.4%</f>
        <v>0.89600000000000002</v>
      </c>
      <c r="S2064" t="s">
        <v>1092</v>
      </c>
      <c r="T2064" s="6" t="s">
        <v>946</v>
      </c>
      <c r="U2064" s="6" t="s">
        <v>928</v>
      </c>
      <c r="V2064" s="2" t="s">
        <v>1650</v>
      </c>
      <c r="W2064" t="str">
        <f t="shared" si="33"/>
        <v>SA_New_20254</v>
      </c>
      <c r="X2064" t="s">
        <v>1616</v>
      </c>
    </row>
    <row r="2065" spans="1:24" hidden="1" x14ac:dyDescent="0.35">
      <c r="A2065">
        <v>18</v>
      </c>
      <c r="B2065" t="s">
        <v>1092</v>
      </c>
      <c r="C2065" s="1">
        <v>45763</v>
      </c>
      <c r="D2065" s="1" t="s">
        <v>3707</v>
      </c>
      <c r="F2065" t="s">
        <v>1974</v>
      </c>
      <c r="G2065" t="s">
        <v>1606</v>
      </c>
      <c r="H2065" t="s">
        <v>3713</v>
      </c>
      <c r="I2065" t="s">
        <v>1989</v>
      </c>
      <c r="J2065">
        <f>1-27.9%</f>
        <v>0.72100000000000009</v>
      </c>
      <c r="S2065" t="s">
        <v>1092</v>
      </c>
      <c r="T2065" s="6" t="s">
        <v>946</v>
      </c>
      <c r="U2065" s="6" t="s">
        <v>928</v>
      </c>
      <c r="V2065" s="2" t="s">
        <v>1650</v>
      </c>
      <c r="W2065" t="str">
        <f t="shared" si="33"/>
        <v>SA_New_20254</v>
      </c>
      <c r="X2065" t="s">
        <v>1616</v>
      </c>
    </row>
    <row r="2066" spans="1:24" hidden="1" x14ac:dyDescent="0.35">
      <c r="B2066" t="s">
        <v>1092</v>
      </c>
      <c r="C2066" s="1">
        <v>45790</v>
      </c>
      <c r="D2066" t="s">
        <v>3730</v>
      </c>
      <c r="S2066" t="s">
        <v>1092</v>
      </c>
      <c r="T2066" s="5">
        <v>5</v>
      </c>
      <c r="U2066" s="5">
        <v>13</v>
      </c>
      <c r="V2066">
        <v>2025</v>
      </c>
      <c r="W2066" t="str">
        <f t="shared" si="33"/>
        <v>SA_New_20255</v>
      </c>
      <c r="X2066" t="s">
        <v>1616</v>
      </c>
    </row>
    <row r="2067" spans="1:24" hidden="1" x14ac:dyDescent="0.35">
      <c r="B2067" t="s">
        <v>1092</v>
      </c>
      <c r="C2067" s="1">
        <v>45790</v>
      </c>
      <c r="D2067" t="s">
        <v>3731</v>
      </c>
      <c r="S2067" t="s">
        <v>1092</v>
      </c>
      <c r="T2067" s="5">
        <v>5</v>
      </c>
      <c r="U2067" s="5">
        <v>13</v>
      </c>
      <c r="V2067">
        <v>2025</v>
      </c>
      <c r="W2067" t="str">
        <f t="shared" si="33"/>
        <v>SA_New_20255</v>
      </c>
      <c r="X2067" t="s">
        <v>1616</v>
      </c>
    </row>
    <row r="2068" spans="1:24" hidden="1" x14ac:dyDescent="0.35">
      <c r="B2068" t="s">
        <v>1092</v>
      </c>
      <c r="C2068" s="1">
        <v>45792</v>
      </c>
      <c r="D2068" t="s">
        <v>3732</v>
      </c>
      <c r="S2068" t="s">
        <v>1092</v>
      </c>
      <c r="T2068" s="5">
        <v>5</v>
      </c>
      <c r="U2068" s="5">
        <v>15</v>
      </c>
      <c r="V2068">
        <v>2025</v>
      </c>
      <c r="W2068" t="str">
        <f t="shared" si="33"/>
        <v>SA_New_20255</v>
      </c>
      <c r="X2068" t="s">
        <v>1616</v>
      </c>
    </row>
    <row r="2069" spans="1:24" hidden="1" x14ac:dyDescent="0.35">
      <c r="B2069" t="s">
        <v>1092</v>
      </c>
      <c r="C2069" s="1">
        <v>45792</v>
      </c>
      <c r="D2069" t="s">
        <v>3733</v>
      </c>
      <c r="S2069" t="s">
        <v>1092</v>
      </c>
      <c r="T2069" s="5">
        <v>5</v>
      </c>
      <c r="U2069" s="5">
        <v>15</v>
      </c>
      <c r="V2069">
        <v>2025</v>
      </c>
      <c r="W2069" t="str">
        <f t="shared" si="33"/>
        <v>SA_New_20255</v>
      </c>
      <c r="X2069" t="s">
        <v>1616</v>
      </c>
    </row>
    <row r="2070" spans="1:24" hidden="1" x14ac:dyDescent="0.35">
      <c r="B2070" t="s">
        <v>1092</v>
      </c>
      <c r="C2070" s="1">
        <v>45792</v>
      </c>
      <c r="D2070" t="s">
        <v>3734</v>
      </c>
      <c r="S2070" t="s">
        <v>1092</v>
      </c>
      <c r="T2070" s="5">
        <v>5</v>
      </c>
      <c r="U2070" s="5">
        <v>15</v>
      </c>
      <c r="V2070">
        <v>2025</v>
      </c>
      <c r="W2070" t="str">
        <f t="shared" si="33"/>
        <v>SA_New_20255</v>
      </c>
      <c r="X2070" t="s">
        <v>1616</v>
      </c>
    </row>
    <row r="2071" spans="1:24" hidden="1" x14ac:dyDescent="0.35">
      <c r="B2071" t="s">
        <v>1092</v>
      </c>
      <c r="C2071" s="1">
        <v>45796</v>
      </c>
      <c r="D2071" t="s">
        <v>3744</v>
      </c>
      <c r="S2071" t="s">
        <v>1092</v>
      </c>
      <c r="T2071" s="5">
        <v>5</v>
      </c>
      <c r="U2071" s="5">
        <v>19</v>
      </c>
      <c r="V2071">
        <v>2025</v>
      </c>
      <c r="W2071" t="str">
        <f t="shared" si="33"/>
        <v>SA_New_20255</v>
      </c>
      <c r="X2071" t="s">
        <v>1616</v>
      </c>
    </row>
    <row r="2072" spans="1:24" hidden="1" x14ac:dyDescent="0.35">
      <c r="B2072" t="s">
        <v>1092</v>
      </c>
      <c r="C2072" s="1">
        <v>45800</v>
      </c>
      <c r="D2072" t="s">
        <v>3745</v>
      </c>
      <c r="S2072" t="s">
        <v>1092</v>
      </c>
      <c r="T2072" s="5">
        <v>5</v>
      </c>
      <c r="U2072" s="5">
        <v>23</v>
      </c>
      <c r="V2072">
        <v>2025</v>
      </c>
      <c r="W2072" t="str">
        <f t="shared" si="33"/>
        <v>SA_New_20255</v>
      </c>
      <c r="X2072" t="s">
        <v>1616</v>
      </c>
    </row>
    <row r="2073" spans="1:24" hidden="1" x14ac:dyDescent="0.35">
      <c r="B2073" t="s">
        <v>1092</v>
      </c>
      <c r="C2073" s="1">
        <v>45800</v>
      </c>
      <c r="D2073" t="s">
        <v>3746</v>
      </c>
      <c r="S2073" t="s">
        <v>1092</v>
      </c>
      <c r="T2073" s="5">
        <v>5</v>
      </c>
      <c r="U2073" s="5">
        <v>23</v>
      </c>
      <c r="V2073">
        <v>2025</v>
      </c>
      <c r="W2073" t="str">
        <f t="shared" si="33"/>
        <v>SA_New_20255</v>
      </c>
      <c r="X2073" t="s">
        <v>1616</v>
      </c>
    </row>
    <row r="2074" spans="1:24" hidden="1" x14ac:dyDescent="0.35">
      <c r="B2074" t="s">
        <v>1092</v>
      </c>
      <c r="C2074" s="1">
        <v>45802</v>
      </c>
      <c r="D2074" t="s">
        <v>3747</v>
      </c>
      <c r="S2074" t="s">
        <v>1092</v>
      </c>
      <c r="T2074" s="5">
        <v>5</v>
      </c>
      <c r="U2074" s="5">
        <v>25</v>
      </c>
      <c r="V2074">
        <v>2025</v>
      </c>
      <c r="W2074" t="str">
        <f t="shared" si="33"/>
        <v>SA_New_20255</v>
      </c>
      <c r="X2074" t="s">
        <v>1616</v>
      </c>
    </row>
    <row r="2075" spans="1:24" hidden="1" x14ac:dyDescent="0.35">
      <c r="A2075">
        <v>1</v>
      </c>
      <c r="B2075" t="s">
        <v>3714</v>
      </c>
      <c r="C2075" s="1">
        <v>45719</v>
      </c>
      <c r="D2075" t="s">
        <v>3460</v>
      </c>
      <c r="E2075" t="s">
        <v>3466</v>
      </c>
      <c r="F2075" t="s">
        <v>514</v>
      </c>
      <c r="G2075" t="s">
        <v>3467</v>
      </c>
      <c r="J2075">
        <v>0.73099999999999998</v>
      </c>
      <c r="L2075">
        <v>3</v>
      </c>
      <c r="N2075" t="s">
        <v>23</v>
      </c>
      <c r="O2075" s="1">
        <v>46084</v>
      </c>
      <c r="S2075" t="s">
        <v>3714</v>
      </c>
      <c r="T2075" s="6" t="s">
        <v>941</v>
      </c>
      <c r="U2075" s="6" t="s">
        <v>941</v>
      </c>
      <c r="V2075" s="2" t="s">
        <v>1650</v>
      </c>
      <c r="W2075" t="str">
        <f t="shared" si="33"/>
        <v>Waste_20253</v>
      </c>
      <c r="X2075" t="s">
        <v>1615</v>
      </c>
    </row>
    <row r="2076" spans="1:24" hidden="1" x14ac:dyDescent="0.35">
      <c r="A2076">
        <v>2</v>
      </c>
      <c r="B2076" t="s">
        <v>3714</v>
      </c>
      <c r="C2076" s="1">
        <v>45720</v>
      </c>
      <c r="D2076" t="s">
        <v>3461</v>
      </c>
      <c r="E2076" t="s">
        <v>3466</v>
      </c>
      <c r="F2076" t="s">
        <v>82</v>
      </c>
      <c r="G2076" t="s">
        <v>3468</v>
      </c>
      <c r="J2076">
        <v>0.75</v>
      </c>
      <c r="L2076">
        <v>2</v>
      </c>
      <c r="N2076" t="s">
        <v>23</v>
      </c>
      <c r="O2076" s="1">
        <v>46085</v>
      </c>
      <c r="S2076" t="s">
        <v>3714</v>
      </c>
      <c r="T2076" s="6" t="s">
        <v>941</v>
      </c>
      <c r="U2076" s="6" t="s">
        <v>946</v>
      </c>
      <c r="V2076" s="2" t="s">
        <v>1650</v>
      </c>
      <c r="W2076" t="str">
        <f t="shared" si="33"/>
        <v>Waste_20253</v>
      </c>
      <c r="X2076" t="s">
        <v>1615</v>
      </c>
    </row>
    <row r="2077" spans="1:24" hidden="1" x14ac:dyDescent="0.35">
      <c r="A2077">
        <v>3</v>
      </c>
      <c r="B2077" t="s">
        <v>3714</v>
      </c>
      <c r="C2077" s="1">
        <v>45722</v>
      </c>
      <c r="D2077" t="s">
        <v>3462</v>
      </c>
      <c r="E2077" t="s">
        <v>3466</v>
      </c>
      <c r="F2077" t="s">
        <v>97</v>
      </c>
      <c r="G2077" t="s">
        <v>3469</v>
      </c>
      <c r="J2077">
        <v>0.875</v>
      </c>
      <c r="L2077">
        <v>0</v>
      </c>
      <c r="N2077" t="s">
        <v>23</v>
      </c>
      <c r="O2077" s="1">
        <v>46087</v>
      </c>
      <c r="S2077" t="s">
        <v>3714</v>
      </c>
      <c r="T2077" s="6" t="s">
        <v>941</v>
      </c>
      <c r="U2077" s="6" t="s">
        <v>927</v>
      </c>
      <c r="V2077" s="2" t="s">
        <v>1650</v>
      </c>
      <c r="W2077" t="str">
        <f t="shared" si="33"/>
        <v>Waste_20253</v>
      </c>
      <c r="X2077" t="s">
        <v>1615</v>
      </c>
    </row>
    <row r="2078" spans="1:24" hidden="1" x14ac:dyDescent="0.35">
      <c r="A2078">
        <v>4</v>
      </c>
      <c r="B2078" t="s">
        <v>3714</v>
      </c>
      <c r="C2078" s="1">
        <v>45728</v>
      </c>
      <c r="D2078" t="s">
        <v>3463</v>
      </c>
      <c r="E2078" t="s">
        <v>3466</v>
      </c>
      <c r="F2078" t="s">
        <v>163</v>
      </c>
      <c r="G2078" t="s">
        <v>3470</v>
      </c>
      <c r="J2078">
        <v>0.82</v>
      </c>
      <c r="L2078">
        <v>2</v>
      </c>
      <c r="N2078" t="s">
        <v>23</v>
      </c>
      <c r="O2078" s="1">
        <v>46093</v>
      </c>
      <c r="S2078" t="s">
        <v>3714</v>
      </c>
      <c r="T2078" s="6" t="s">
        <v>941</v>
      </c>
      <c r="U2078" s="6" t="s">
        <v>949</v>
      </c>
      <c r="V2078" s="2" t="s">
        <v>1650</v>
      </c>
      <c r="W2078" t="str">
        <f t="shared" si="33"/>
        <v>Waste_20253</v>
      </c>
      <c r="X2078" t="s">
        <v>1615</v>
      </c>
    </row>
    <row r="2079" spans="1:24" hidden="1" x14ac:dyDescent="0.35">
      <c r="A2079">
        <v>5</v>
      </c>
      <c r="B2079" t="s">
        <v>3714</v>
      </c>
      <c r="C2079" s="1">
        <v>45729</v>
      </c>
      <c r="D2079" t="s">
        <v>3464</v>
      </c>
      <c r="E2079" t="s">
        <v>3466</v>
      </c>
      <c r="F2079" t="s">
        <v>163</v>
      </c>
      <c r="G2079" t="s">
        <v>3471</v>
      </c>
      <c r="J2079">
        <v>0.56299999999999994</v>
      </c>
      <c r="L2079">
        <v>9</v>
      </c>
      <c r="N2079" t="s">
        <v>23</v>
      </c>
      <c r="S2079" t="s">
        <v>3714</v>
      </c>
      <c r="T2079" s="6" t="s">
        <v>941</v>
      </c>
      <c r="U2079" s="6" t="s">
        <v>950</v>
      </c>
      <c r="V2079" s="2" t="s">
        <v>1650</v>
      </c>
      <c r="W2079" t="str">
        <f t="shared" si="33"/>
        <v>Waste_20253</v>
      </c>
      <c r="X2079" t="s">
        <v>1615</v>
      </c>
    </row>
    <row r="2080" spans="1:24" hidden="1" x14ac:dyDescent="0.35">
      <c r="A2080">
        <v>6</v>
      </c>
      <c r="B2080" t="s">
        <v>3714</v>
      </c>
      <c r="C2080" s="1">
        <v>45730</v>
      </c>
      <c r="D2080" t="s">
        <v>3465</v>
      </c>
      <c r="E2080" t="s">
        <v>3466</v>
      </c>
      <c r="F2080" t="s">
        <v>149</v>
      </c>
      <c r="G2080" t="s">
        <v>3472</v>
      </c>
      <c r="J2080">
        <v>0.81299999999999994</v>
      </c>
      <c r="L2080">
        <v>5</v>
      </c>
      <c r="N2080" t="s">
        <v>23</v>
      </c>
      <c r="O2080" s="1">
        <v>46095</v>
      </c>
      <c r="S2080" t="s">
        <v>3714</v>
      </c>
      <c r="T2080" s="6" t="s">
        <v>941</v>
      </c>
      <c r="U2080" s="6" t="s">
        <v>951</v>
      </c>
      <c r="V2080" s="2" t="s">
        <v>1650</v>
      </c>
      <c r="W2080" t="str">
        <f t="shared" si="33"/>
        <v>Waste_20253</v>
      </c>
      <c r="X2080" t="s">
        <v>1615</v>
      </c>
    </row>
    <row r="2081" spans="1:24" hidden="1" x14ac:dyDescent="0.35">
      <c r="A2081">
        <v>1</v>
      </c>
      <c r="B2081" t="s">
        <v>3714</v>
      </c>
      <c r="C2081" s="1">
        <v>45706</v>
      </c>
      <c r="D2081" t="s">
        <v>3473</v>
      </c>
      <c r="E2081" t="s">
        <v>3466</v>
      </c>
      <c r="F2081" t="s">
        <v>1759</v>
      </c>
      <c r="G2081" t="s">
        <v>3487</v>
      </c>
      <c r="J2081">
        <v>0.97699999999999998</v>
      </c>
      <c r="L2081">
        <v>1</v>
      </c>
      <c r="N2081" t="s">
        <v>23</v>
      </c>
      <c r="O2081" s="1">
        <v>46071</v>
      </c>
      <c r="S2081" t="s">
        <v>3714</v>
      </c>
      <c r="T2081" s="6" t="s">
        <v>921</v>
      </c>
      <c r="U2081" s="6" t="s">
        <v>930</v>
      </c>
      <c r="V2081" s="2" t="s">
        <v>1650</v>
      </c>
      <c r="W2081" t="str">
        <f t="shared" si="33"/>
        <v>Waste_20252</v>
      </c>
      <c r="X2081" t="s">
        <v>1616</v>
      </c>
    </row>
    <row r="2082" spans="1:24" hidden="1" x14ac:dyDescent="0.35">
      <c r="A2082">
        <v>2</v>
      </c>
      <c r="B2082" t="s">
        <v>3714</v>
      </c>
      <c r="C2082" s="1">
        <v>45707</v>
      </c>
      <c r="D2082" t="s">
        <v>3474</v>
      </c>
      <c r="E2082" t="s">
        <v>3466</v>
      </c>
      <c r="F2082" t="s">
        <v>1759</v>
      </c>
      <c r="G2082" t="s">
        <v>3488</v>
      </c>
      <c r="J2082">
        <v>0.875</v>
      </c>
      <c r="L2082">
        <v>1</v>
      </c>
      <c r="N2082" t="s">
        <v>23</v>
      </c>
      <c r="O2082" s="1">
        <v>46072</v>
      </c>
      <c r="S2082" t="s">
        <v>3714</v>
      </c>
      <c r="T2082" s="6" t="s">
        <v>921</v>
      </c>
      <c r="U2082" s="6" t="s">
        <v>931</v>
      </c>
      <c r="V2082" s="2" t="s">
        <v>1650</v>
      </c>
      <c r="W2082" t="str">
        <f t="shared" si="33"/>
        <v>Waste_20252</v>
      </c>
      <c r="X2082" t="s">
        <v>1616</v>
      </c>
    </row>
    <row r="2083" spans="1:24" hidden="1" x14ac:dyDescent="0.35">
      <c r="A2083">
        <v>3</v>
      </c>
      <c r="B2083" t="s">
        <v>3714</v>
      </c>
      <c r="C2083" s="1">
        <v>45708</v>
      </c>
      <c r="D2083" t="s">
        <v>3475</v>
      </c>
      <c r="E2083" t="s">
        <v>3466</v>
      </c>
      <c r="F2083" t="s">
        <v>1750</v>
      </c>
      <c r="G2083" t="s">
        <v>3489</v>
      </c>
      <c r="J2083">
        <v>0.86399999999999999</v>
      </c>
      <c r="L2083">
        <v>3</v>
      </c>
      <c r="N2083" t="s">
        <v>23</v>
      </c>
      <c r="O2083" s="1">
        <v>46073</v>
      </c>
      <c r="S2083" t="s">
        <v>3714</v>
      </c>
      <c r="T2083" s="6" t="s">
        <v>921</v>
      </c>
      <c r="U2083" s="6" t="s">
        <v>932</v>
      </c>
      <c r="V2083" s="2" t="s">
        <v>1650</v>
      </c>
      <c r="W2083" t="str">
        <f t="shared" si="33"/>
        <v>Waste_20252</v>
      </c>
      <c r="X2083" t="s">
        <v>1616</v>
      </c>
    </row>
    <row r="2084" spans="1:24" hidden="1" x14ac:dyDescent="0.35">
      <c r="A2084">
        <v>4</v>
      </c>
      <c r="B2084" t="s">
        <v>3714</v>
      </c>
      <c r="C2084" s="1">
        <v>45709</v>
      </c>
      <c r="D2084" t="s">
        <v>3476</v>
      </c>
      <c r="E2084" t="s">
        <v>3466</v>
      </c>
      <c r="F2084" t="s">
        <v>1603</v>
      </c>
      <c r="G2084" t="s">
        <v>3490</v>
      </c>
      <c r="J2084">
        <v>0.82</v>
      </c>
      <c r="L2084">
        <v>2</v>
      </c>
      <c r="N2084" t="s">
        <v>23</v>
      </c>
      <c r="O2084" s="1">
        <v>46074</v>
      </c>
      <c r="S2084" t="s">
        <v>3714</v>
      </c>
      <c r="T2084" s="6" t="s">
        <v>921</v>
      </c>
      <c r="U2084" s="6" t="s">
        <v>944</v>
      </c>
      <c r="V2084" s="2" t="s">
        <v>1650</v>
      </c>
      <c r="W2084" t="str">
        <f t="shared" si="33"/>
        <v>Waste_20252</v>
      </c>
      <c r="X2084" t="s">
        <v>1616</v>
      </c>
    </row>
    <row r="2085" spans="1:24" hidden="1" x14ac:dyDescent="0.35">
      <c r="A2085">
        <v>5</v>
      </c>
      <c r="B2085" t="s">
        <v>3714</v>
      </c>
      <c r="C2085" s="1">
        <v>45712</v>
      </c>
      <c r="D2085" t="s">
        <v>3477</v>
      </c>
      <c r="E2085" t="s">
        <v>3466</v>
      </c>
      <c r="F2085" t="s">
        <v>1720</v>
      </c>
      <c r="G2085" t="s">
        <v>3491</v>
      </c>
      <c r="J2085">
        <v>0.95199999999999996</v>
      </c>
      <c r="L2085">
        <v>2</v>
      </c>
      <c r="N2085" t="s">
        <v>23</v>
      </c>
      <c r="O2085" s="1">
        <v>46077</v>
      </c>
      <c r="S2085" t="s">
        <v>3714</v>
      </c>
      <c r="T2085" s="6" t="s">
        <v>921</v>
      </c>
      <c r="U2085" s="6" t="s">
        <v>935</v>
      </c>
      <c r="V2085" s="2" t="s">
        <v>1650</v>
      </c>
      <c r="W2085" t="str">
        <f t="shared" si="33"/>
        <v>Waste_20252</v>
      </c>
      <c r="X2085" t="s">
        <v>1616</v>
      </c>
    </row>
    <row r="2086" spans="1:24" hidden="1" x14ac:dyDescent="0.35">
      <c r="A2086">
        <v>6</v>
      </c>
      <c r="B2086" t="s">
        <v>3714</v>
      </c>
      <c r="C2086" s="1">
        <v>45713</v>
      </c>
      <c r="D2086" t="s">
        <v>3478</v>
      </c>
      <c r="E2086" t="s">
        <v>3466</v>
      </c>
      <c r="F2086" t="s">
        <v>1603</v>
      </c>
      <c r="G2086" t="s">
        <v>3492</v>
      </c>
      <c r="J2086">
        <v>0.85699999999999998</v>
      </c>
      <c r="L2086">
        <v>4</v>
      </c>
      <c r="N2086" t="s">
        <v>23</v>
      </c>
      <c r="O2086" s="1">
        <v>46078</v>
      </c>
      <c r="S2086" t="s">
        <v>3714</v>
      </c>
      <c r="T2086" s="6" t="s">
        <v>921</v>
      </c>
      <c r="U2086" s="6" t="s">
        <v>922</v>
      </c>
      <c r="V2086" s="2" t="s">
        <v>1650</v>
      </c>
      <c r="W2086" t="str">
        <f t="shared" si="33"/>
        <v>Waste_20252</v>
      </c>
      <c r="X2086" t="s">
        <v>1616</v>
      </c>
    </row>
    <row r="2087" spans="1:24" hidden="1" x14ac:dyDescent="0.35">
      <c r="A2087">
        <v>7</v>
      </c>
      <c r="B2087" t="s">
        <v>3714</v>
      </c>
      <c r="C2087" s="1">
        <v>45714</v>
      </c>
      <c r="D2087" t="s">
        <v>3479</v>
      </c>
      <c r="E2087" t="s">
        <v>3466</v>
      </c>
      <c r="F2087" t="s">
        <v>3493</v>
      </c>
      <c r="G2087" t="s">
        <v>3494</v>
      </c>
      <c r="J2087">
        <v>0.82499999999999996</v>
      </c>
      <c r="L2087">
        <v>4</v>
      </c>
      <c r="N2087" t="s">
        <v>23</v>
      </c>
      <c r="O2087" s="1">
        <v>46079</v>
      </c>
      <c r="S2087" t="s">
        <v>3714</v>
      </c>
      <c r="T2087" s="6" t="s">
        <v>921</v>
      </c>
      <c r="U2087" s="6" t="s">
        <v>924</v>
      </c>
      <c r="V2087" s="2" t="s">
        <v>1650</v>
      </c>
      <c r="W2087" t="str">
        <f t="shared" si="33"/>
        <v>Waste_20252</v>
      </c>
      <c r="X2087" t="s">
        <v>1616</v>
      </c>
    </row>
    <row r="2088" spans="1:24" hidden="1" x14ac:dyDescent="0.35">
      <c r="A2088">
        <v>8</v>
      </c>
      <c r="B2088" t="s">
        <v>3714</v>
      </c>
      <c r="C2088" s="1">
        <v>45734</v>
      </c>
      <c r="D2088" t="s">
        <v>3480</v>
      </c>
      <c r="E2088" t="s">
        <v>3466</v>
      </c>
      <c r="F2088" t="s">
        <v>2013</v>
      </c>
      <c r="G2088" t="s">
        <v>3495</v>
      </c>
      <c r="J2088">
        <v>0.54</v>
      </c>
      <c r="L2088">
        <v>5</v>
      </c>
      <c r="N2088" t="s">
        <v>23</v>
      </c>
      <c r="S2088" t="s">
        <v>3714</v>
      </c>
      <c r="T2088" s="6" t="s">
        <v>941</v>
      </c>
      <c r="U2088" s="6" t="s">
        <v>930</v>
      </c>
      <c r="V2088" s="2" t="s">
        <v>1650</v>
      </c>
      <c r="W2088" t="str">
        <f t="shared" si="33"/>
        <v>Waste_20253</v>
      </c>
      <c r="X2088" t="s">
        <v>1616</v>
      </c>
    </row>
    <row r="2089" spans="1:24" hidden="1" x14ac:dyDescent="0.35">
      <c r="A2089">
        <v>9</v>
      </c>
      <c r="B2089" t="s">
        <v>3714</v>
      </c>
      <c r="C2089" s="1">
        <v>45736</v>
      </c>
      <c r="D2089" t="s">
        <v>1601</v>
      </c>
      <c r="E2089" t="s">
        <v>3466</v>
      </c>
      <c r="F2089" t="s">
        <v>1603</v>
      </c>
      <c r="G2089" t="s">
        <v>3496</v>
      </c>
      <c r="J2089">
        <v>0.95</v>
      </c>
      <c r="L2089">
        <v>2</v>
      </c>
      <c r="N2089" t="s">
        <v>23</v>
      </c>
      <c r="O2089" s="1">
        <v>46101</v>
      </c>
      <c r="S2089" t="s">
        <v>3714</v>
      </c>
      <c r="T2089" s="6" t="s">
        <v>941</v>
      </c>
      <c r="U2089" s="6" t="s">
        <v>932</v>
      </c>
      <c r="V2089" s="2" t="s">
        <v>1650</v>
      </c>
      <c r="W2089" t="str">
        <f t="shared" si="33"/>
        <v>Waste_20253</v>
      </c>
      <c r="X2089" t="s">
        <v>1616</v>
      </c>
    </row>
    <row r="2090" spans="1:24" hidden="1" x14ac:dyDescent="0.35">
      <c r="A2090">
        <v>10</v>
      </c>
      <c r="B2090" t="s">
        <v>3714</v>
      </c>
      <c r="C2090" s="1">
        <v>45737</v>
      </c>
      <c r="D2090" t="s">
        <v>3481</v>
      </c>
      <c r="E2090" t="s">
        <v>3466</v>
      </c>
      <c r="F2090" t="s">
        <v>1603</v>
      </c>
      <c r="G2090" t="s">
        <v>3497</v>
      </c>
      <c r="J2090">
        <v>0.76100000000000001</v>
      </c>
      <c r="L2090">
        <v>6</v>
      </c>
      <c r="N2090" t="s">
        <v>23</v>
      </c>
      <c r="O2090" s="1">
        <v>46102</v>
      </c>
      <c r="S2090" t="s">
        <v>3714</v>
      </c>
      <c r="T2090" s="6" t="s">
        <v>941</v>
      </c>
      <c r="U2090" s="6" t="s">
        <v>944</v>
      </c>
      <c r="V2090" s="2" t="s">
        <v>1650</v>
      </c>
      <c r="W2090" t="str">
        <f t="shared" si="33"/>
        <v>Waste_20253</v>
      </c>
      <c r="X2090" t="s">
        <v>1616</v>
      </c>
    </row>
    <row r="2091" spans="1:24" hidden="1" x14ac:dyDescent="0.35">
      <c r="A2091">
        <v>11</v>
      </c>
      <c r="B2091" t="s">
        <v>3714</v>
      </c>
      <c r="C2091" s="1">
        <v>45740</v>
      </c>
      <c r="D2091" t="s">
        <v>3482</v>
      </c>
      <c r="E2091" t="s">
        <v>3466</v>
      </c>
      <c r="F2091" t="s">
        <v>1609</v>
      </c>
      <c r="G2091" t="s">
        <v>3498</v>
      </c>
      <c r="J2091">
        <v>1</v>
      </c>
      <c r="L2091">
        <v>0</v>
      </c>
      <c r="N2091" t="s">
        <v>23</v>
      </c>
      <c r="O2091" s="1">
        <v>46105</v>
      </c>
      <c r="S2091" t="s">
        <v>3714</v>
      </c>
      <c r="T2091" s="6" t="s">
        <v>941</v>
      </c>
      <c r="U2091" s="6" t="s">
        <v>935</v>
      </c>
      <c r="V2091" s="2" t="s">
        <v>1650</v>
      </c>
      <c r="W2091" t="str">
        <f t="shared" si="33"/>
        <v>Waste_20253</v>
      </c>
      <c r="X2091" t="s">
        <v>1616</v>
      </c>
    </row>
    <row r="2092" spans="1:24" hidden="1" x14ac:dyDescent="0.35">
      <c r="A2092">
        <v>12</v>
      </c>
      <c r="B2092" t="s">
        <v>3714</v>
      </c>
      <c r="C2092" s="1">
        <v>45741</v>
      </c>
      <c r="D2092" t="s">
        <v>3483</v>
      </c>
      <c r="E2092" t="s">
        <v>3466</v>
      </c>
      <c r="F2092" t="s">
        <v>1764</v>
      </c>
      <c r="G2092" t="s">
        <v>3499</v>
      </c>
      <c r="J2092">
        <v>0.90900000000000003</v>
      </c>
      <c r="L2092">
        <v>2</v>
      </c>
      <c r="N2092" t="s">
        <v>23</v>
      </c>
      <c r="O2092" s="1">
        <v>46106</v>
      </c>
      <c r="S2092" t="s">
        <v>3714</v>
      </c>
      <c r="T2092" s="6" t="s">
        <v>941</v>
      </c>
      <c r="U2092" s="6" t="s">
        <v>922</v>
      </c>
      <c r="V2092" s="2" t="s">
        <v>1650</v>
      </c>
      <c r="W2092" t="str">
        <f t="shared" si="33"/>
        <v>Waste_20253</v>
      </c>
      <c r="X2092" t="s">
        <v>1616</v>
      </c>
    </row>
    <row r="2093" spans="1:24" hidden="1" x14ac:dyDescent="0.35">
      <c r="A2093">
        <v>13</v>
      </c>
      <c r="B2093" t="s">
        <v>3714</v>
      </c>
      <c r="C2093" s="1">
        <v>45742</v>
      </c>
      <c r="D2093" t="s">
        <v>3484</v>
      </c>
      <c r="E2093" t="s">
        <v>3466</v>
      </c>
      <c r="F2093" t="s">
        <v>1764</v>
      </c>
      <c r="G2093" t="s">
        <v>3500</v>
      </c>
      <c r="J2093">
        <v>0.93200000000000005</v>
      </c>
      <c r="L2093">
        <v>1</v>
      </c>
      <c r="N2093" t="s">
        <v>23</v>
      </c>
      <c r="O2093" s="1">
        <v>46107</v>
      </c>
      <c r="S2093" t="s">
        <v>3714</v>
      </c>
      <c r="T2093" s="6" t="s">
        <v>941</v>
      </c>
      <c r="U2093" s="6" t="s">
        <v>924</v>
      </c>
      <c r="V2093" s="2" t="s">
        <v>1650</v>
      </c>
      <c r="W2093" t="str">
        <f t="shared" si="33"/>
        <v>Waste_20253</v>
      </c>
      <c r="X2093" t="s">
        <v>1616</v>
      </c>
    </row>
    <row r="2094" spans="1:24" hidden="1" x14ac:dyDescent="0.35">
      <c r="A2094">
        <v>14</v>
      </c>
      <c r="B2094" t="s">
        <v>3714</v>
      </c>
      <c r="C2094" s="1">
        <v>45743</v>
      </c>
      <c r="D2094" t="s">
        <v>3485</v>
      </c>
      <c r="E2094" t="s">
        <v>3466</v>
      </c>
      <c r="F2094" t="s">
        <v>1764</v>
      </c>
      <c r="G2094" t="s">
        <v>3501</v>
      </c>
      <c r="J2094">
        <v>1</v>
      </c>
      <c r="L2094">
        <v>0</v>
      </c>
      <c r="N2094" t="s">
        <v>23</v>
      </c>
      <c r="O2094" s="1">
        <v>46108</v>
      </c>
      <c r="S2094" t="s">
        <v>3714</v>
      </c>
      <c r="T2094" s="6" t="s">
        <v>941</v>
      </c>
      <c r="U2094" s="6" t="s">
        <v>925</v>
      </c>
      <c r="V2094" s="2" t="s">
        <v>1650</v>
      </c>
      <c r="W2094" t="str">
        <f t="shared" si="33"/>
        <v>Waste_20253</v>
      </c>
      <c r="X2094" t="s">
        <v>1616</v>
      </c>
    </row>
    <row r="2095" spans="1:24" hidden="1" x14ac:dyDescent="0.35">
      <c r="A2095">
        <v>15</v>
      </c>
      <c r="B2095" t="s">
        <v>3714</v>
      </c>
      <c r="C2095" s="1">
        <v>45744</v>
      </c>
      <c r="D2095" t="s">
        <v>3486</v>
      </c>
      <c r="E2095" t="s">
        <v>3466</v>
      </c>
      <c r="F2095" t="s">
        <v>3493</v>
      </c>
      <c r="G2095" t="s">
        <v>3502</v>
      </c>
      <c r="J2095">
        <v>0.72699999999999998</v>
      </c>
      <c r="L2095">
        <v>4</v>
      </c>
      <c r="N2095" t="s">
        <v>23</v>
      </c>
      <c r="O2095" s="1">
        <v>46109</v>
      </c>
      <c r="S2095" t="s">
        <v>3714</v>
      </c>
      <c r="T2095" s="6" t="s">
        <v>941</v>
      </c>
      <c r="U2095" s="6" t="s">
        <v>926</v>
      </c>
      <c r="V2095" s="2" t="s">
        <v>1650</v>
      </c>
      <c r="W2095" t="str">
        <f t="shared" si="33"/>
        <v>Waste_20253</v>
      </c>
      <c r="X2095" t="s">
        <v>1616</v>
      </c>
    </row>
    <row r="2096" spans="1:24" hidden="1" x14ac:dyDescent="0.35">
      <c r="A2096">
        <v>16</v>
      </c>
      <c r="B2096" t="s">
        <v>3714</v>
      </c>
      <c r="C2096" s="1">
        <v>45803</v>
      </c>
      <c r="D2096" t="s">
        <v>3758</v>
      </c>
      <c r="E2096" t="s">
        <v>3466</v>
      </c>
      <c r="F2096" t="s">
        <v>3764</v>
      </c>
      <c r="G2096" t="s">
        <v>3763</v>
      </c>
      <c r="J2096">
        <v>0.85699999999999998</v>
      </c>
      <c r="L2096">
        <v>5</v>
      </c>
      <c r="N2096" t="s">
        <v>23</v>
      </c>
      <c r="O2096" s="1">
        <v>46168</v>
      </c>
      <c r="S2096" t="s">
        <v>3714</v>
      </c>
      <c r="T2096" s="5">
        <v>3</v>
      </c>
      <c r="U2096" s="5">
        <v>26</v>
      </c>
      <c r="V2096">
        <v>2025</v>
      </c>
      <c r="W2096" t="str">
        <f t="shared" si="33"/>
        <v>Waste_20253</v>
      </c>
      <c r="X2096" t="s">
        <v>1616</v>
      </c>
    </row>
    <row r="2097" spans="1:24" hidden="1" x14ac:dyDescent="0.35">
      <c r="A2097">
        <v>7</v>
      </c>
      <c r="B2097" t="s">
        <v>3714</v>
      </c>
      <c r="C2097" s="1">
        <v>45783</v>
      </c>
      <c r="D2097" t="s">
        <v>3748</v>
      </c>
      <c r="E2097" t="s">
        <v>3466</v>
      </c>
      <c r="F2097" t="s">
        <v>116</v>
      </c>
      <c r="G2097" t="s">
        <v>3749</v>
      </c>
      <c r="J2097">
        <v>0.77100000000000002</v>
      </c>
      <c r="L2097">
        <v>1</v>
      </c>
      <c r="N2097" t="s">
        <v>23</v>
      </c>
      <c r="O2097" s="1">
        <v>46148</v>
      </c>
      <c r="S2097" t="s">
        <v>3714</v>
      </c>
      <c r="T2097" s="5">
        <v>5</v>
      </c>
      <c r="U2097" s="5">
        <v>6</v>
      </c>
      <c r="V2097">
        <v>2025</v>
      </c>
      <c r="W2097" t="str">
        <f t="shared" si="33"/>
        <v>Waste_20255</v>
      </c>
      <c r="X2097" t="s">
        <v>1615</v>
      </c>
    </row>
    <row r="2098" spans="1:24" hidden="1" x14ac:dyDescent="0.35">
      <c r="A2098">
        <v>8</v>
      </c>
      <c r="B2098" t="s">
        <v>3714</v>
      </c>
      <c r="C2098" s="1">
        <v>45786</v>
      </c>
      <c r="D2098" t="s">
        <v>3750</v>
      </c>
      <c r="E2098" t="s">
        <v>3466</v>
      </c>
      <c r="F2098" t="s">
        <v>553</v>
      </c>
      <c r="G2098" t="s">
        <v>3751</v>
      </c>
      <c r="J2098">
        <v>0.56000000000000005</v>
      </c>
      <c r="L2098">
        <v>7</v>
      </c>
      <c r="N2098" t="s">
        <v>23</v>
      </c>
      <c r="S2098" t="s">
        <v>3714</v>
      </c>
      <c r="T2098" s="5">
        <v>5</v>
      </c>
      <c r="U2098" s="5">
        <v>9</v>
      </c>
      <c r="V2098">
        <v>2025</v>
      </c>
      <c r="W2098" t="str">
        <f t="shared" si="33"/>
        <v>Waste_20255</v>
      </c>
      <c r="X2098" t="s">
        <v>1615</v>
      </c>
    </row>
    <row r="2099" spans="1:24" hidden="1" x14ac:dyDescent="0.35">
      <c r="A2099">
        <v>17</v>
      </c>
      <c r="B2099" t="s">
        <v>3714</v>
      </c>
      <c r="C2099" s="1">
        <v>45804</v>
      </c>
      <c r="D2099" t="s">
        <v>3759</v>
      </c>
      <c r="E2099" t="s">
        <v>3466</v>
      </c>
      <c r="F2099" t="s">
        <v>1609</v>
      </c>
      <c r="G2099" t="s">
        <v>3765</v>
      </c>
      <c r="J2099">
        <v>0.80600000000000005</v>
      </c>
      <c r="L2099">
        <v>4</v>
      </c>
      <c r="N2099" t="s">
        <v>23</v>
      </c>
      <c r="O2099" s="1">
        <v>46169</v>
      </c>
      <c r="S2099" t="s">
        <v>3714</v>
      </c>
      <c r="T2099" s="5">
        <v>5</v>
      </c>
      <c r="U2099" s="5">
        <v>27</v>
      </c>
      <c r="V2099">
        <v>2025</v>
      </c>
      <c r="W2099" t="str">
        <f t="shared" si="33"/>
        <v>Waste_20255</v>
      </c>
      <c r="X2099" t="s">
        <v>1616</v>
      </c>
    </row>
    <row r="2100" spans="1:24" hidden="1" x14ac:dyDescent="0.35">
      <c r="A2100">
        <v>18</v>
      </c>
      <c r="B2100" t="s">
        <v>3714</v>
      </c>
      <c r="C2100" s="1">
        <v>45805</v>
      </c>
      <c r="D2100" t="s">
        <v>3760</v>
      </c>
      <c r="E2100" t="s">
        <v>3466</v>
      </c>
      <c r="F2100" t="s">
        <v>1764</v>
      </c>
      <c r="G2100" t="s">
        <v>3766</v>
      </c>
      <c r="J2100">
        <v>1</v>
      </c>
      <c r="L2100">
        <v>0</v>
      </c>
      <c r="N2100" t="s">
        <v>23</v>
      </c>
      <c r="O2100" s="1">
        <v>46170</v>
      </c>
      <c r="S2100" t="s">
        <v>3714</v>
      </c>
      <c r="T2100" s="5">
        <v>5</v>
      </c>
      <c r="U2100" s="5">
        <v>28</v>
      </c>
      <c r="V2100">
        <v>2025</v>
      </c>
      <c r="W2100" t="str">
        <f t="shared" si="33"/>
        <v>Waste_20255</v>
      </c>
      <c r="X2100" t="s">
        <v>1616</v>
      </c>
    </row>
    <row r="2101" spans="1:24" hidden="1" x14ac:dyDescent="0.35">
      <c r="A2101">
        <v>19</v>
      </c>
      <c r="B2101" t="s">
        <v>3714</v>
      </c>
      <c r="C2101" s="1">
        <v>45806</v>
      </c>
      <c r="D2101" t="s">
        <v>3761</v>
      </c>
      <c r="E2101" t="s">
        <v>3466</v>
      </c>
      <c r="F2101" t="s">
        <v>3493</v>
      </c>
      <c r="G2101" t="s">
        <v>3767</v>
      </c>
      <c r="J2101">
        <v>1</v>
      </c>
      <c r="L2101">
        <v>0</v>
      </c>
      <c r="N2101" t="s">
        <v>23</v>
      </c>
      <c r="O2101" s="1">
        <v>46171</v>
      </c>
      <c r="S2101" t="s">
        <v>3714</v>
      </c>
      <c r="T2101" s="5">
        <v>5</v>
      </c>
      <c r="U2101" s="5">
        <v>29</v>
      </c>
      <c r="V2101">
        <v>2025</v>
      </c>
      <c r="W2101" t="str">
        <f t="shared" si="33"/>
        <v>Waste_20255</v>
      </c>
      <c r="X2101" t="s">
        <v>1616</v>
      </c>
    </row>
    <row r="2102" spans="1:24" hidden="1" x14ac:dyDescent="0.35">
      <c r="A2102">
        <v>20</v>
      </c>
      <c r="B2102" t="s">
        <v>3714</v>
      </c>
      <c r="C2102" s="1">
        <v>45807</v>
      </c>
      <c r="D2102" t="s">
        <v>3762</v>
      </c>
      <c r="E2102" t="s">
        <v>3466</v>
      </c>
      <c r="F2102" t="s">
        <v>1603</v>
      </c>
      <c r="G2102" t="s">
        <v>3768</v>
      </c>
      <c r="J2102">
        <v>0.97699999999999998</v>
      </c>
      <c r="L2102">
        <v>1</v>
      </c>
      <c r="N2102" t="s">
        <v>23</v>
      </c>
      <c r="O2102" s="1">
        <v>46172</v>
      </c>
      <c r="S2102" t="s">
        <v>3714</v>
      </c>
      <c r="T2102" s="5">
        <v>5</v>
      </c>
      <c r="U2102" s="5">
        <v>30</v>
      </c>
      <c r="V2102">
        <v>2025</v>
      </c>
      <c r="W2102" t="str">
        <f t="shared" si="33"/>
        <v>Waste_20255</v>
      </c>
      <c r="X2102" t="s">
        <v>1616</v>
      </c>
    </row>
    <row r="2103" spans="1:24" hidden="1" x14ac:dyDescent="0.35">
      <c r="A2103">
        <v>40</v>
      </c>
      <c r="C2103" s="1">
        <v>45569</v>
      </c>
      <c r="D2103" t="s">
        <v>2292</v>
      </c>
      <c r="F2103" t="s">
        <v>2079</v>
      </c>
      <c r="G2103" t="s">
        <v>20</v>
      </c>
      <c r="H2103" t="s">
        <v>2293</v>
      </c>
      <c r="I2103" t="s">
        <v>1989</v>
      </c>
      <c r="S2103" t="s">
        <v>1061</v>
      </c>
      <c r="T2103" s="5">
        <v>10</v>
      </c>
      <c r="U2103" s="5">
        <v>4</v>
      </c>
      <c r="V2103" s="5">
        <v>2024</v>
      </c>
      <c r="W2103" t="str">
        <f t="shared" si="33"/>
        <v>_202410</v>
      </c>
      <c r="X2103" s="2" t="s">
        <v>1615</v>
      </c>
    </row>
    <row r="2104" spans="1:24" hidden="1" x14ac:dyDescent="0.35">
      <c r="C2104" s="1">
        <v>45351</v>
      </c>
      <c r="D2104" t="s">
        <v>2218</v>
      </c>
      <c r="F2104" t="s">
        <v>1974</v>
      </c>
      <c r="G2104" t="s">
        <v>1606</v>
      </c>
      <c r="H2104" t="s">
        <v>2219</v>
      </c>
      <c r="I2104" t="s">
        <v>1989</v>
      </c>
      <c r="S2104" t="s">
        <v>1061</v>
      </c>
      <c r="T2104" s="5" t="s">
        <v>921</v>
      </c>
      <c r="U2104" s="5" t="s">
        <v>937</v>
      </c>
      <c r="V2104" t="s">
        <v>956</v>
      </c>
      <c r="W2104" t="str">
        <f t="shared" si="33"/>
        <v>_20242</v>
      </c>
      <c r="X2104" s="2" t="s">
        <v>1616</v>
      </c>
    </row>
    <row r="2105" spans="1:24" hidden="1" x14ac:dyDescent="0.35">
      <c r="C2105" s="1">
        <v>45351</v>
      </c>
      <c r="D2105" t="s">
        <v>2220</v>
      </c>
      <c r="F2105" t="s">
        <v>1974</v>
      </c>
      <c r="G2105" t="s">
        <v>1606</v>
      </c>
      <c r="H2105" t="s">
        <v>2221</v>
      </c>
      <c r="I2105" t="s">
        <v>1976</v>
      </c>
      <c r="S2105" t="s">
        <v>1061</v>
      </c>
      <c r="T2105" s="5" t="s">
        <v>921</v>
      </c>
      <c r="U2105" s="5" t="s">
        <v>937</v>
      </c>
      <c r="V2105" t="s">
        <v>956</v>
      </c>
      <c r="W2105" t="str">
        <f t="shared" si="33"/>
        <v>_20242</v>
      </c>
      <c r="X2105" s="2" t="s">
        <v>1616</v>
      </c>
    </row>
    <row r="2106" spans="1:24" hidden="1" x14ac:dyDescent="0.35">
      <c r="C2106" s="1">
        <v>45351</v>
      </c>
      <c r="D2106" t="s">
        <v>2222</v>
      </c>
      <c r="F2106" t="s">
        <v>1991</v>
      </c>
      <c r="G2106" t="s">
        <v>1606</v>
      </c>
      <c r="H2106" t="s">
        <v>2223</v>
      </c>
      <c r="I2106" t="s">
        <v>1976</v>
      </c>
      <c r="S2106" t="s">
        <v>1061</v>
      </c>
      <c r="T2106" s="5" t="s">
        <v>921</v>
      </c>
      <c r="U2106" s="5" t="s">
        <v>937</v>
      </c>
      <c r="V2106" t="s">
        <v>956</v>
      </c>
      <c r="W2106" t="str">
        <f t="shared" si="33"/>
        <v>_20242</v>
      </c>
      <c r="X2106" s="2" t="s">
        <v>1616</v>
      </c>
    </row>
    <row r="2107" spans="1:24" hidden="1" x14ac:dyDescent="0.35">
      <c r="C2107" s="1">
        <v>45351</v>
      </c>
      <c r="D2107" t="s">
        <v>2224</v>
      </c>
      <c r="F2107" t="s">
        <v>1974</v>
      </c>
      <c r="G2107" t="s">
        <v>1606</v>
      </c>
      <c r="H2107" t="s">
        <v>2225</v>
      </c>
      <c r="I2107" t="s">
        <v>1976</v>
      </c>
      <c r="S2107" t="s">
        <v>1061</v>
      </c>
      <c r="T2107" s="5" t="s">
        <v>921</v>
      </c>
      <c r="U2107" s="5" t="s">
        <v>937</v>
      </c>
      <c r="V2107" t="s">
        <v>956</v>
      </c>
      <c r="W2107" t="str">
        <f t="shared" si="33"/>
        <v>_20242</v>
      </c>
      <c r="X2107" s="2" t="s">
        <v>1616</v>
      </c>
    </row>
    <row r="2108" spans="1:24" hidden="1" x14ac:dyDescent="0.35">
      <c r="C2108" s="1">
        <v>45351</v>
      </c>
      <c r="D2108" t="s">
        <v>2226</v>
      </c>
      <c r="F2108" t="s">
        <v>1974</v>
      </c>
      <c r="G2108" t="s">
        <v>1750</v>
      </c>
      <c r="H2108" t="s">
        <v>2227</v>
      </c>
      <c r="I2108" t="s">
        <v>1976</v>
      </c>
      <c r="S2108" t="s">
        <v>1061</v>
      </c>
      <c r="T2108" s="5" t="s">
        <v>921</v>
      </c>
      <c r="U2108" s="5" t="s">
        <v>937</v>
      </c>
      <c r="V2108" t="s">
        <v>956</v>
      </c>
      <c r="W2108" t="str">
        <f t="shared" si="33"/>
        <v>_20242</v>
      </c>
      <c r="X2108" s="2" t="s">
        <v>1616</v>
      </c>
    </row>
    <row r="2109" spans="1:24" hidden="1" x14ac:dyDescent="0.35">
      <c r="C2109" s="1">
        <v>45351</v>
      </c>
      <c r="D2109" t="s">
        <v>2228</v>
      </c>
      <c r="F2109" t="s">
        <v>1978</v>
      </c>
      <c r="G2109" t="s">
        <v>1735</v>
      </c>
      <c r="H2109" t="s">
        <v>2229</v>
      </c>
      <c r="I2109" t="s">
        <v>1989</v>
      </c>
      <c r="S2109" t="s">
        <v>1061</v>
      </c>
      <c r="T2109" s="5" t="s">
        <v>921</v>
      </c>
      <c r="U2109" s="5" t="s">
        <v>937</v>
      </c>
      <c r="V2109" t="s">
        <v>956</v>
      </c>
      <c r="W2109" t="str">
        <f t="shared" si="33"/>
        <v>_20242</v>
      </c>
      <c r="X2109" s="2" t="s">
        <v>1616</v>
      </c>
    </row>
    <row r="2110" spans="1:24" hidden="1" x14ac:dyDescent="0.35">
      <c r="C2110" s="1">
        <v>45351</v>
      </c>
      <c r="D2110" t="s">
        <v>2230</v>
      </c>
      <c r="F2110" t="s">
        <v>1974</v>
      </c>
      <c r="G2110" t="s">
        <v>2013</v>
      </c>
      <c r="H2110" t="s">
        <v>2231</v>
      </c>
      <c r="I2110" t="s">
        <v>1993</v>
      </c>
      <c r="S2110" t="s">
        <v>1061</v>
      </c>
      <c r="T2110" s="5" t="s">
        <v>921</v>
      </c>
      <c r="U2110" s="5" t="s">
        <v>937</v>
      </c>
      <c r="V2110" t="s">
        <v>956</v>
      </c>
      <c r="W2110" t="str">
        <f t="shared" si="33"/>
        <v>_20242</v>
      </c>
      <c r="X2110" s="2" t="s">
        <v>1616</v>
      </c>
    </row>
    <row r="2111" spans="1:24" hidden="1" x14ac:dyDescent="0.35">
      <c r="C2111" s="1">
        <v>45351</v>
      </c>
      <c r="D2111" t="s">
        <v>2232</v>
      </c>
      <c r="F2111" t="s">
        <v>1978</v>
      </c>
      <c r="G2111" t="s">
        <v>1911</v>
      </c>
      <c r="H2111" t="s">
        <v>2233</v>
      </c>
      <c r="I2111" t="s">
        <v>1989</v>
      </c>
      <c r="S2111" t="s">
        <v>1061</v>
      </c>
      <c r="T2111" s="5" t="s">
        <v>921</v>
      </c>
      <c r="U2111" s="5" t="s">
        <v>937</v>
      </c>
      <c r="V2111" t="s">
        <v>956</v>
      </c>
      <c r="W2111" t="str">
        <f t="shared" si="33"/>
        <v>_20242</v>
      </c>
      <c r="X2111" s="2" t="s">
        <v>1616</v>
      </c>
    </row>
    <row r="2112" spans="1:24" hidden="1" x14ac:dyDescent="0.35">
      <c r="C2112" s="1">
        <v>45351</v>
      </c>
      <c r="D2112" t="s">
        <v>1484</v>
      </c>
      <c r="F2112" t="s">
        <v>1991</v>
      </c>
      <c r="G2112" t="s">
        <v>2039</v>
      </c>
      <c r="H2112" t="s">
        <v>2234</v>
      </c>
      <c r="I2112" t="s">
        <v>1993</v>
      </c>
      <c r="S2112" t="s">
        <v>1061</v>
      </c>
      <c r="T2112" s="5" t="s">
        <v>921</v>
      </c>
      <c r="U2112" s="5" t="s">
        <v>937</v>
      </c>
      <c r="V2112" t="s">
        <v>956</v>
      </c>
      <c r="W2112" t="str">
        <f t="shared" si="33"/>
        <v>_20242</v>
      </c>
      <c r="X2112" s="2" t="s">
        <v>1616</v>
      </c>
    </row>
    <row r="2113" spans="3:24" hidden="1" x14ac:dyDescent="0.35">
      <c r="C2113" s="1">
        <v>45351</v>
      </c>
      <c r="D2113" t="s">
        <v>2235</v>
      </c>
      <c r="F2113" t="s">
        <v>1978</v>
      </c>
      <c r="G2113" t="s">
        <v>1911</v>
      </c>
      <c r="H2113" t="s">
        <v>2236</v>
      </c>
      <c r="I2113" t="s">
        <v>1976</v>
      </c>
      <c r="S2113" t="s">
        <v>1061</v>
      </c>
      <c r="T2113" s="5" t="s">
        <v>921</v>
      </c>
      <c r="U2113" s="5" t="s">
        <v>937</v>
      </c>
      <c r="V2113" t="s">
        <v>956</v>
      </c>
      <c r="W2113" t="str">
        <f t="shared" ref="W2113:W2176" si="34">CONCATENATE(B2113,"_",V2113,T2113)</f>
        <v>_20242</v>
      </c>
      <c r="X2113" s="2" t="s">
        <v>1616</v>
      </c>
    </row>
    <row r="2114" spans="3:24" hidden="1" x14ac:dyDescent="0.35">
      <c r="C2114" s="1">
        <v>45351</v>
      </c>
      <c r="D2114" t="s">
        <v>1487</v>
      </c>
      <c r="F2114" t="s">
        <v>2171</v>
      </c>
      <c r="G2114" t="s">
        <v>1603</v>
      </c>
      <c r="H2114" t="s">
        <v>2237</v>
      </c>
      <c r="I2114" t="s">
        <v>1976</v>
      </c>
      <c r="S2114" t="s">
        <v>1061</v>
      </c>
      <c r="T2114" s="5" t="s">
        <v>921</v>
      </c>
      <c r="U2114" s="5" t="s">
        <v>937</v>
      </c>
      <c r="V2114" t="s">
        <v>956</v>
      </c>
      <c r="W2114" t="str">
        <f t="shared" si="34"/>
        <v>_20242</v>
      </c>
      <c r="X2114" s="2" t="s">
        <v>1616</v>
      </c>
    </row>
    <row r="2115" spans="3:24" hidden="1" x14ac:dyDescent="0.35">
      <c r="C2115" s="1">
        <v>45351</v>
      </c>
      <c r="D2115" t="s">
        <v>2238</v>
      </c>
      <c r="F2115" t="s">
        <v>1974</v>
      </c>
      <c r="G2115" t="s">
        <v>1603</v>
      </c>
      <c r="H2115" t="s">
        <v>2239</v>
      </c>
      <c r="I2115" t="s">
        <v>1993</v>
      </c>
      <c r="S2115" t="s">
        <v>1061</v>
      </c>
      <c r="T2115" s="5" t="s">
        <v>921</v>
      </c>
      <c r="U2115" s="5" t="s">
        <v>937</v>
      </c>
      <c r="V2115" t="s">
        <v>956</v>
      </c>
      <c r="W2115" t="str">
        <f t="shared" si="34"/>
        <v>_20242</v>
      </c>
      <c r="X2115" s="2" t="s">
        <v>1616</v>
      </c>
    </row>
    <row r="2116" spans="3:24" hidden="1" x14ac:dyDescent="0.35">
      <c r="C2116" s="1">
        <v>45351</v>
      </c>
      <c r="D2116" t="s">
        <v>2240</v>
      </c>
      <c r="F2116" t="s">
        <v>1978</v>
      </c>
      <c r="G2116" t="s">
        <v>1606</v>
      </c>
      <c r="H2116" t="s">
        <v>2241</v>
      </c>
      <c r="I2116" t="s">
        <v>1983</v>
      </c>
      <c r="S2116" t="s">
        <v>1061</v>
      </c>
      <c r="T2116" s="5" t="s">
        <v>921</v>
      </c>
      <c r="U2116" s="5" t="s">
        <v>937</v>
      </c>
      <c r="V2116" t="s">
        <v>956</v>
      </c>
      <c r="W2116" t="str">
        <f t="shared" si="34"/>
        <v>_20242</v>
      </c>
      <c r="X2116" s="2" t="s">
        <v>1616</v>
      </c>
    </row>
    <row r="2117" spans="3:24" hidden="1" x14ac:dyDescent="0.35">
      <c r="C2117" s="1">
        <v>45351</v>
      </c>
      <c r="D2117" t="s">
        <v>2242</v>
      </c>
      <c r="F2117" t="s">
        <v>1974</v>
      </c>
      <c r="G2117" t="s">
        <v>1606</v>
      </c>
      <c r="H2117" t="s">
        <v>2243</v>
      </c>
      <c r="I2117" t="s">
        <v>1976</v>
      </c>
      <c r="S2117" t="s">
        <v>1061</v>
      </c>
      <c r="T2117" s="5" t="s">
        <v>921</v>
      </c>
      <c r="U2117" s="5" t="s">
        <v>937</v>
      </c>
      <c r="V2117" t="s">
        <v>956</v>
      </c>
      <c r="W2117" t="str">
        <f t="shared" si="34"/>
        <v>_20242</v>
      </c>
      <c r="X2117" s="2" t="s">
        <v>1616</v>
      </c>
    </row>
    <row r="2118" spans="3:24" hidden="1" x14ac:dyDescent="0.35">
      <c r="C2118" s="1">
        <v>45351</v>
      </c>
      <c r="D2118" t="s">
        <v>2244</v>
      </c>
      <c r="F2118" t="s">
        <v>1974</v>
      </c>
      <c r="G2118" t="s">
        <v>2013</v>
      </c>
      <c r="H2118" t="s">
        <v>2245</v>
      </c>
      <c r="I2118" t="s">
        <v>1989</v>
      </c>
      <c r="S2118" t="s">
        <v>1061</v>
      </c>
      <c r="T2118" s="5" t="s">
        <v>921</v>
      </c>
      <c r="U2118" s="5" t="s">
        <v>937</v>
      </c>
      <c r="V2118" t="s">
        <v>956</v>
      </c>
      <c r="W2118" t="str">
        <f t="shared" si="34"/>
        <v>_20242</v>
      </c>
      <c r="X2118" s="2" t="s">
        <v>1616</v>
      </c>
    </row>
    <row r="2119" spans="3:24" hidden="1" x14ac:dyDescent="0.35">
      <c r="C2119" s="1">
        <v>45351</v>
      </c>
      <c r="D2119" t="s">
        <v>2246</v>
      </c>
      <c r="F2119" t="s">
        <v>1981</v>
      </c>
      <c r="G2119" t="s">
        <v>1603</v>
      </c>
      <c r="H2119" t="s">
        <v>2247</v>
      </c>
      <c r="I2119" t="s">
        <v>1983</v>
      </c>
      <c r="S2119" t="s">
        <v>1061</v>
      </c>
      <c r="T2119" s="5" t="s">
        <v>921</v>
      </c>
      <c r="U2119" s="5" t="s">
        <v>937</v>
      </c>
      <c r="V2119" t="s">
        <v>956</v>
      </c>
      <c r="W2119" t="str">
        <f t="shared" si="34"/>
        <v>_20242</v>
      </c>
      <c r="X2119" s="2" t="s">
        <v>1616</v>
      </c>
    </row>
    <row r="2120" spans="3:24" hidden="1" x14ac:dyDescent="0.35">
      <c r="C2120" s="1">
        <v>45351</v>
      </c>
      <c r="D2120" t="s">
        <v>2248</v>
      </c>
      <c r="F2120" t="s">
        <v>1974</v>
      </c>
      <c r="G2120" t="s">
        <v>1606</v>
      </c>
      <c r="H2120" t="s">
        <v>2249</v>
      </c>
      <c r="I2120" t="s">
        <v>1976</v>
      </c>
      <c r="S2120" t="s">
        <v>1061</v>
      </c>
      <c r="T2120" s="5" t="s">
        <v>921</v>
      </c>
      <c r="U2120" s="5" t="s">
        <v>937</v>
      </c>
      <c r="V2120" t="s">
        <v>956</v>
      </c>
      <c r="W2120" t="str">
        <f t="shared" si="34"/>
        <v>_20242</v>
      </c>
      <c r="X2120" s="2" t="s">
        <v>1616</v>
      </c>
    </row>
    <row r="2121" spans="3:24" hidden="1" x14ac:dyDescent="0.35">
      <c r="C2121" s="1">
        <v>45351</v>
      </c>
      <c r="D2121" t="s">
        <v>2250</v>
      </c>
      <c r="F2121" t="s">
        <v>1974</v>
      </c>
      <c r="G2121" t="s">
        <v>1606</v>
      </c>
      <c r="H2121" t="s">
        <v>2251</v>
      </c>
      <c r="I2121" t="s">
        <v>1976</v>
      </c>
      <c r="S2121" t="s">
        <v>1061</v>
      </c>
      <c r="T2121" s="5" t="s">
        <v>921</v>
      </c>
      <c r="U2121" s="5" t="s">
        <v>937</v>
      </c>
      <c r="V2121" t="s">
        <v>956</v>
      </c>
      <c r="W2121" t="str">
        <f t="shared" si="34"/>
        <v>_20242</v>
      </c>
      <c r="X2121" s="2" t="s">
        <v>1616</v>
      </c>
    </row>
    <row r="2122" spans="3:24" hidden="1" x14ac:dyDescent="0.35">
      <c r="C2122" s="1">
        <v>45351</v>
      </c>
      <c r="D2122" t="s">
        <v>2252</v>
      </c>
      <c r="F2122" t="s">
        <v>1974</v>
      </c>
      <c r="G2122" t="s">
        <v>2073</v>
      </c>
      <c r="H2122" t="s">
        <v>2253</v>
      </c>
      <c r="I2122" t="s">
        <v>1989</v>
      </c>
      <c r="S2122" t="s">
        <v>1061</v>
      </c>
      <c r="T2122" s="5" t="s">
        <v>921</v>
      </c>
      <c r="U2122" s="5" t="s">
        <v>937</v>
      </c>
      <c r="V2122" t="s">
        <v>956</v>
      </c>
      <c r="W2122" t="str">
        <f t="shared" si="34"/>
        <v>_20242</v>
      </c>
      <c r="X2122" s="2" t="s">
        <v>1616</v>
      </c>
    </row>
    <row r="2123" spans="3:24" hidden="1" x14ac:dyDescent="0.35">
      <c r="C2123" s="1">
        <v>45351</v>
      </c>
      <c r="D2123" t="s">
        <v>2254</v>
      </c>
      <c r="F2123" t="s">
        <v>1974</v>
      </c>
      <c r="G2123" t="s">
        <v>2013</v>
      </c>
      <c r="H2123" t="s">
        <v>2255</v>
      </c>
      <c r="I2123" t="s">
        <v>1993</v>
      </c>
      <c r="S2123" t="s">
        <v>1061</v>
      </c>
      <c r="T2123" s="5" t="s">
        <v>921</v>
      </c>
      <c r="U2123" s="5" t="s">
        <v>937</v>
      </c>
      <c r="V2123" t="s">
        <v>956</v>
      </c>
      <c r="W2123" t="str">
        <f t="shared" si="34"/>
        <v>_20242</v>
      </c>
      <c r="X2123" s="2" t="s">
        <v>1616</v>
      </c>
    </row>
    <row r="2124" spans="3:24" hidden="1" x14ac:dyDescent="0.35">
      <c r="C2124" s="1">
        <v>45351</v>
      </c>
      <c r="D2124" t="s">
        <v>2256</v>
      </c>
      <c r="F2124" t="s">
        <v>1991</v>
      </c>
      <c r="G2124" t="s">
        <v>1603</v>
      </c>
      <c r="H2124" t="s">
        <v>2257</v>
      </c>
      <c r="I2124" t="s">
        <v>1989</v>
      </c>
      <c r="S2124" t="s">
        <v>1061</v>
      </c>
      <c r="T2124" s="5" t="s">
        <v>921</v>
      </c>
      <c r="U2124" s="5" t="s">
        <v>937</v>
      </c>
      <c r="V2124" t="s">
        <v>956</v>
      </c>
      <c r="W2124" t="str">
        <f t="shared" si="34"/>
        <v>_20242</v>
      </c>
      <c r="X2124" s="2" t="s">
        <v>1616</v>
      </c>
    </row>
    <row r="2125" spans="3:24" hidden="1" x14ac:dyDescent="0.35">
      <c r="C2125" s="1">
        <v>45351</v>
      </c>
      <c r="D2125" t="s">
        <v>2258</v>
      </c>
      <c r="F2125" t="s">
        <v>1978</v>
      </c>
      <c r="G2125" t="s">
        <v>1911</v>
      </c>
      <c r="H2125" t="s">
        <v>2259</v>
      </c>
      <c r="I2125" t="s">
        <v>1976</v>
      </c>
      <c r="S2125" t="s">
        <v>1061</v>
      </c>
      <c r="T2125" s="5" t="s">
        <v>921</v>
      </c>
      <c r="U2125" s="5" t="s">
        <v>937</v>
      </c>
      <c r="V2125" t="s">
        <v>956</v>
      </c>
      <c r="W2125" t="str">
        <f t="shared" si="34"/>
        <v>_20242</v>
      </c>
      <c r="X2125" s="2" t="s">
        <v>1616</v>
      </c>
    </row>
    <row r="2126" spans="3:24" hidden="1" x14ac:dyDescent="0.35">
      <c r="C2126" s="1">
        <v>45394</v>
      </c>
      <c r="D2126" t="s">
        <v>2260</v>
      </c>
      <c r="F2126" t="s">
        <v>1991</v>
      </c>
      <c r="G2126" t="s">
        <v>1735</v>
      </c>
      <c r="H2126" t="s">
        <v>2261</v>
      </c>
      <c r="I2126" t="s">
        <v>1993</v>
      </c>
      <c r="S2126" t="s">
        <v>1061</v>
      </c>
      <c r="T2126" s="5">
        <v>4</v>
      </c>
      <c r="U2126" s="5">
        <v>12</v>
      </c>
      <c r="V2126" t="s">
        <v>956</v>
      </c>
      <c r="W2126" t="str">
        <f t="shared" si="34"/>
        <v>_20244</v>
      </c>
      <c r="X2126" s="2" t="s">
        <v>1616</v>
      </c>
    </row>
    <row r="2127" spans="3:24" hidden="1" x14ac:dyDescent="0.35">
      <c r="C2127" s="1">
        <v>45456</v>
      </c>
      <c r="D2127" t="s">
        <v>2262</v>
      </c>
      <c r="F2127" t="s">
        <v>1974</v>
      </c>
      <c r="G2127" t="s">
        <v>1606</v>
      </c>
      <c r="H2127" t="s">
        <v>2263</v>
      </c>
      <c r="I2127" t="s">
        <v>1989</v>
      </c>
      <c r="S2127" t="s">
        <v>1061</v>
      </c>
      <c r="T2127" s="5" t="s">
        <v>927</v>
      </c>
      <c r="U2127" s="5" t="s">
        <v>950</v>
      </c>
      <c r="V2127" t="s">
        <v>956</v>
      </c>
      <c r="W2127" t="str">
        <f t="shared" si="34"/>
        <v>_20246</v>
      </c>
      <c r="X2127" s="2" t="s">
        <v>1616</v>
      </c>
    </row>
    <row r="2128" spans="3:24" hidden="1" x14ac:dyDescent="0.35">
      <c r="C2128" s="1">
        <v>45456</v>
      </c>
      <c r="D2128" t="s">
        <v>2264</v>
      </c>
      <c r="F2128" t="s">
        <v>1978</v>
      </c>
      <c r="G2128" t="s">
        <v>1606</v>
      </c>
      <c r="H2128" t="s">
        <v>2265</v>
      </c>
      <c r="I2128" t="s">
        <v>1993</v>
      </c>
      <c r="S2128" t="s">
        <v>1061</v>
      </c>
      <c r="T2128" s="5" t="s">
        <v>927</v>
      </c>
      <c r="U2128" s="5" t="s">
        <v>950</v>
      </c>
      <c r="V2128" t="s">
        <v>956</v>
      </c>
      <c r="W2128" t="str">
        <f t="shared" si="34"/>
        <v>_20246</v>
      </c>
      <c r="X2128" s="2" t="s">
        <v>1616</v>
      </c>
    </row>
    <row r="2129" spans="1:24" hidden="1" x14ac:dyDescent="0.35">
      <c r="C2129" s="1">
        <v>45468</v>
      </c>
      <c r="D2129" t="s">
        <v>2266</v>
      </c>
      <c r="F2129" t="s">
        <v>1974</v>
      </c>
      <c r="G2129" t="s">
        <v>1606</v>
      </c>
      <c r="H2129" t="s">
        <v>2267</v>
      </c>
      <c r="I2129" t="s">
        <v>1989</v>
      </c>
      <c r="S2129" t="s">
        <v>1061</v>
      </c>
      <c r="T2129" s="5" t="s">
        <v>927</v>
      </c>
      <c r="U2129" s="5" t="s">
        <v>922</v>
      </c>
      <c r="V2129" t="s">
        <v>956</v>
      </c>
      <c r="W2129" t="str">
        <f t="shared" si="34"/>
        <v>_20246</v>
      </c>
      <c r="X2129" s="2" t="s">
        <v>1616</v>
      </c>
    </row>
    <row r="2130" spans="1:24" hidden="1" x14ac:dyDescent="0.35">
      <c r="A2130">
        <v>1</v>
      </c>
      <c r="C2130" s="1">
        <v>45293</v>
      </c>
      <c r="D2130" t="s">
        <v>983</v>
      </c>
      <c r="F2130" t="s">
        <v>148</v>
      </c>
      <c r="G2130" t="s">
        <v>238</v>
      </c>
      <c r="H2130" t="s">
        <v>1019</v>
      </c>
      <c r="J2130">
        <v>0.85</v>
      </c>
      <c r="N2130" t="s">
        <v>28</v>
      </c>
      <c r="O2130" s="1">
        <v>46024</v>
      </c>
      <c r="S2130" s="3" t="s">
        <v>1061</v>
      </c>
      <c r="W2130" t="str">
        <f t="shared" si="34"/>
        <v>_</v>
      </c>
      <c r="X2130" s="2" t="s">
        <v>1615</v>
      </c>
    </row>
    <row r="2131" spans="1:24" hidden="1" x14ac:dyDescent="0.35">
      <c r="A2131">
        <v>1</v>
      </c>
      <c r="C2131" s="1">
        <v>44705</v>
      </c>
      <c r="D2131" t="s">
        <v>662</v>
      </c>
      <c r="G2131" t="s">
        <v>33</v>
      </c>
      <c r="H2131" t="s">
        <v>1572</v>
      </c>
      <c r="J2131">
        <v>0.84</v>
      </c>
      <c r="N2131" t="s">
        <v>28</v>
      </c>
      <c r="O2131" s="1">
        <v>45436</v>
      </c>
      <c r="S2131" s="3" t="s">
        <v>1061</v>
      </c>
      <c r="T2131" s="6" t="s">
        <v>947</v>
      </c>
      <c r="U2131" s="6" t="s">
        <v>935</v>
      </c>
      <c r="V2131" s="2" t="s">
        <v>954</v>
      </c>
      <c r="W2131" t="str">
        <f t="shared" si="34"/>
        <v>_20225</v>
      </c>
      <c r="X2131" s="2" t="s">
        <v>1615</v>
      </c>
    </row>
    <row r="2132" spans="1:24" hidden="1" x14ac:dyDescent="0.35">
      <c r="A2132">
        <v>1</v>
      </c>
      <c r="C2132" s="1">
        <v>45139</v>
      </c>
      <c r="D2132" t="s">
        <v>1557</v>
      </c>
      <c r="S2132" s="3" t="s">
        <v>1061</v>
      </c>
      <c r="T2132" s="6" t="s">
        <v>940</v>
      </c>
      <c r="U2132" s="6" t="s">
        <v>953</v>
      </c>
      <c r="V2132" s="2" t="s">
        <v>955</v>
      </c>
      <c r="W2132" t="str">
        <f t="shared" si="34"/>
        <v>_20238</v>
      </c>
      <c r="X2132" s="2" t="s">
        <v>1615</v>
      </c>
    </row>
    <row r="2133" spans="1:24" hidden="1" x14ac:dyDescent="0.35">
      <c r="S2133" t="s">
        <v>1598</v>
      </c>
      <c r="W2133" t="str">
        <f t="shared" si="34"/>
        <v>_</v>
      </c>
      <c r="X2133" s="2" t="s">
        <v>1615</v>
      </c>
    </row>
    <row r="2134" spans="1:24" hidden="1" x14ac:dyDescent="0.35">
      <c r="A2134">
        <v>2</v>
      </c>
      <c r="C2134" s="1">
        <v>45296</v>
      </c>
      <c r="D2134" t="s">
        <v>984</v>
      </c>
      <c r="F2134" t="s">
        <v>148</v>
      </c>
      <c r="G2134" t="s">
        <v>116</v>
      </c>
      <c r="H2134" t="s">
        <v>1020</v>
      </c>
      <c r="J2134">
        <v>0.85399999999999998</v>
      </c>
      <c r="N2134" t="s">
        <v>28</v>
      </c>
      <c r="O2134" s="1">
        <v>46027</v>
      </c>
      <c r="S2134" s="3" t="s">
        <v>1061</v>
      </c>
      <c r="W2134" t="str">
        <f t="shared" si="34"/>
        <v>_</v>
      </c>
      <c r="X2134" s="2" t="s">
        <v>1615</v>
      </c>
    </row>
    <row r="2135" spans="1:24" hidden="1" x14ac:dyDescent="0.35">
      <c r="A2135">
        <v>2</v>
      </c>
      <c r="C2135" s="1">
        <v>44705</v>
      </c>
      <c r="D2135" t="s">
        <v>1468</v>
      </c>
      <c r="S2135" s="3" t="s">
        <v>1061</v>
      </c>
      <c r="T2135" s="6" t="s">
        <v>947</v>
      </c>
      <c r="U2135" s="6" t="s">
        <v>935</v>
      </c>
      <c r="V2135" s="2" t="s">
        <v>954</v>
      </c>
      <c r="W2135" t="str">
        <f t="shared" si="34"/>
        <v>_20225</v>
      </c>
      <c r="X2135" s="2" t="s">
        <v>1615</v>
      </c>
    </row>
    <row r="2136" spans="1:24" hidden="1" x14ac:dyDescent="0.35">
      <c r="A2136">
        <v>2</v>
      </c>
      <c r="C2136" s="1">
        <v>45139</v>
      </c>
      <c r="D2136" t="s">
        <v>1558</v>
      </c>
      <c r="S2136" s="3" t="s">
        <v>1061</v>
      </c>
      <c r="T2136" s="6" t="s">
        <v>940</v>
      </c>
      <c r="U2136" s="6" t="s">
        <v>953</v>
      </c>
      <c r="V2136" s="2" t="s">
        <v>955</v>
      </c>
      <c r="W2136" t="str">
        <f t="shared" si="34"/>
        <v>_20238</v>
      </c>
      <c r="X2136" s="2" t="s">
        <v>1615</v>
      </c>
    </row>
    <row r="2137" spans="1:24" hidden="1" x14ac:dyDescent="0.35">
      <c r="W2137" t="str">
        <f t="shared" si="34"/>
        <v>_</v>
      </c>
      <c r="X2137" s="2" t="s">
        <v>1615</v>
      </c>
    </row>
    <row r="2138" spans="1:24" hidden="1" x14ac:dyDescent="0.35">
      <c r="A2138">
        <v>3</v>
      </c>
      <c r="C2138" s="1">
        <v>45296</v>
      </c>
      <c r="D2138" t="s">
        <v>985</v>
      </c>
      <c r="F2138" t="s">
        <v>148</v>
      </c>
      <c r="G2138" t="s">
        <v>20</v>
      </c>
      <c r="H2138" t="s">
        <v>1021</v>
      </c>
      <c r="J2138">
        <v>0.56399999999999995</v>
      </c>
      <c r="N2138" t="s">
        <v>23</v>
      </c>
      <c r="O2138" s="1">
        <v>45662</v>
      </c>
      <c r="S2138" s="3" t="s">
        <v>1061</v>
      </c>
      <c r="W2138" t="str">
        <f t="shared" si="34"/>
        <v>_</v>
      </c>
      <c r="X2138" s="2" t="s">
        <v>1615</v>
      </c>
    </row>
    <row r="2139" spans="1:24" hidden="1" x14ac:dyDescent="0.35">
      <c r="A2139">
        <v>3</v>
      </c>
      <c r="C2139" s="1">
        <v>44965</v>
      </c>
      <c r="D2139" t="s">
        <v>1098</v>
      </c>
      <c r="G2139" t="s">
        <v>149</v>
      </c>
      <c r="H2139" t="s">
        <v>1186</v>
      </c>
      <c r="O2139"/>
      <c r="S2139" t="s">
        <v>1092</v>
      </c>
      <c r="W2139" t="str">
        <f t="shared" si="34"/>
        <v>_</v>
      </c>
      <c r="X2139" s="2" t="s">
        <v>1615</v>
      </c>
    </row>
    <row r="2140" spans="1:24" hidden="1" x14ac:dyDescent="0.35">
      <c r="A2140">
        <v>3</v>
      </c>
      <c r="C2140" s="1">
        <v>44705</v>
      </c>
      <c r="D2140" t="s">
        <v>1469</v>
      </c>
      <c r="S2140" s="3" t="s">
        <v>1061</v>
      </c>
      <c r="T2140" s="6" t="s">
        <v>947</v>
      </c>
      <c r="U2140" s="6" t="s">
        <v>935</v>
      </c>
      <c r="V2140" s="2" t="s">
        <v>954</v>
      </c>
      <c r="W2140" t="str">
        <f t="shared" si="34"/>
        <v>_20225</v>
      </c>
      <c r="X2140" s="2" t="s">
        <v>1615</v>
      </c>
    </row>
    <row r="2141" spans="1:24" hidden="1" x14ac:dyDescent="0.35">
      <c r="A2141">
        <v>3</v>
      </c>
      <c r="C2141" s="1">
        <v>45139</v>
      </c>
      <c r="D2141" t="s">
        <v>1559</v>
      </c>
      <c r="S2141" s="3" t="s">
        <v>1061</v>
      </c>
      <c r="T2141" s="6" t="s">
        <v>940</v>
      </c>
      <c r="U2141" s="6" t="s">
        <v>953</v>
      </c>
      <c r="V2141" s="2" t="s">
        <v>955</v>
      </c>
      <c r="W2141" t="str">
        <f t="shared" si="34"/>
        <v>_20238</v>
      </c>
      <c r="X2141" s="2" t="s">
        <v>1615</v>
      </c>
    </row>
    <row r="2142" spans="1:24" hidden="1" x14ac:dyDescent="0.35">
      <c r="W2142" t="str">
        <f t="shared" si="34"/>
        <v>_</v>
      </c>
      <c r="X2142" s="2" t="s">
        <v>1615</v>
      </c>
    </row>
    <row r="2143" spans="1:24" hidden="1" x14ac:dyDescent="0.35">
      <c r="A2143">
        <v>4</v>
      </c>
      <c r="C2143" s="1">
        <v>45300</v>
      </c>
      <c r="D2143" t="s">
        <v>986</v>
      </c>
      <c r="F2143" t="s">
        <v>148</v>
      </c>
      <c r="G2143" t="s">
        <v>92</v>
      </c>
      <c r="H2143" t="s">
        <v>1022</v>
      </c>
      <c r="J2143">
        <v>0.90400000000000003</v>
      </c>
      <c r="N2143" t="s">
        <v>28</v>
      </c>
      <c r="O2143" s="1">
        <v>46031</v>
      </c>
      <c r="S2143" s="3" t="s">
        <v>1061</v>
      </c>
      <c r="W2143" t="str">
        <f t="shared" si="34"/>
        <v>_</v>
      </c>
      <c r="X2143" s="2" t="s">
        <v>1615</v>
      </c>
    </row>
    <row r="2144" spans="1:24" hidden="1" x14ac:dyDescent="0.35">
      <c r="A2144">
        <v>4</v>
      </c>
      <c r="C2144" s="1">
        <v>44966</v>
      </c>
      <c r="D2144" t="s">
        <v>1099</v>
      </c>
      <c r="G2144" t="s">
        <v>149</v>
      </c>
      <c r="H2144" t="s">
        <v>1187</v>
      </c>
      <c r="O2144"/>
      <c r="S2144" t="s">
        <v>1092</v>
      </c>
      <c r="W2144" t="str">
        <f t="shared" si="34"/>
        <v>_</v>
      </c>
      <c r="X2144" s="2" t="s">
        <v>1615</v>
      </c>
    </row>
    <row r="2145" spans="1:24" hidden="1" x14ac:dyDescent="0.35">
      <c r="A2145">
        <v>4</v>
      </c>
      <c r="C2145" s="1">
        <v>44705</v>
      </c>
      <c r="D2145" t="s">
        <v>1470</v>
      </c>
      <c r="S2145" s="3" t="s">
        <v>1061</v>
      </c>
      <c r="T2145" s="6" t="s">
        <v>947</v>
      </c>
      <c r="U2145" s="6" t="s">
        <v>935</v>
      </c>
      <c r="V2145" s="2" t="s">
        <v>954</v>
      </c>
      <c r="W2145" t="str">
        <f t="shared" si="34"/>
        <v>_20225</v>
      </c>
      <c r="X2145" s="2" t="s">
        <v>1615</v>
      </c>
    </row>
    <row r="2146" spans="1:24" hidden="1" x14ac:dyDescent="0.35">
      <c r="A2146">
        <v>4</v>
      </c>
      <c r="C2146" s="1">
        <v>45140</v>
      </c>
      <c r="D2146" t="s">
        <v>1560</v>
      </c>
      <c r="S2146" s="3" t="s">
        <v>1061</v>
      </c>
      <c r="T2146" s="6" t="s">
        <v>940</v>
      </c>
      <c r="U2146" s="6" t="s">
        <v>921</v>
      </c>
      <c r="V2146" s="2" t="s">
        <v>955</v>
      </c>
      <c r="W2146" t="str">
        <f t="shared" si="34"/>
        <v>_20238</v>
      </c>
      <c r="X2146" s="2" t="s">
        <v>1615</v>
      </c>
    </row>
    <row r="2147" spans="1:24" hidden="1" x14ac:dyDescent="0.35">
      <c r="W2147" t="str">
        <f t="shared" si="34"/>
        <v>_</v>
      </c>
      <c r="X2147" s="2" t="s">
        <v>1615</v>
      </c>
    </row>
    <row r="2148" spans="1:24" hidden="1" x14ac:dyDescent="0.35">
      <c r="A2148">
        <v>5</v>
      </c>
      <c r="C2148" s="1">
        <v>45314</v>
      </c>
      <c r="D2148" t="s">
        <v>178</v>
      </c>
      <c r="F2148" t="s">
        <v>32</v>
      </c>
      <c r="G2148" t="s">
        <v>168</v>
      </c>
      <c r="H2148" t="s">
        <v>1023</v>
      </c>
      <c r="J2148">
        <v>0.54</v>
      </c>
      <c r="N2148" t="s">
        <v>23</v>
      </c>
      <c r="O2148" s="1">
        <v>45680</v>
      </c>
      <c r="R2148" t="s">
        <v>1279</v>
      </c>
      <c r="S2148" s="3" t="s">
        <v>1061</v>
      </c>
      <c r="T2148" s="6"/>
      <c r="U2148" s="6"/>
      <c r="V2148" s="2"/>
      <c r="W2148" t="str">
        <f t="shared" si="34"/>
        <v>_</v>
      </c>
      <c r="X2148" s="2" t="s">
        <v>1615</v>
      </c>
    </row>
    <row r="2149" spans="1:24" hidden="1" x14ac:dyDescent="0.35">
      <c r="A2149">
        <v>5</v>
      </c>
      <c r="C2149" s="1">
        <v>44966</v>
      </c>
      <c r="D2149" t="s">
        <v>1100</v>
      </c>
      <c r="G2149" t="s">
        <v>245</v>
      </c>
      <c r="H2149" t="s">
        <v>1188</v>
      </c>
      <c r="O2149"/>
      <c r="S2149" t="s">
        <v>1092</v>
      </c>
      <c r="W2149" t="str">
        <f t="shared" si="34"/>
        <v>_</v>
      </c>
      <c r="X2149" s="2" t="s">
        <v>1615</v>
      </c>
    </row>
    <row r="2150" spans="1:24" hidden="1" x14ac:dyDescent="0.35">
      <c r="A2150">
        <v>5</v>
      </c>
      <c r="C2150" s="1">
        <v>44705</v>
      </c>
      <c r="D2150" t="s">
        <v>1471</v>
      </c>
      <c r="S2150" s="3" t="s">
        <v>1061</v>
      </c>
      <c r="T2150" s="6" t="s">
        <v>947</v>
      </c>
      <c r="U2150" s="6" t="s">
        <v>935</v>
      </c>
      <c r="V2150" s="2" t="s">
        <v>954</v>
      </c>
      <c r="W2150" t="str">
        <f t="shared" si="34"/>
        <v>_20225</v>
      </c>
      <c r="X2150" s="2" t="s">
        <v>1615</v>
      </c>
    </row>
    <row r="2151" spans="1:24" hidden="1" x14ac:dyDescent="0.35">
      <c r="A2151">
        <v>5</v>
      </c>
      <c r="C2151" s="1">
        <v>45174</v>
      </c>
      <c r="D2151" t="s">
        <v>1002</v>
      </c>
      <c r="S2151" s="3" t="s">
        <v>1061</v>
      </c>
      <c r="T2151" s="6" t="s">
        <v>942</v>
      </c>
      <c r="U2151" s="6" t="s">
        <v>947</v>
      </c>
      <c r="V2151" s="2" t="s">
        <v>955</v>
      </c>
      <c r="W2151" t="str">
        <f t="shared" si="34"/>
        <v>_20239</v>
      </c>
      <c r="X2151" s="2" t="s">
        <v>1615</v>
      </c>
    </row>
    <row r="2152" spans="1:24" hidden="1" x14ac:dyDescent="0.35">
      <c r="A2152">
        <v>6</v>
      </c>
      <c r="C2152" s="1">
        <v>45364</v>
      </c>
      <c r="D2152" t="s">
        <v>987</v>
      </c>
      <c r="F2152" t="s">
        <v>32</v>
      </c>
      <c r="G2152" t="s">
        <v>238</v>
      </c>
      <c r="H2152" t="s">
        <v>1024</v>
      </c>
      <c r="J2152">
        <v>0.80159999999999998</v>
      </c>
      <c r="N2152" t="s">
        <v>28</v>
      </c>
      <c r="O2152" s="1">
        <v>46094</v>
      </c>
      <c r="S2152" s="3" t="s">
        <v>1061</v>
      </c>
      <c r="W2152" t="str">
        <f t="shared" si="34"/>
        <v>_</v>
      </c>
      <c r="X2152" s="2" t="s">
        <v>1615</v>
      </c>
    </row>
    <row r="2153" spans="1:24" hidden="1" x14ac:dyDescent="0.35">
      <c r="A2153">
        <v>6</v>
      </c>
      <c r="C2153" s="1">
        <v>44970</v>
      </c>
      <c r="D2153" t="s">
        <v>1101</v>
      </c>
      <c r="G2153" t="s">
        <v>20</v>
      </c>
      <c r="H2153" t="s">
        <v>1189</v>
      </c>
      <c r="O2153"/>
      <c r="S2153" t="s">
        <v>1092</v>
      </c>
      <c r="W2153" t="str">
        <f t="shared" si="34"/>
        <v>_</v>
      </c>
      <c r="X2153" s="2" t="s">
        <v>1615</v>
      </c>
    </row>
    <row r="2154" spans="1:24" hidden="1" x14ac:dyDescent="0.35">
      <c r="A2154">
        <v>6</v>
      </c>
      <c r="C2154" s="1">
        <v>44706</v>
      </c>
      <c r="D2154" t="s">
        <v>503</v>
      </c>
      <c r="S2154" s="3" t="s">
        <v>1061</v>
      </c>
      <c r="T2154" s="6" t="s">
        <v>947</v>
      </c>
      <c r="U2154" s="6" t="s">
        <v>922</v>
      </c>
      <c r="V2154" s="2" t="s">
        <v>954</v>
      </c>
      <c r="W2154" t="str">
        <f t="shared" si="34"/>
        <v>_20225</v>
      </c>
      <c r="X2154" s="2" t="s">
        <v>1615</v>
      </c>
    </row>
    <row r="2155" spans="1:24" hidden="1" x14ac:dyDescent="0.35">
      <c r="A2155">
        <v>6</v>
      </c>
      <c r="C2155" s="1">
        <v>45174</v>
      </c>
      <c r="D2155" t="s">
        <v>1005</v>
      </c>
      <c r="S2155" s="3" t="s">
        <v>1061</v>
      </c>
      <c r="T2155" s="6" t="s">
        <v>942</v>
      </c>
      <c r="U2155" s="6" t="s">
        <v>947</v>
      </c>
      <c r="V2155" s="2" t="s">
        <v>955</v>
      </c>
      <c r="W2155" t="str">
        <f t="shared" si="34"/>
        <v>_20239</v>
      </c>
      <c r="X2155" s="2" t="s">
        <v>1615</v>
      </c>
    </row>
    <row r="2156" spans="1:24" hidden="1" x14ac:dyDescent="0.35">
      <c r="A2156">
        <v>7</v>
      </c>
      <c r="C2156" s="1">
        <v>45378</v>
      </c>
      <c r="D2156" t="s">
        <v>988</v>
      </c>
      <c r="F2156" t="s">
        <v>148</v>
      </c>
      <c r="G2156" t="s">
        <v>20</v>
      </c>
      <c r="H2156" t="s">
        <v>1025</v>
      </c>
      <c r="J2156">
        <v>0.87690000000000001</v>
      </c>
      <c r="N2156" t="s">
        <v>28</v>
      </c>
      <c r="O2156" s="1">
        <v>46108</v>
      </c>
      <c r="S2156" s="3" t="s">
        <v>1061</v>
      </c>
      <c r="W2156" t="str">
        <f t="shared" si="34"/>
        <v>_</v>
      </c>
      <c r="X2156" s="2" t="s">
        <v>1615</v>
      </c>
    </row>
    <row r="2157" spans="1:24" hidden="1" x14ac:dyDescent="0.35">
      <c r="A2157">
        <v>7</v>
      </c>
      <c r="C2157" s="1">
        <v>44970</v>
      </c>
      <c r="D2157" t="s">
        <v>1102</v>
      </c>
      <c r="G2157" t="s">
        <v>20</v>
      </c>
      <c r="H2157" t="s">
        <v>1190</v>
      </c>
      <c r="O2157"/>
      <c r="S2157" t="s">
        <v>1092</v>
      </c>
      <c r="W2157" t="str">
        <f t="shared" si="34"/>
        <v>_</v>
      </c>
      <c r="X2157" s="2" t="s">
        <v>1615</v>
      </c>
    </row>
    <row r="2158" spans="1:24" hidden="1" x14ac:dyDescent="0.35">
      <c r="A2158">
        <v>7</v>
      </c>
      <c r="C2158" s="1">
        <v>44706</v>
      </c>
      <c r="D2158" t="s">
        <v>1472</v>
      </c>
      <c r="S2158" s="3" t="s">
        <v>1061</v>
      </c>
      <c r="T2158" s="6" t="s">
        <v>947</v>
      </c>
      <c r="U2158" s="6" t="s">
        <v>922</v>
      </c>
      <c r="V2158" s="2" t="s">
        <v>954</v>
      </c>
      <c r="W2158" t="str">
        <f t="shared" si="34"/>
        <v>_20225</v>
      </c>
      <c r="X2158" s="2" t="s">
        <v>1615</v>
      </c>
    </row>
    <row r="2159" spans="1:24" hidden="1" x14ac:dyDescent="0.35">
      <c r="A2159">
        <v>7</v>
      </c>
      <c r="C2159" s="1">
        <v>45174</v>
      </c>
      <c r="D2159" t="s">
        <v>1561</v>
      </c>
      <c r="S2159" s="3" t="s">
        <v>1061</v>
      </c>
      <c r="T2159" s="6" t="s">
        <v>942</v>
      </c>
      <c r="U2159" s="6" t="s">
        <v>947</v>
      </c>
      <c r="V2159" s="2" t="s">
        <v>955</v>
      </c>
      <c r="W2159" t="str">
        <f t="shared" si="34"/>
        <v>_20239</v>
      </c>
      <c r="X2159" s="2" t="s">
        <v>1615</v>
      </c>
    </row>
    <row r="2160" spans="1:24" hidden="1" x14ac:dyDescent="0.35">
      <c r="A2160">
        <v>8</v>
      </c>
      <c r="C2160" s="1">
        <v>45385</v>
      </c>
      <c r="D2160" t="s">
        <v>989</v>
      </c>
      <c r="F2160" t="s">
        <v>148</v>
      </c>
      <c r="G2160" t="s">
        <v>20</v>
      </c>
      <c r="H2160" t="s">
        <v>1026</v>
      </c>
      <c r="J2160">
        <v>0.83079999999999998</v>
      </c>
      <c r="N2160" t="s">
        <v>28</v>
      </c>
      <c r="O2160" s="1">
        <v>46115</v>
      </c>
      <c r="S2160" s="3" t="s">
        <v>1061</v>
      </c>
      <c r="W2160" t="str">
        <f t="shared" si="34"/>
        <v>_</v>
      </c>
      <c r="X2160" s="2" t="s">
        <v>1615</v>
      </c>
    </row>
    <row r="2161" spans="1:24" hidden="1" x14ac:dyDescent="0.35">
      <c r="A2161">
        <v>8</v>
      </c>
      <c r="C2161" s="1">
        <v>44973</v>
      </c>
      <c r="D2161" t="s">
        <v>1103</v>
      </c>
      <c r="G2161" t="s">
        <v>20</v>
      </c>
      <c r="H2161" t="s">
        <v>1191</v>
      </c>
      <c r="O2161"/>
      <c r="S2161" t="s">
        <v>1092</v>
      </c>
      <c r="W2161" t="str">
        <f t="shared" si="34"/>
        <v>_</v>
      </c>
      <c r="X2161" s="2" t="s">
        <v>1615</v>
      </c>
    </row>
    <row r="2162" spans="1:24" hidden="1" x14ac:dyDescent="0.35">
      <c r="A2162">
        <v>8</v>
      </c>
      <c r="C2162" s="1">
        <v>44706</v>
      </c>
      <c r="D2162" t="s">
        <v>1473</v>
      </c>
      <c r="S2162" s="3" t="s">
        <v>1061</v>
      </c>
      <c r="T2162" s="6" t="s">
        <v>947</v>
      </c>
      <c r="U2162" s="6" t="s">
        <v>922</v>
      </c>
      <c r="V2162" s="2" t="s">
        <v>954</v>
      </c>
      <c r="W2162" t="str">
        <f t="shared" si="34"/>
        <v>_20225</v>
      </c>
      <c r="X2162" s="2" t="s">
        <v>1615</v>
      </c>
    </row>
    <row r="2163" spans="1:24" hidden="1" x14ac:dyDescent="0.35">
      <c r="A2163">
        <v>8</v>
      </c>
      <c r="C2163" s="1">
        <v>45175</v>
      </c>
      <c r="D2163" t="s">
        <v>1003</v>
      </c>
      <c r="S2163" s="3" t="s">
        <v>1061</v>
      </c>
      <c r="T2163" s="6" t="s">
        <v>942</v>
      </c>
      <c r="U2163" s="6" t="s">
        <v>927</v>
      </c>
      <c r="V2163" s="2" t="s">
        <v>955</v>
      </c>
      <c r="W2163" t="str">
        <f t="shared" si="34"/>
        <v>_20239</v>
      </c>
      <c r="X2163" s="2" t="s">
        <v>1615</v>
      </c>
    </row>
    <row r="2164" spans="1:24" hidden="1" x14ac:dyDescent="0.35">
      <c r="A2164">
        <v>9</v>
      </c>
      <c r="C2164" s="1">
        <v>45385</v>
      </c>
      <c r="D2164" t="s">
        <v>990</v>
      </c>
      <c r="F2164" t="s">
        <v>148</v>
      </c>
      <c r="G2164" t="s">
        <v>1027</v>
      </c>
      <c r="H2164" t="s">
        <v>1028</v>
      </c>
      <c r="J2164">
        <v>0.69230000000000003</v>
      </c>
      <c r="N2164" t="s">
        <v>23</v>
      </c>
      <c r="O2164" s="1">
        <v>45750</v>
      </c>
      <c r="S2164" s="3" t="s">
        <v>1061</v>
      </c>
      <c r="W2164" t="str">
        <f t="shared" si="34"/>
        <v>_</v>
      </c>
      <c r="X2164" s="2" t="s">
        <v>1615</v>
      </c>
    </row>
    <row r="2165" spans="1:24" hidden="1" x14ac:dyDescent="0.35">
      <c r="A2165">
        <v>9</v>
      </c>
      <c r="C2165" s="1">
        <v>44973</v>
      </c>
      <c r="D2165" t="s">
        <v>1104</v>
      </c>
      <c r="G2165" t="s">
        <v>553</v>
      </c>
      <c r="H2165" t="s">
        <v>1192</v>
      </c>
      <c r="O2165"/>
      <c r="S2165" t="s">
        <v>1092</v>
      </c>
      <c r="W2165" t="str">
        <f t="shared" si="34"/>
        <v>_</v>
      </c>
      <c r="X2165" s="2" t="s">
        <v>1615</v>
      </c>
    </row>
    <row r="2166" spans="1:24" hidden="1" x14ac:dyDescent="0.35">
      <c r="A2166">
        <v>9</v>
      </c>
      <c r="C2166" s="1">
        <v>44706</v>
      </c>
      <c r="D2166" t="s">
        <v>1474</v>
      </c>
      <c r="S2166" s="3" t="s">
        <v>1061</v>
      </c>
      <c r="T2166" s="6" t="s">
        <v>947</v>
      </c>
      <c r="U2166" s="6" t="s">
        <v>922</v>
      </c>
      <c r="V2166" s="2" t="s">
        <v>954</v>
      </c>
      <c r="W2166" t="str">
        <f t="shared" si="34"/>
        <v>_20225</v>
      </c>
      <c r="X2166" s="2" t="s">
        <v>1615</v>
      </c>
    </row>
    <row r="2167" spans="1:24" hidden="1" x14ac:dyDescent="0.35">
      <c r="A2167">
        <v>9</v>
      </c>
      <c r="C2167" s="1">
        <v>45177</v>
      </c>
      <c r="D2167" t="s">
        <v>1562</v>
      </c>
      <c r="S2167" s="3" t="s">
        <v>1061</v>
      </c>
      <c r="T2167" s="6" t="s">
        <v>942</v>
      </c>
      <c r="U2167" s="6" t="s">
        <v>940</v>
      </c>
      <c r="V2167" s="2" t="s">
        <v>955</v>
      </c>
      <c r="W2167" t="str">
        <f t="shared" si="34"/>
        <v>_20239</v>
      </c>
      <c r="X2167" s="2" t="s">
        <v>1615</v>
      </c>
    </row>
    <row r="2168" spans="1:24" hidden="1" x14ac:dyDescent="0.35">
      <c r="A2168">
        <v>10</v>
      </c>
      <c r="C2168" s="1">
        <v>45386</v>
      </c>
      <c r="D2168" t="s">
        <v>991</v>
      </c>
      <c r="F2168" t="s">
        <v>148</v>
      </c>
      <c r="G2168" t="s">
        <v>92</v>
      </c>
      <c r="H2168" t="s">
        <v>1029</v>
      </c>
      <c r="J2168">
        <v>0.34379999999999999</v>
      </c>
      <c r="N2168" t="s">
        <v>23</v>
      </c>
      <c r="O2168" s="1">
        <v>45751</v>
      </c>
      <c r="S2168" s="3" t="s">
        <v>1061</v>
      </c>
      <c r="W2168" t="str">
        <f t="shared" si="34"/>
        <v>_</v>
      </c>
      <c r="X2168" s="2" t="s">
        <v>1615</v>
      </c>
    </row>
    <row r="2169" spans="1:24" hidden="1" x14ac:dyDescent="0.35">
      <c r="A2169">
        <v>10</v>
      </c>
      <c r="C2169" s="1">
        <v>44973</v>
      </c>
      <c r="D2169" t="s">
        <v>1105</v>
      </c>
      <c r="G2169" t="s">
        <v>1193</v>
      </c>
      <c r="H2169" t="s">
        <v>1194</v>
      </c>
      <c r="O2169"/>
      <c r="S2169" t="s">
        <v>1092</v>
      </c>
      <c r="W2169" t="str">
        <f t="shared" si="34"/>
        <v>_</v>
      </c>
      <c r="X2169" s="2" t="s">
        <v>1615</v>
      </c>
    </row>
    <row r="2170" spans="1:24" hidden="1" x14ac:dyDescent="0.35">
      <c r="A2170">
        <v>10</v>
      </c>
      <c r="C2170" s="1">
        <v>44706</v>
      </c>
      <c r="D2170" t="s">
        <v>1475</v>
      </c>
      <c r="S2170" s="3" t="s">
        <v>1061</v>
      </c>
      <c r="T2170" s="6" t="s">
        <v>947</v>
      </c>
      <c r="U2170" s="6" t="s">
        <v>922</v>
      </c>
      <c r="V2170" s="2" t="s">
        <v>954</v>
      </c>
      <c r="W2170" t="str">
        <f t="shared" si="34"/>
        <v>_20225</v>
      </c>
      <c r="X2170" s="2" t="s">
        <v>1615</v>
      </c>
    </row>
    <row r="2171" spans="1:24" hidden="1" x14ac:dyDescent="0.35">
      <c r="A2171">
        <v>10</v>
      </c>
      <c r="C2171" s="1">
        <v>45188</v>
      </c>
      <c r="D2171" t="s">
        <v>1000</v>
      </c>
      <c r="S2171" s="3" t="s">
        <v>1061</v>
      </c>
      <c r="T2171" s="6" t="s">
        <v>942</v>
      </c>
      <c r="U2171" s="6" t="s">
        <v>931</v>
      </c>
      <c r="V2171" s="2" t="s">
        <v>955</v>
      </c>
      <c r="W2171" t="str">
        <f t="shared" si="34"/>
        <v>_20239</v>
      </c>
      <c r="X2171" s="2" t="s">
        <v>1615</v>
      </c>
    </row>
    <row r="2172" spans="1:24" hidden="1" x14ac:dyDescent="0.35">
      <c r="A2172">
        <v>11</v>
      </c>
      <c r="C2172" s="1">
        <v>45386</v>
      </c>
      <c r="D2172" t="s">
        <v>992</v>
      </c>
      <c r="F2172" t="s">
        <v>148</v>
      </c>
      <c r="G2172" t="s">
        <v>20</v>
      </c>
      <c r="H2172" t="s">
        <v>1030</v>
      </c>
      <c r="J2172">
        <v>0.69</v>
      </c>
      <c r="N2172" t="s">
        <v>23</v>
      </c>
      <c r="O2172" s="1">
        <v>45751</v>
      </c>
      <c r="S2172" s="3" t="s">
        <v>1061</v>
      </c>
      <c r="W2172" t="str">
        <f t="shared" si="34"/>
        <v>_</v>
      </c>
      <c r="X2172" s="2" t="s">
        <v>1615</v>
      </c>
    </row>
    <row r="2173" spans="1:24" hidden="1" x14ac:dyDescent="0.35">
      <c r="A2173">
        <v>11</v>
      </c>
      <c r="C2173" s="1">
        <v>45002</v>
      </c>
      <c r="D2173" t="s">
        <v>1106</v>
      </c>
      <c r="G2173" t="s">
        <v>20</v>
      </c>
      <c r="H2173" t="s">
        <v>1195</v>
      </c>
      <c r="O2173"/>
      <c r="S2173" t="s">
        <v>1092</v>
      </c>
      <c r="W2173" t="str">
        <f t="shared" si="34"/>
        <v>_</v>
      </c>
      <c r="X2173" s="2" t="s">
        <v>1615</v>
      </c>
    </row>
    <row r="2174" spans="1:24" hidden="1" x14ac:dyDescent="0.35">
      <c r="A2174">
        <v>11</v>
      </c>
      <c r="C2174" s="1">
        <v>44707</v>
      </c>
      <c r="D2174" t="s">
        <v>1476</v>
      </c>
      <c r="S2174" s="3" t="s">
        <v>1061</v>
      </c>
      <c r="T2174" s="6" t="s">
        <v>947</v>
      </c>
      <c r="U2174" s="6" t="s">
        <v>924</v>
      </c>
      <c r="V2174" s="2" t="s">
        <v>954</v>
      </c>
      <c r="W2174" t="str">
        <f t="shared" si="34"/>
        <v>_20225</v>
      </c>
      <c r="X2174" s="2" t="s">
        <v>1615</v>
      </c>
    </row>
    <row r="2175" spans="1:24" hidden="1" x14ac:dyDescent="0.35">
      <c r="A2175">
        <v>11</v>
      </c>
      <c r="C2175" s="1">
        <v>45189</v>
      </c>
      <c r="D2175" t="s">
        <v>1563</v>
      </c>
      <c r="S2175" s="3" t="s">
        <v>1061</v>
      </c>
      <c r="T2175" s="6" t="s">
        <v>942</v>
      </c>
      <c r="U2175" s="6" t="s">
        <v>932</v>
      </c>
      <c r="V2175" s="2" t="s">
        <v>955</v>
      </c>
      <c r="W2175" t="str">
        <f t="shared" si="34"/>
        <v>_20239</v>
      </c>
      <c r="X2175" s="2" t="s">
        <v>1615</v>
      </c>
    </row>
    <row r="2176" spans="1:24" hidden="1" x14ac:dyDescent="0.35">
      <c r="A2176">
        <v>12</v>
      </c>
      <c r="C2176" s="1">
        <v>45386</v>
      </c>
      <c r="D2176" t="s">
        <v>993</v>
      </c>
      <c r="F2176" t="s">
        <v>148</v>
      </c>
      <c r="G2176" t="s">
        <v>20</v>
      </c>
      <c r="H2176" t="s">
        <v>1031</v>
      </c>
      <c r="J2176">
        <v>0.66349999999999998</v>
      </c>
      <c r="N2176" t="s">
        <v>23</v>
      </c>
      <c r="O2176" s="1">
        <v>45751</v>
      </c>
      <c r="S2176" s="3" t="s">
        <v>1061</v>
      </c>
      <c r="W2176" t="str">
        <f t="shared" si="34"/>
        <v>_</v>
      </c>
      <c r="X2176" s="2" t="s">
        <v>1615</v>
      </c>
    </row>
    <row r="2177" spans="1:24" hidden="1" x14ac:dyDescent="0.35">
      <c r="A2177">
        <v>12</v>
      </c>
      <c r="C2177" s="1">
        <v>45002</v>
      </c>
      <c r="D2177" t="s">
        <v>1107</v>
      </c>
      <c r="G2177" t="s">
        <v>20</v>
      </c>
      <c r="H2177" t="s">
        <v>1196</v>
      </c>
      <c r="O2177"/>
      <c r="S2177" t="s">
        <v>1092</v>
      </c>
      <c r="W2177" t="str">
        <f t="shared" ref="W2177:W2240" si="35">CONCATENATE(B2177,"_",V2177,T2177)</f>
        <v>_</v>
      </c>
      <c r="X2177" s="2" t="s">
        <v>1615</v>
      </c>
    </row>
    <row r="2178" spans="1:24" hidden="1" x14ac:dyDescent="0.35">
      <c r="A2178">
        <v>12</v>
      </c>
      <c r="C2178" s="1">
        <v>44707</v>
      </c>
      <c r="D2178" t="s">
        <v>1477</v>
      </c>
      <c r="S2178" s="3" t="s">
        <v>1061</v>
      </c>
      <c r="T2178" s="6" t="s">
        <v>947</v>
      </c>
      <c r="U2178" s="6" t="s">
        <v>924</v>
      </c>
      <c r="V2178" s="2" t="s">
        <v>954</v>
      </c>
      <c r="W2178" t="str">
        <f t="shared" si="35"/>
        <v>_20225</v>
      </c>
      <c r="X2178" s="2" t="s">
        <v>1615</v>
      </c>
    </row>
    <row r="2179" spans="1:24" hidden="1" x14ac:dyDescent="0.35">
      <c r="A2179">
        <v>12</v>
      </c>
      <c r="C2179" s="1">
        <v>45191</v>
      </c>
      <c r="D2179" t="s">
        <v>1564</v>
      </c>
      <c r="S2179" s="3" t="s">
        <v>1061</v>
      </c>
      <c r="T2179" s="6" t="s">
        <v>942</v>
      </c>
      <c r="U2179" s="6" t="s">
        <v>933</v>
      </c>
      <c r="V2179" s="2" t="s">
        <v>955</v>
      </c>
      <c r="W2179" t="str">
        <f t="shared" si="35"/>
        <v>_20239</v>
      </c>
      <c r="X2179" s="2" t="s">
        <v>1615</v>
      </c>
    </row>
    <row r="2180" spans="1:24" hidden="1" x14ac:dyDescent="0.35">
      <c r="A2180">
        <v>13</v>
      </c>
      <c r="C2180" s="1">
        <v>45387</v>
      </c>
      <c r="D2180" t="s">
        <v>994</v>
      </c>
      <c r="F2180" t="s">
        <v>148</v>
      </c>
      <c r="G2180" t="s">
        <v>149</v>
      </c>
      <c r="H2180" t="s">
        <v>1032</v>
      </c>
      <c r="J2180">
        <v>0.7167</v>
      </c>
      <c r="N2180" t="s">
        <v>23</v>
      </c>
      <c r="O2180" s="1">
        <v>45752</v>
      </c>
      <c r="S2180" s="3" t="s">
        <v>1061</v>
      </c>
      <c r="W2180" t="str">
        <f t="shared" si="35"/>
        <v>_</v>
      </c>
      <c r="X2180" s="2" t="s">
        <v>1615</v>
      </c>
    </row>
    <row r="2181" spans="1:24" hidden="1" x14ac:dyDescent="0.35">
      <c r="A2181">
        <v>13</v>
      </c>
      <c r="C2181" s="1">
        <v>45006</v>
      </c>
      <c r="D2181" t="s">
        <v>1108</v>
      </c>
      <c r="G2181" t="s">
        <v>20</v>
      </c>
      <c r="H2181" t="s">
        <v>1197</v>
      </c>
      <c r="O2181"/>
      <c r="S2181" t="s">
        <v>1092</v>
      </c>
      <c r="W2181" t="str">
        <f t="shared" si="35"/>
        <v>_</v>
      </c>
      <c r="X2181" s="2" t="s">
        <v>1615</v>
      </c>
    </row>
    <row r="2182" spans="1:24" hidden="1" x14ac:dyDescent="0.35">
      <c r="A2182">
        <v>13</v>
      </c>
      <c r="C2182" s="1">
        <v>44709</v>
      </c>
      <c r="D2182" t="s">
        <v>1478</v>
      </c>
      <c r="S2182" s="3" t="s">
        <v>1061</v>
      </c>
      <c r="T2182" s="6" t="s">
        <v>947</v>
      </c>
      <c r="U2182" s="6" t="s">
        <v>926</v>
      </c>
      <c r="V2182" s="2" t="s">
        <v>954</v>
      </c>
      <c r="W2182" t="str">
        <f t="shared" si="35"/>
        <v>_20225</v>
      </c>
      <c r="X2182" s="2" t="s">
        <v>1615</v>
      </c>
    </row>
    <row r="2183" spans="1:24" hidden="1" x14ac:dyDescent="0.35">
      <c r="A2183">
        <v>13</v>
      </c>
      <c r="C2183" s="1">
        <v>45219</v>
      </c>
      <c r="D2183" t="s">
        <v>1565</v>
      </c>
      <c r="S2183" s="3" t="s">
        <v>1061</v>
      </c>
      <c r="T2183" s="6" t="s">
        <v>948</v>
      </c>
      <c r="U2183" s="6" t="s">
        <v>932</v>
      </c>
      <c r="V2183" s="2" t="s">
        <v>955</v>
      </c>
      <c r="W2183" t="str">
        <f t="shared" si="35"/>
        <v>_202310</v>
      </c>
      <c r="X2183" s="2" t="s">
        <v>1615</v>
      </c>
    </row>
    <row r="2184" spans="1:24" hidden="1" x14ac:dyDescent="0.35">
      <c r="A2184">
        <v>14</v>
      </c>
      <c r="C2184" s="1">
        <v>45388</v>
      </c>
      <c r="D2184" t="s">
        <v>995</v>
      </c>
      <c r="F2184" t="s">
        <v>148</v>
      </c>
      <c r="G2184" t="s">
        <v>116</v>
      </c>
      <c r="H2184" t="s">
        <v>1033</v>
      </c>
      <c r="J2184">
        <v>0.6905</v>
      </c>
      <c r="N2184" t="s">
        <v>23</v>
      </c>
      <c r="O2184" s="1">
        <v>45753</v>
      </c>
      <c r="S2184" s="3" t="s">
        <v>1061</v>
      </c>
      <c r="W2184" t="str">
        <f t="shared" si="35"/>
        <v>_</v>
      </c>
      <c r="X2184" s="2" t="s">
        <v>1615</v>
      </c>
    </row>
    <row r="2185" spans="1:24" hidden="1" x14ac:dyDescent="0.35">
      <c r="A2185">
        <v>14</v>
      </c>
      <c r="C2185" s="1">
        <v>45014</v>
      </c>
      <c r="D2185" t="s">
        <v>1109</v>
      </c>
      <c r="G2185" t="s">
        <v>20</v>
      </c>
      <c r="H2185" t="s">
        <v>1198</v>
      </c>
      <c r="O2185"/>
      <c r="S2185" t="s">
        <v>1092</v>
      </c>
      <c r="W2185" t="str">
        <f t="shared" si="35"/>
        <v>_</v>
      </c>
      <c r="X2185" s="2" t="s">
        <v>1615</v>
      </c>
    </row>
    <row r="2186" spans="1:24" hidden="1" x14ac:dyDescent="0.35">
      <c r="A2186">
        <v>14</v>
      </c>
      <c r="C2186" s="1">
        <v>44711</v>
      </c>
      <c r="D2186" t="s">
        <v>1479</v>
      </c>
      <c r="S2186" s="3" t="s">
        <v>1061</v>
      </c>
      <c r="T2186" s="6" t="s">
        <v>947</v>
      </c>
      <c r="U2186" s="6" t="s">
        <v>938</v>
      </c>
      <c r="V2186" s="2" t="s">
        <v>954</v>
      </c>
      <c r="W2186" t="str">
        <f t="shared" si="35"/>
        <v>_20225</v>
      </c>
      <c r="X2186" s="2" t="s">
        <v>1615</v>
      </c>
    </row>
    <row r="2187" spans="1:24" hidden="1" x14ac:dyDescent="0.35">
      <c r="A2187">
        <v>14</v>
      </c>
      <c r="C2187" s="1">
        <v>45216</v>
      </c>
      <c r="D2187" t="s">
        <v>1566</v>
      </c>
      <c r="S2187" s="3" t="s">
        <v>1061</v>
      </c>
      <c r="T2187" s="6" t="s">
        <v>948</v>
      </c>
      <c r="U2187" s="6" t="s">
        <v>929</v>
      </c>
      <c r="V2187" s="2" t="s">
        <v>955</v>
      </c>
      <c r="W2187" t="str">
        <f t="shared" si="35"/>
        <v>_202310</v>
      </c>
      <c r="X2187" s="2" t="s">
        <v>1615</v>
      </c>
    </row>
    <row r="2188" spans="1:24" hidden="1" x14ac:dyDescent="0.35">
      <c r="A2188">
        <v>15</v>
      </c>
      <c r="C2188" s="1">
        <v>45394</v>
      </c>
      <c r="D2188" t="s">
        <v>996</v>
      </c>
      <c r="F2188" t="s">
        <v>32</v>
      </c>
      <c r="G2188" t="s">
        <v>514</v>
      </c>
      <c r="H2188" t="s">
        <v>1034</v>
      </c>
      <c r="J2188">
        <v>0.83089999999999997</v>
      </c>
      <c r="N2188" t="s">
        <v>28</v>
      </c>
      <c r="O2188" s="1">
        <v>45759</v>
      </c>
      <c r="S2188" s="3" t="s">
        <v>1061</v>
      </c>
      <c r="W2188" t="str">
        <f t="shared" si="35"/>
        <v>_</v>
      </c>
      <c r="X2188" s="2" t="s">
        <v>1615</v>
      </c>
    </row>
    <row r="2189" spans="1:24" hidden="1" x14ac:dyDescent="0.35">
      <c r="A2189">
        <v>15</v>
      </c>
      <c r="C2189" s="1">
        <v>45016</v>
      </c>
      <c r="D2189" t="s">
        <v>1110</v>
      </c>
      <c r="G2189" t="s">
        <v>20</v>
      </c>
      <c r="H2189" t="s">
        <v>1199</v>
      </c>
      <c r="O2189"/>
      <c r="S2189" t="s">
        <v>1092</v>
      </c>
      <c r="W2189" t="str">
        <f t="shared" si="35"/>
        <v>_</v>
      </c>
      <c r="X2189" s="2" t="s">
        <v>1615</v>
      </c>
    </row>
    <row r="2190" spans="1:24" hidden="1" x14ac:dyDescent="0.35">
      <c r="A2190">
        <v>15</v>
      </c>
      <c r="C2190" s="1">
        <v>44711</v>
      </c>
      <c r="D2190" t="s">
        <v>1480</v>
      </c>
      <c r="S2190" s="3" t="s">
        <v>1061</v>
      </c>
      <c r="T2190" s="6" t="s">
        <v>947</v>
      </c>
      <c r="U2190" s="6" t="s">
        <v>938</v>
      </c>
      <c r="V2190" s="2" t="s">
        <v>954</v>
      </c>
      <c r="W2190" t="str">
        <f t="shared" si="35"/>
        <v>_20225</v>
      </c>
      <c r="X2190" s="2" t="s">
        <v>1615</v>
      </c>
    </row>
    <row r="2191" spans="1:24" hidden="1" x14ac:dyDescent="0.35">
      <c r="A2191">
        <v>15</v>
      </c>
      <c r="C2191" s="1">
        <v>45229</v>
      </c>
      <c r="D2191" t="s">
        <v>1567</v>
      </c>
      <c r="S2191" s="3" t="s">
        <v>1061</v>
      </c>
      <c r="T2191" s="6" t="s">
        <v>948</v>
      </c>
      <c r="U2191" s="6" t="s">
        <v>938</v>
      </c>
      <c r="V2191" s="2" t="s">
        <v>955</v>
      </c>
      <c r="W2191" t="str">
        <f t="shared" si="35"/>
        <v>_202310</v>
      </c>
      <c r="X2191" s="2" t="s">
        <v>1615</v>
      </c>
    </row>
    <row r="2192" spans="1:24" hidden="1" x14ac:dyDescent="0.35">
      <c r="A2192">
        <v>16</v>
      </c>
      <c r="C2192" s="1">
        <v>45398</v>
      </c>
      <c r="D2192" t="s">
        <v>409</v>
      </c>
      <c r="F2192" t="s">
        <v>148</v>
      </c>
      <c r="G2192" t="s">
        <v>20</v>
      </c>
      <c r="H2192" t="s">
        <v>1035</v>
      </c>
      <c r="J2192">
        <v>0.7177</v>
      </c>
      <c r="N2192" t="s">
        <v>23</v>
      </c>
      <c r="O2192" s="1">
        <v>45763</v>
      </c>
      <c r="S2192" s="3" t="s">
        <v>1061</v>
      </c>
      <c r="W2192" t="str">
        <f t="shared" si="35"/>
        <v>_</v>
      </c>
      <c r="X2192" s="2" t="s">
        <v>1615</v>
      </c>
    </row>
    <row r="2193" spans="1:24" hidden="1" x14ac:dyDescent="0.35">
      <c r="A2193">
        <v>16</v>
      </c>
      <c r="C2193" s="1">
        <v>45020</v>
      </c>
      <c r="D2193" t="s">
        <v>1111</v>
      </c>
      <c r="G2193" t="s">
        <v>20</v>
      </c>
      <c r="H2193" t="s">
        <v>1200</v>
      </c>
      <c r="O2193"/>
      <c r="S2193" t="s">
        <v>1092</v>
      </c>
      <c r="W2193" t="str">
        <f t="shared" si="35"/>
        <v>_</v>
      </c>
      <c r="X2193" s="2" t="s">
        <v>1615</v>
      </c>
    </row>
    <row r="2194" spans="1:24" hidden="1" x14ac:dyDescent="0.35">
      <c r="A2194">
        <v>16</v>
      </c>
      <c r="C2194" s="1">
        <v>44712</v>
      </c>
      <c r="D2194" t="s">
        <v>1481</v>
      </c>
      <c r="S2194" s="3" t="s">
        <v>1061</v>
      </c>
      <c r="T2194" s="6" t="s">
        <v>947</v>
      </c>
      <c r="U2194" s="6" t="s">
        <v>939</v>
      </c>
      <c r="V2194" s="2" t="s">
        <v>954</v>
      </c>
      <c r="W2194" t="str">
        <f t="shared" si="35"/>
        <v>_20225</v>
      </c>
      <c r="X2194" s="2" t="s">
        <v>1615</v>
      </c>
    </row>
    <row r="2195" spans="1:24" hidden="1" x14ac:dyDescent="0.35">
      <c r="A2195">
        <v>16</v>
      </c>
      <c r="C2195" s="1">
        <v>45240</v>
      </c>
      <c r="D2195" t="s">
        <v>1568</v>
      </c>
      <c r="S2195" s="3" t="s">
        <v>1061</v>
      </c>
      <c r="T2195" s="6" t="s">
        <v>945</v>
      </c>
      <c r="U2195" s="6" t="s">
        <v>948</v>
      </c>
      <c r="V2195" s="2" t="s">
        <v>955</v>
      </c>
      <c r="W2195" t="str">
        <f t="shared" si="35"/>
        <v>_202311</v>
      </c>
      <c r="X2195" s="2" t="s">
        <v>1615</v>
      </c>
    </row>
    <row r="2196" spans="1:24" hidden="1" x14ac:dyDescent="0.35">
      <c r="A2196">
        <v>17</v>
      </c>
      <c r="C2196" s="1">
        <v>45398</v>
      </c>
      <c r="D2196" t="s">
        <v>419</v>
      </c>
      <c r="F2196" t="s">
        <v>148</v>
      </c>
      <c r="G2196" t="s">
        <v>20</v>
      </c>
      <c r="H2196" t="s">
        <v>1036</v>
      </c>
      <c r="J2196">
        <v>0.68640000000000001</v>
      </c>
      <c r="N2196" t="s">
        <v>23</v>
      </c>
      <c r="O2196" s="1">
        <v>45763</v>
      </c>
      <c r="S2196" s="3" t="s">
        <v>1061</v>
      </c>
      <c r="W2196" t="str">
        <f t="shared" si="35"/>
        <v>_</v>
      </c>
      <c r="X2196" s="2" t="s">
        <v>1615</v>
      </c>
    </row>
    <row r="2197" spans="1:24" hidden="1" x14ac:dyDescent="0.35">
      <c r="A2197">
        <v>17</v>
      </c>
      <c r="C2197" s="1">
        <v>45021</v>
      </c>
      <c r="D2197" t="s">
        <v>1112</v>
      </c>
      <c r="G2197" t="s">
        <v>20</v>
      </c>
      <c r="H2197" t="s">
        <v>1201</v>
      </c>
      <c r="O2197"/>
      <c r="S2197" t="s">
        <v>1092</v>
      </c>
      <c r="W2197" t="str">
        <f t="shared" si="35"/>
        <v>_</v>
      </c>
      <c r="X2197" s="2" t="s">
        <v>1615</v>
      </c>
    </row>
    <row r="2198" spans="1:24" hidden="1" x14ac:dyDescent="0.35">
      <c r="A2198">
        <v>17</v>
      </c>
      <c r="C2198" s="1">
        <v>44712</v>
      </c>
      <c r="D2198" t="s">
        <v>1482</v>
      </c>
      <c r="S2198" s="3" t="s">
        <v>1061</v>
      </c>
      <c r="T2198" s="6" t="s">
        <v>947</v>
      </c>
      <c r="U2198" s="6" t="s">
        <v>939</v>
      </c>
      <c r="V2198" s="2" t="s">
        <v>954</v>
      </c>
      <c r="W2198" t="str">
        <f t="shared" si="35"/>
        <v>_20225</v>
      </c>
      <c r="X2198" s="2" t="s">
        <v>1615</v>
      </c>
    </row>
    <row r="2199" spans="1:24" hidden="1" x14ac:dyDescent="0.35">
      <c r="A2199">
        <v>17</v>
      </c>
      <c r="C2199" s="1">
        <v>45244</v>
      </c>
      <c r="D2199" t="s">
        <v>1569</v>
      </c>
      <c r="S2199" s="3" t="s">
        <v>1061</v>
      </c>
      <c r="T2199" s="6" t="s">
        <v>945</v>
      </c>
      <c r="U2199" s="6" t="s">
        <v>951</v>
      </c>
      <c r="V2199" s="2" t="s">
        <v>955</v>
      </c>
      <c r="W2199" t="str">
        <f t="shared" si="35"/>
        <v>_202311</v>
      </c>
      <c r="X2199" s="2" t="s">
        <v>1615</v>
      </c>
    </row>
    <row r="2200" spans="1:24" hidden="1" x14ac:dyDescent="0.35">
      <c r="A2200">
        <v>18</v>
      </c>
      <c r="C2200" s="1">
        <v>45398</v>
      </c>
      <c r="D2200" t="s">
        <v>997</v>
      </c>
      <c r="F2200" t="s">
        <v>148</v>
      </c>
      <c r="G2200" t="s">
        <v>20</v>
      </c>
      <c r="H2200" t="s">
        <v>1037</v>
      </c>
      <c r="J2200">
        <v>0.48110000000000003</v>
      </c>
      <c r="N2200" t="s">
        <v>23</v>
      </c>
      <c r="O2200" s="1">
        <v>45763</v>
      </c>
      <c r="S2200" s="3" t="s">
        <v>1061</v>
      </c>
      <c r="W2200" t="str">
        <f t="shared" si="35"/>
        <v>_</v>
      </c>
      <c r="X2200" s="2" t="s">
        <v>1615</v>
      </c>
    </row>
    <row r="2201" spans="1:24" hidden="1" x14ac:dyDescent="0.35">
      <c r="A2201">
        <v>18</v>
      </c>
      <c r="C2201" s="1">
        <v>45021</v>
      </c>
      <c r="D2201" t="s">
        <v>1113</v>
      </c>
      <c r="G2201" t="s">
        <v>20</v>
      </c>
      <c r="H2201" t="s">
        <v>1202</v>
      </c>
      <c r="O2201"/>
      <c r="S2201" t="s">
        <v>1092</v>
      </c>
      <c r="W2201" t="str">
        <f t="shared" si="35"/>
        <v>_</v>
      </c>
      <c r="X2201" s="2" t="s">
        <v>1615</v>
      </c>
    </row>
    <row r="2202" spans="1:24" hidden="1" x14ac:dyDescent="0.35">
      <c r="A2202">
        <v>18</v>
      </c>
      <c r="C2202" s="1">
        <v>44705</v>
      </c>
      <c r="D2202" t="s">
        <v>1483</v>
      </c>
      <c r="S2202" s="3" t="s">
        <v>1061</v>
      </c>
      <c r="T2202" s="6" t="s">
        <v>947</v>
      </c>
      <c r="U2202" s="6" t="s">
        <v>935</v>
      </c>
      <c r="V2202" s="2" t="s">
        <v>954</v>
      </c>
      <c r="W2202" t="str">
        <f t="shared" si="35"/>
        <v>_20225</v>
      </c>
      <c r="X2202" s="2" t="s">
        <v>1615</v>
      </c>
    </row>
    <row r="2203" spans="1:24" hidden="1" x14ac:dyDescent="0.35">
      <c r="A2203">
        <v>18</v>
      </c>
      <c r="C2203" s="1">
        <v>45244</v>
      </c>
      <c r="D2203" t="s">
        <v>1350</v>
      </c>
      <c r="S2203" s="3" t="s">
        <v>1061</v>
      </c>
      <c r="T2203" s="6" t="s">
        <v>945</v>
      </c>
      <c r="U2203" s="6" t="s">
        <v>951</v>
      </c>
      <c r="V2203" s="2" t="s">
        <v>955</v>
      </c>
      <c r="W2203" t="str">
        <f t="shared" si="35"/>
        <v>_202311</v>
      </c>
      <c r="X2203" s="2" t="s">
        <v>1615</v>
      </c>
    </row>
    <row r="2204" spans="1:24" hidden="1" x14ac:dyDescent="0.35">
      <c r="A2204">
        <v>19</v>
      </c>
      <c r="C2204" s="1">
        <v>45398</v>
      </c>
      <c r="D2204" t="s">
        <v>998</v>
      </c>
      <c r="F2204" t="s">
        <v>148</v>
      </c>
      <c r="G2204" t="s">
        <v>20</v>
      </c>
      <c r="H2204" t="s">
        <v>1038</v>
      </c>
      <c r="J2204">
        <v>0.58330000000000004</v>
      </c>
      <c r="N2204" t="s">
        <v>23</v>
      </c>
      <c r="O2204" s="1">
        <v>45763</v>
      </c>
      <c r="S2204" s="3" t="s">
        <v>1061</v>
      </c>
      <c r="W2204" t="str">
        <f t="shared" si="35"/>
        <v>_</v>
      </c>
      <c r="X2204" s="2" t="s">
        <v>1615</v>
      </c>
    </row>
    <row r="2205" spans="1:24" hidden="1" x14ac:dyDescent="0.35">
      <c r="A2205">
        <v>19</v>
      </c>
      <c r="C2205" s="1">
        <v>45022</v>
      </c>
      <c r="D2205" t="s">
        <v>1114</v>
      </c>
      <c r="G2205" t="s">
        <v>20</v>
      </c>
      <c r="H2205" t="s">
        <v>1203</v>
      </c>
      <c r="O2205"/>
      <c r="S2205" t="s">
        <v>1092</v>
      </c>
      <c r="W2205" t="str">
        <f t="shared" si="35"/>
        <v>_</v>
      </c>
      <c r="X2205" s="2" t="s">
        <v>1615</v>
      </c>
    </row>
    <row r="2206" spans="1:24" hidden="1" x14ac:dyDescent="0.35">
      <c r="A2206">
        <v>19</v>
      </c>
      <c r="C2206" s="1">
        <v>44712</v>
      </c>
      <c r="D2206" t="s">
        <v>1484</v>
      </c>
      <c r="S2206" s="3" t="s">
        <v>1061</v>
      </c>
      <c r="T2206" s="6" t="s">
        <v>947</v>
      </c>
      <c r="U2206" s="6" t="s">
        <v>939</v>
      </c>
      <c r="V2206" s="2" t="s">
        <v>954</v>
      </c>
      <c r="W2206" t="str">
        <f t="shared" si="35"/>
        <v>_20225</v>
      </c>
      <c r="X2206" s="2" t="s">
        <v>1615</v>
      </c>
    </row>
    <row r="2207" spans="1:24" hidden="1" x14ac:dyDescent="0.35">
      <c r="A2207">
        <v>19</v>
      </c>
      <c r="C2207" s="1">
        <v>45250</v>
      </c>
      <c r="D2207" t="s">
        <v>1570</v>
      </c>
      <c r="S2207" s="3" t="s">
        <v>1061</v>
      </c>
      <c r="T2207" s="6" t="s">
        <v>945</v>
      </c>
      <c r="U2207" s="6" t="s">
        <v>932</v>
      </c>
      <c r="V2207" s="2" t="s">
        <v>955</v>
      </c>
      <c r="W2207" t="str">
        <f t="shared" si="35"/>
        <v>_202311</v>
      </c>
      <c r="X2207" s="2" t="s">
        <v>1615</v>
      </c>
    </row>
    <row r="2208" spans="1:24" hidden="1" x14ac:dyDescent="0.35">
      <c r="A2208">
        <v>20</v>
      </c>
      <c r="C2208" s="1">
        <v>45403</v>
      </c>
      <c r="D2208" t="s">
        <v>999</v>
      </c>
      <c r="F2208" t="s">
        <v>148</v>
      </c>
      <c r="G2208" t="s">
        <v>261</v>
      </c>
      <c r="H2208" t="s">
        <v>1039</v>
      </c>
      <c r="J2208">
        <v>0.48899999999999999</v>
      </c>
      <c r="N2208" t="s">
        <v>23</v>
      </c>
      <c r="O2208" s="1">
        <v>45768</v>
      </c>
      <c r="S2208" s="3" t="s">
        <v>1061</v>
      </c>
      <c r="W2208" t="str">
        <f t="shared" si="35"/>
        <v>_</v>
      </c>
      <c r="X2208" s="2" t="s">
        <v>1615</v>
      </c>
    </row>
    <row r="2209" spans="1:24" hidden="1" x14ac:dyDescent="0.35">
      <c r="A2209">
        <v>20</v>
      </c>
      <c r="C2209" s="1">
        <v>45022</v>
      </c>
      <c r="D2209" t="s">
        <v>1115</v>
      </c>
      <c r="G2209" t="s">
        <v>20</v>
      </c>
      <c r="H2209" t="s">
        <v>1204</v>
      </c>
      <c r="O2209"/>
      <c r="S2209" t="s">
        <v>1092</v>
      </c>
      <c r="W2209" t="str">
        <f t="shared" si="35"/>
        <v>_</v>
      </c>
      <c r="X2209" s="2" t="s">
        <v>1615</v>
      </c>
    </row>
    <row r="2210" spans="1:24" hidden="1" x14ac:dyDescent="0.35">
      <c r="A2210">
        <v>20</v>
      </c>
      <c r="C2210" s="1">
        <v>44712</v>
      </c>
      <c r="D2210" t="s">
        <v>1485</v>
      </c>
      <c r="S2210" s="3" t="s">
        <v>1061</v>
      </c>
      <c r="T2210" s="6" t="s">
        <v>947</v>
      </c>
      <c r="U2210" s="6" t="s">
        <v>939</v>
      </c>
      <c r="V2210" s="2" t="s">
        <v>954</v>
      </c>
      <c r="W2210" t="str">
        <f t="shared" si="35"/>
        <v>_20225</v>
      </c>
      <c r="X2210" s="2" t="s">
        <v>1615</v>
      </c>
    </row>
    <row r="2211" spans="1:24" hidden="1" x14ac:dyDescent="0.35">
      <c r="A2211">
        <v>20</v>
      </c>
      <c r="C2211" s="1">
        <v>45257</v>
      </c>
      <c r="D2211" t="s">
        <v>1571</v>
      </c>
      <c r="S2211" s="3" t="s">
        <v>1061</v>
      </c>
      <c r="T2211" s="6" t="s">
        <v>945</v>
      </c>
      <c r="U2211" s="6" t="s">
        <v>925</v>
      </c>
      <c r="V2211" s="2" t="s">
        <v>955</v>
      </c>
      <c r="W2211" t="str">
        <f t="shared" si="35"/>
        <v>_202311</v>
      </c>
      <c r="X2211" s="2" t="s">
        <v>1615</v>
      </c>
    </row>
    <row r="2212" spans="1:24" hidden="1" x14ac:dyDescent="0.35">
      <c r="A2212">
        <v>21</v>
      </c>
      <c r="C2212" s="1">
        <v>45404</v>
      </c>
      <c r="D2212" t="s">
        <v>1000</v>
      </c>
      <c r="F2212" t="s">
        <v>148</v>
      </c>
      <c r="G2212" t="s">
        <v>20</v>
      </c>
      <c r="H2212" t="s">
        <v>1040</v>
      </c>
      <c r="J2212">
        <v>0.59379999999999999</v>
      </c>
      <c r="N2212" t="s">
        <v>23</v>
      </c>
      <c r="O2212" s="1">
        <v>45769</v>
      </c>
      <c r="S2212" s="3" t="s">
        <v>1061</v>
      </c>
      <c r="W2212" t="str">
        <f t="shared" si="35"/>
        <v>_</v>
      </c>
      <c r="X2212" s="2" t="s">
        <v>1615</v>
      </c>
    </row>
    <row r="2213" spans="1:24" hidden="1" x14ac:dyDescent="0.35">
      <c r="A2213">
        <v>21</v>
      </c>
      <c r="C2213" s="1">
        <v>45024</v>
      </c>
      <c r="D2213" t="s">
        <v>1116</v>
      </c>
      <c r="G2213" t="s">
        <v>20</v>
      </c>
      <c r="H2213" t="s">
        <v>1205</v>
      </c>
      <c r="O2213"/>
      <c r="S2213" t="s">
        <v>1092</v>
      </c>
      <c r="W2213" t="str">
        <f t="shared" si="35"/>
        <v>_</v>
      </c>
      <c r="X2213" s="2" t="s">
        <v>1615</v>
      </c>
    </row>
    <row r="2214" spans="1:24" hidden="1" x14ac:dyDescent="0.35">
      <c r="A2214">
        <v>21</v>
      </c>
      <c r="C2214" s="1">
        <v>44713</v>
      </c>
      <c r="D2214" t="s">
        <v>1486</v>
      </c>
      <c r="S2214" s="3" t="s">
        <v>1061</v>
      </c>
      <c r="T2214" s="6" t="s">
        <v>927</v>
      </c>
      <c r="U2214" s="6" t="s">
        <v>953</v>
      </c>
      <c r="V2214" s="2" t="s">
        <v>954</v>
      </c>
      <c r="W2214" t="str">
        <f t="shared" si="35"/>
        <v>_20226</v>
      </c>
      <c r="X2214" s="2" t="s">
        <v>1615</v>
      </c>
    </row>
    <row r="2215" spans="1:24" hidden="1" x14ac:dyDescent="0.35">
      <c r="A2215">
        <v>22</v>
      </c>
      <c r="C2215" s="1">
        <v>45404</v>
      </c>
      <c r="D2215" t="s">
        <v>1001</v>
      </c>
      <c r="F2215" t="s">
        <v>148</v>
      </c>
      <c r="G2215" t="s">
        <v>20</v>
      </c>
      <c r="H2215" t="s">
        <v>1041</v>
      </c>
      <c r="J2215">
        <v>0.65449999999999997</v>
      </c>
      <c r="N2215" t="s">
        <v>23</v>
      </c>
      <c r="O2215" s="1">
        <v>45769</v>
      </c>
      <c r="S2215" s="3" t="s">
        <v>1061</v>
      </c>
      <c r="W2215" t="str">
        <f t="shared" si="35"/>
        <v>_</v>
      </c>
      <c r="X2215" s="2" t="s">
        <v>1615</v>
      </c>
    </row>
    <row r="2216" spans="1:24" hidden="1" x14ac:dyDescent="0.35">
      <c r="A2216">
        <v>22</v>
      </c>
      <c r="C2216" s="1">
        <v>45028</v>
      </c>
      <c r="D2216" t="s">
        <v>1117</v>
      </c>
      <c r="G2216" t="s">
        <v>553</v>
      </c>
      <c r="H2216" t="s">
        <v>1206</v>
      </c>
      <c r="O2216"/>
      <c r="S2216" t="s">
        <v>1092</v>
      </c>
      <c r="W2216" t="str">
        <f t="shared" si="35"/>
        <v>_</v>
      </c>
      <c r="X2216" s="2" t="s">
        <v>1615</v>
      </c>
    </row>
    <row r="2217" spans="1:24" hidden="1" x14ac:dyDescent="0.35">
      <c r="A2217">
        <v>22</v>
      </c>
      <c r="C2217" s="1">
        <v>44713</v>
      </c>
      <c r="D2217" t="s">
        <v>1487</v>
      </c>
      <c r="S2217" s="3" t="s">
        <v>1061</v>
      </c>
      <c r="T2217" s="6" t="s">
        <v>927</v>
      </c>
      <c r="U2217" s="6" t="s">
        <v>953</v>
      </c>
      <c r="V2217" s="2" t="s">
        <v>954</v>
      </c>
      <c r="W2217" t="str">
        <f t="shared" si="35"/>
        <v>_20226</v>
      </c>
      <c r="X2217" s="2" t="s">
        <v>1615</v>
      </c>
    </row>
    <row r="2218" spans="1:24" hidden="1" x14ac:dyDescent="0.35">
      <c r="A2218">
        <v>23</v>
      </c>
      <c r="C2218" s="1">
        <v>45405</v>
      </c>
      <c r="D2218" t="s">
        <v>1002</v>
      </c>
      <c r="F2218" t="s">
        <v>148</v>
      </c>
      <c r="G2218" t="s">
        <v>762</v>
      </c>
      <c r="H2218" t="s">
        <v>1042</v>
      </c>
      <c r="J2218">
        <v>0.72219999999999995</v>
      </c>
      <c r="N2218" t="s">
        <v>23</v>
      </c>
      <c r="O2218" s="1">
        <v>45770</v>
      </c>
      <c r="S2218" s="3" t="s">
        <v>1061</v>
      </c>
      <c r="W2218" t="str">
        <f t="shared" si="35"/>
        <v>_</v>
      </c>
      <c r="X2218" s="2" t="s">
        <v>1615</v>
      </c>
    </row>
    <row r="2219" spans="1:24" hidden="1" x14ac:dyDescent="0.35">
      <c r="A2219">
        <v>23</v>
      </c>
      <c r="C2219" s="1">
        <v>45028</v>
      </c>
      <c r="D2219" t="s">
        <v>1118</v>
      </c>
      <c r="G2219" t="s">
        <v>20</v>
      </c>
      <c r="H2219" t="s">
        <v>1207</v>
      </c>
      <c r="O2219"/>
      <c r="S2219" t="s">
        <v>1092</v>
      </c>
      <c r="W2219" t="str">
        <f t="shared" si="35"/>
        <v>_</v>
      </c>
      <c r="X2219" s="2" t="s">
        <v>1615</v>
      </c>
    </row>
    <row r="2220" spans="1:24" hidden="1" x14ac:dyDescent="0.35">
      <c r="A2220">
        <v>23</v>
      </c>
      <c r="C2220" s="1">
        <v>44713</v>
      </c>
      <c r="D2220" t="s">
        <v>1488</v>
      </c>
      <c r="S2220" s="3" t="s">
        <v>1061</v>
      </c>
      <c r="T2220" s="6" t="s">
        <v>927</v>
      </c>
      <c r="U2220" s="6" t="s">
        <v>953</v>
      </c>
      <c r="V2220" s="2" t="s">
        <v>954</v>
      </c>
      <c r="W2220" t="str">
        <f t="shared" si="35"/>
        <v>_20226</v>
      </c>
      <c r="X2220" s="2" t="s">
        <v>1615</v>
      </c>
    </row>
    <row r="2221" spans="1:24" hidden="1" x14ac:dyDescent="0.35">
      <c r="A2221">
        <v>24</v>
      </c>
      <c r="C2221" s="1">
        <v>45406</v>
      </c>
      <c r="D2221" t="s">
        <v>1003</v>
      </c>
      <c r="F2221" t="s">
        <v>148</v>
      </c>
      <c r="G2221" t="s">
        <v>1043</v>
      </c>
      <c r="H2221" t="s">
        <v>1044</v>
      </c>
      <c r="J2221">
        <v>0.75</v>
      </c>
      <c r="N2221" t="s">
        <v>28</v>
      </c>
      <c r="O2221" s="1">
        <v>46136</v>
      </c>
      <c r="S2221" s="3" t="s">
        <v>1061</v>
      </c>
      <c r="W2221" t="str">
        <f t="shared" si="35"/>
        <v>_</v>
      </c>
      <c r="X2221" s="2" t="s">
        <v>1615</v>
      </c>
    </row>
    <row r="2222" spans="1:24" hidden="1" x14ac:dyDescent="0.35">
      <c r="A2222">
        <v>24</v>
      </c>
      <c r="C2222" s="1">
        <v>45028</v>
      </c>
      <c r="D2222" t="s">
        <v>1119</v>
      </c>
      <c r="G2222" t="s">
        <v>20</v>
      </c>
      <c r="H2222" t="s">
        <v>1208</v>
      </c>
      <c r="O2222"/>
      <c r="S2222" t="s">
        <v>1092</v>
      </c>
      <c r="W2222" t="str">
        <f t="shared" si="35"/>
        <v>_</v>
      </c>
      <c r="X2222" s="2" t="s">
        <v>1615</v>
      </c>
    </row>
    <row r="2223" spans="1:24" hidden="1" x14ac:dyDescent="0.35">
      <c r="A2223">
        <v>24</v>
      </c>
      <c r="C2223" s="1">
        <v>44714</v>
      </c>
      <c r="D2223" t="s">
        <v>1489</v>
      </c>
      <c r="S2223" s="3" t="s">
        <v>1061</v>
      </c>
      <c r="T2223" s="6" t="s">
        <v>927</v>
      </c>
      <c r="U2223" s="6" t="s">
        <v>921</v>
      </c>
      <c r="V2223" s="2" t="s">
        <v>954</v>
      </c>
      <c r="W2223" t="str">
        <f t="shared" si="35"/>
        <v>_20226</v>
      </c>
      <c r="X2223" s="2" t="s">
        <v>1615</v>
      </c>
    </row>
    <row r="2224" spans="1:24" hidden="1" x14ac:dyDescent="0.35">
      <c r="A2224">
        <v>25</v>
      </c>
      <c r="C2224" s="1">
        <v>45406</v>
      </c>
      <c r="D2224" t="s">
        <v>1004</v>
      </c>
      <c r="F2224" t="s">
        <v>148</v>
      </c>
      <c r="G2224" t="s">
        <v>116</v>
      </c>
      <c r="H2224" t="s">
        <v>1045</v>
      </c>
      <c r="J2224">
        <v>0.79630000000000001</v>
      </c>
      <c r="N2224" t="s">
        <v>28</v>
      </c>
      <c r="O2224" s="1">
        <v>46136</v>
      </c>
      <c r="S2224" s="3" t="s">
        <v>1061</v>
      </c>
      <c r="W2224" t="str">
        <f t="shared" si="35"/>
        <v>_</v>
      </c>
      <c r="X2224" s="2" t="s">
        <v>1615</v>
      </c>
    </row>
    <row r="2225" spans="1:24" hidden="1" x14ac:dyDescent="0.35">
      <c r="A2225">
        <v>25</v>
      </c>
      <c r="C2225" s="1">
        <v>45028</v>
      </c>
      <c r="D2225" t="s">
        <v>1120</v>
      </c>
      <c r="G2225" t="s">
        <v>20</v>
      </c>
      <c r="H2225" t="s">
        <v>1209</v>
      </c>
      <c r="O2225"/>
      <c r="S2225" t="s">
        <v>1092</v>
      </c>
      <c r="W2225" t="str">
        <f t="shared" si="35"/>
        <v>_</v>
      </c>
      <c r="X2225" s="2" t="s">
        <v>1615</v>
      </c>
    </row>
    <row r="2226" spans="1:24" hidden="1" x14ac:dyDescent="0.35">
      <c r="A2226">
        <v>25</v>
      </c>
      <c r="C2226" s="1">
        <v>44715</v>
      </c>
      <c r="D2226" t="s">
        <v>1490</v>
      </c>
      <c r="S2226" s="3" t="s">
        <v>1061</v>
      </c>
      <c r="T2226" s="6" t="s">
        <v>927</v>
      </c>
      <c r="U2226" s="6" t="s">
        <v>941</v>
      </c>
      <c r="V2226" s="2" t="s">
        <v>954</v>
      </c>
      <c r="W2226" t="str">
        <f t="shared" si="35"/>
        <v>_20226</v>
      </c>
      <c r="X2226" s="2" t="s">
        <v>1615</v>
      </c>
    </row>
    <row r="2227" spans="1:24" hidden="1" x14ac:dyDescent="0.35">
      <c r="A2227">
        <v>26</v>
      </c>
      <c r="C2227" s="1">
        <v>45406</v>
      </c>
      <c r="D2227" t="s">
        <v>1005</v>
      </c>
      <c r="F2227" t="s">
        <v>148</v>
      </c>
      <c r="G2227" t="s">
        <v>514</v>
      </c>
      <c r="H2227" t="s">
        <v>1046</v>
      </c>
      <c r="J2227">
        <v>0.74439999999999995</v>
      </c>
      <c r="N2227" t="s">
        <v>23</v>
      </c>
      <c r="O2227" s="1">
        <v>45771</v>
      </c>
      <c r="S2227" s="3" t="s">
        <v>1061</v>
      </c>
      <c r="W2227" t="str">
        <f t="shared" si="35"/>
        <v>_</v>
      </c>
      <c r="X2227" s="2" t="s">
        <v>1615</v>
      </c>
    </row>
    <row r="2228" spans="1:24" hidden="1" x14ac:dyDescent="0.35">
      <c r="A2228">
        <v>26</v>
      </c>
      <c r="C2228" s="1">
        <v>45028</v>
      </c>
      <c r="D2228" t="s">
        <v>1121</v>
      </c>
      <c r="G2228" t="s">
        <v>116</v>
      </c>
      <c r="H2228" t="s">
        <v>1210</v>
      </c>
      <c r="O2228"/>
      <c r="S2228" t="s">
        <v>1092</v>
      </c>
      <c r="W2228" t="str">
        <f t="shared" si="35"/>
        <v>_</v>
      </c>
      <c r="X2228" s="2" t="s">
        <v>1615</v>
      </c>
    </row>
    <row r="2229" spans="1:24" hidden="1" x14ac:dyDescent="0.35">
      <c r="A2229">
        <v>26</v>
      </c>
      <c r="C2229" s="1">
        <v>44718</v>
      </c>
      <c r="D2229" t="s">
        <v>2679</v>
      </c>
      <c r="S2229" s="3" t="s">
        <v>1061</v>
      </c>
      <c r="T2229" s="6" t="s">
        <v>927</v>
      </c>
      <c r="U2229" s="6" t="s">
        <v>927</v>
      </c>
      <c r="V2229" s="2" t="s">
        <v>954</v>
      </c>
      <c r="W2229" t="str">
        <f t="shared" si="35"/>
        <v>_20226</v>
      </c>
      <c r="X2229" s="2" t="s">
        <v>1615</v>
      </c>
    </row>
    <row r="2230" spans="1:24" hidden="1" x14ac:dyDescent="0.35">
      <c r="A2230">
        <v>27</v>
      </c>
      <c r="C2230" s="1">
        <v>45415</v>
      </c>
      <c r="D2230" t="s">
        <v>1006</v>
      </c>
      <c r="F2230" t="s">
        <v>39</v>
      </c>
      <c r="G2230" t="s">
        <v>20</v>
      </c>
      <c r="H2230" t="s">
        <v>1047</v>
      </c>
      <c r="J2230">
        <v>0.78569999999999995</v>
      </c>
      <c r="N2230" t="s">
        <v>28</v>
      </c>
      <c r="O2230" s="1">
        <v>46145</v>
      </c>
      <c r="S2230" s="3" t="s">
        <v>1061</v>
      </c>
      <c r="W2230" t="str">
        <f t="shared" si="35"/>
        <v>_</v>
      </c>
      <c r="X2230" s="2" t="s">
        <v>1615</v>
      </c>
    </row>
    <row r="2231" spans="1:24" hidden="1" x14ac:dyDescent="0.35">
      <c r="A2231">
        <v>27</v>
      </c>
      <c r="C2231" s="1">
        <v>45028</v>
      </c>
      <c r="D2231" t="s">
        <v>1122</v>
      </c>
      <c r="G2231" t="s">
        <v>20</v>
      </c>
      <c r="H2231" t="s">
        <v>1211</v>
      </c>
      <c r="O2231"/>
      <c r="S2231" t="s">
        <v>1092</v>
      </c>
      <c r="W2231" t="str">
        <f t="shared" si="35"/>
        <v>_</v>
      </c>
      <c r="X2231" s="2" t="s">
        <v>1615</v>
      </c>
    </row>
    <row r="2232" spans="1:24" hidden="1" x14ac:dyDescent="0.35">
      <c r="A2232">
        <v>27</v>
      </c>
      <c r="C2232" s="1">
        <v>44725</v>
      </c>
      <c r="D2232" t="s">
        <v>1491</v>
      </c>
      <c r="S2232" s="3" t="s">
        <v>1061</v>
      </c>
      <c r="T2232" s="6" t="s">
        <v>927</v>
      </c>
      <c r="U2232" s="6" t="s">
        <v>950</v>
      </c>
      <c r="V2232" s="2" t="s">
        <v>954</v>
      </c>
      <c r="W2232" t="str">
        <f t="shared" si="35"/>
        <v>_20226</v>
      </c>
      <c r="X2232" s="2" t="s">
        <v>1615</v>
      </c>
    </row>
    <row r="2233" spans="1:24" hidden="1" x14ac:dyDescent="0.35">
      <c r="A2233">
        <v>28</v>
      </c>
      <c r="C2233" s="1">
        <v>45415</v>
      </c>
      <c r="D2233" t="s">
        <v>1007</v>
      </c>
      <c r="F2233" t="s">
        <v>39</v>
      </c>
      <c r="G2233" t="s">
        <v>20</v>
      </c>
      <c r="H2233" t="s">
        <v>1048</v>
      </c>
      <c r="J2233">
        <v>0.7833</v>
      </c>
      <c r="N2233" t="s">
        <v>28</v>
      </c>
      <c r="O2233" s="1">
        <v>46145</v>
      </c>
      <c r="S2233" s="3" t="s">
        <v>1061</v>
      </c>
      <c r="W2233" t="str">
        <f t="shared" si="35"/>
        <v>_</v>
      </c>
      <c r="X2233" s="2" t="s">
        <v>1615</v>
      </c>
    </row>
    <row r="2234" spans="1:24" hidden="1" x14ac:dyDescent="0.35">
      <c r="A2234">
        <v>28</v>
      </c>
      <c r="C2234" s="1">
        <v>45034</v>
      </c>
      <c r="D2234" t="s">
        <v>1123</v>
      </c>
      <c r="G2234" t="s">
        <v>20</v>
      </c>
      <c r="H2234" t="s">
        <v>1212</v>
      </c>
      <c r="O2234"/>
      <c r="S2234" t="s">
        <v>1092</v>
      </c>
      <c r="W2234" t="str">
        <f t="shared" si="35"/>
        <v>_</v>
      </c>
      <c r="X2234" s="2" t="s">
        <v>1615</v>
      </c>
    </row>
    <row r="2235" spans="1:24" hidden="1" x14ac:dyDescent="0.35">
      <c r="A2235">
        <v>28</v>
      </c>
      <c r="C2235" s="1">
        <v>44726</v>
      </c>
      <c r="D2235" t="s">
        <v>1492</v>
      </c>
      <c r="S2235" s="3" t="s">
        <v>1061</v>
      </c>
      <c r="T2235" s="6" t="s">
        <v>927</v>
      </c>
      <c r="U2235" s="6" t="s">
        <v>951</v>
      </c>
      <c r="V2235" s="2" t="s">
        <v>954</v>
      </c>
      <c r="W2235" t="str">
        <f t="shared" si="35"/>
        <v>_20226</v>
      </c>
      <c r="X2235" s="2" t="s">
        <v>1615</v>
      </c>
    </row>
    <row r="2236" spans="1:24" hidden="1" x14ac:dyDescent="0.35">
      <c r="A2236">
        <v>29</v>
      </c>
      <c r="C2236" s="1">
        <v>45417</v>
      </c>
      <c r="D2236" t="s">
        <v>1008</v>
      </c>
      <c r="F2236" t="s">
        <v>52</v>
      </c>
      <c r="G2236" t="s">
        <v>20</v>
      </c>
      <c r="H2236" t="s">
        <v>1049</v>
      </c>
      <c r="J2236">
        <v>0.71089999999999998</v>
      </c>
      <c r="N2236" t="s">
        <v>23</v>
      </c>
      <c r="O2236" s="1">
        <v>45782</v>
      </c>
      <c r="S2236" s="3" t="s">
        <v>1061</v>
      </c>
      <c r="W2236" t="str">
        <f t="shared" si="35"/>
        <v>_</v>
      </c>
      <c r="X2236" s="2" t="s">
        <v>1615</v>
      </c>
    </row>
    <row r="2237" spans="1:24" hidden="1" x14ac:dyDescent="0.35">
      <c r="A2237">
        <v>29</v>
      </c>
      <c r="C2237" s="1">
        <v>45034</v>
      </c>
      <c r="D2237" t="s">
        <v>1124</v>
      </c>
      <c r="G2237" t="s">
        <v>116</v>
      </c>
      <c r="H2237" t="s">
        <v>1213</v>
      </c>
      <c r="O2237"/>
      <c r="S2237" t="s">
        <v>1092</v>
      </c>
      <c r="W2237" t="str">
        <f t="shared" si="35"/>
        <v>_</v>
      </c>
      <c r="X2237" s="2" t="s">
        <v>1615</v>
      </c>
    </row>
    <row r="2238" spans="1:24" hidden="1" x14ac:dyDescent="0.35">
      <c r="A2238">
        <v>29</v>
      </c>
      <c r="C2238" s="1">
        <v>44811</v>
      </c>
      <c r="D2238" t="s">
        <v>1493</v>
      </c>
      <c r="S2238" s="3" t="s">
        <v>1061</v>
      </c>
      <c r="T2238" s="6" t="s">
        <v>942</v>
      </c>
      <c r="U2238" s="6" t="s">
        <v>936</v>
      </c>
      <c r="V2238" s="2" t="s">
        <v>954</v>
      </c>
      <c r="W2238" t="str">
        <f t="shared" si="35"/>
        <v>_20229</v>
      </c>
      <c r="X2238" s="2" t="s">
        <v>1615</v>
      </c>
    </row>
    <row r="2239" spans="1:24" hidden="1" x14ac:dyDescent="0.35">
      <c r="A2239">
        <v>30</v>
      </c>
      <c r="C2239" s="1">
        <v>45417</v>
      </c>
      <c r="D2239" t="s">
        <v>1009</v>
      </c>
      <c r="F2239" t="s">
        <v>148</v>
      </c>
      <c r="G2239" t="s">
        <v>20</v>
      </c>
      <c r="H2239" t="s">
        <v>1050</v>
      </c>
      <c r="J2239">
        <v>0.83079999999999998</v>
      </c>
      <c r="N2239" t="s">
        <v>28</v>
      </c>
      <c r="O2239" s="1">
        <v>46147</v>
      </c>
      <c r="S2239" s="3" t="s">
        <v>1061</v>
      </c>
      <c r="W2239" t="str">
        <f t="shared" si="35"/>
        <v>_</v>
      </c>
      <c r="X2239" s="2" t="s">
        <v>1615</v>
      </c>
    </row>
    <row r="2240" spans="1:24" hidden="1" x14ac:dyDescent="0.35">
      <c r="A2240">
        <v>30</v>
      </c>
      <c r="C2240" s="1">
        <v>45041</v>
      </c>
      <c r="D2240" t="s">
        <v>1125</v>
      </c>
      <c r="G2240" t="s">
        <v>20</v>
      </c>
      <c r="H2240" t="s">
        <v>1214</v>
      </c>
      <c r="O2240"/>
      <c r="S2240" t="s">
        <v>1092</v>
      </c>
      <c r="W2240" t="str">
        <f t="shared" si="35"/>
        <v>_</v>
      </c>
      <c r="X2240" s="2" t="s">
        <v>1615</v>
      </c>
    </row>
    <row r="2241" spans="1:24" hidden="1" x14ac:dyDescent="0.35">
      <c r="A2241">
        <v>30</v>
      </c>
      <c r="C2241" s="1">
        <v>44811</v>
      </c>
      <c r="D2241" t="s">
        <v>1453</v>
      </c>
      <c r="S2241" s="3" t="s">
        <v>1061</v>
      </c>
      <c r="T2241" s="6" t="s">
        <v>942</v>
      </c>
      <c r="U2241" s="6" t="s">
        <v>936</v>
      </c>
      <c r="V2241" s="2" t="s">
        <v>954</v>
      </c>
      <c r="W2241" t="str">
        <f t="shared" ref="W2241:W2304" si="36">CONCATENATE(B2241,"_",V2241,T2241)</f>
        <v>_20229</v>
      </c>
      <c r="X2241" s="2" t="s">
        <v>1615</v>
      </c>
    </row>
    <row r="2242" spans="1:24" hidden="1" x14ac:dyDescent="0.35">
      <c r="A2242">
        <v>31</v>
      </c>
      <c r="C2242" s="1">
        <v>45417</v>
      </c>
      <c r="D2242" t="s">
        <v>1010</v>
      </c>
      <c r="F2242" t="s">
        <v>52</v>
      </c>
      <c r="G2242" t="s">
        <v>20</v>
      </c>
      <c r="H2242" t="s">
        <v>1051</v>
      </c>
      <c r="J2242">
        <v>0.84379999999999999</v>
      </c>
      <c r="N2242" t="s">
        <v>28</v>
      </c>
      <c r="O2242" s="1">
        <v>46147</v>
      </c>
      <c r="S2242" s="3" t="s">
        <v>1061</v>
      </c>
      <c r="W2242" t="str">
        <f t="shared" si="36"/>
        <v>_</v>
      </c>
      <c r="X2242" s="2" t="s">
        <v>1615</v>
      </c>
    </row>
    <row r="2243" spans="1:24" hidden="1" x14ac:dyDescent="0.35">
      <c r="A2243">
        <v>31</v>
      </c>
      <c r="C2243" s="1">
        <v>45042</v>
      </c>
      <c r="D2243" t="s">
        <v>1126</v>
      </c>
      <c r="G2243" t="s">
        <v>20</v>
      </c>
      <c r="H2243" t="s">
        <v>1215</v>
      </c>
      <c r="O2243"/>
      <c r="S2243" t="s">
        <v>1092</v>
      </c>
      <c r="W2243" t="str">
        <f t="shared" si="36"/>
        <v>_</v>
      </c>
      <c r="X2243" s="2" t="s">
        <v>1615</v>
      </c>
    </row>
    <row r="2244" spans="1:24" hidden="1" x14ac:dyDescent="0.35">
      <c r="A2244">
        <v>31</v>
      </c>
      <c r="C2244" s="1">
        <v>44811</v>
      </c>
      <c r="D2244" t="s">
        <v>1494</v>
      </c>
      <c r="S2244" s="3" t="s">
        <v>1061</v>
      </c>
      <c r="T2244" s="6" t="s">
        <v>942</v>
      </c>
      <c r="U2244" s="6" t="s">
        <v>936</v>
      </c>
      <c r="V2244" s="2" t="s">
        <v>954</v>
      </c>
      <c r="W2244" t="str">
        <f t="shared" si="36"/>
        <v>_20229</v>
      </c>
      <c r="X2244" s="2" t="s">
        <v>1615</v>
      </c>
    </row>
    <row r="2245" spans="1:24" hidden="1" x14ac:dyDescent="0.35">
      <c r="A2245">
        <v>32</v>
      </c>
      <c r="C2245" s="1">
        <v>45418</v>
      </c>
      <c r="D2245" t="s">
        <v>1011</v>
      </c>
      <c r="F2245" t="s">
        <v>148</v>
      </c>
      <c r="G2245" t="s">
        <v>238</v>
      </c>
      <c r="H2245" t="s">
        <v>1052</v>
      </c>
      <c r="J2245">
        <v>0.79849999999999999</v>
      </c>
      <c r="N2245" t="s">
        <v>28</v>
      </c>
      <c r="O2245" s="1">
        <v>46148</v>
      </c>
      <c r="S2245" s="3" t="s">
        <v>1061</v>
      </c>
      <c r="W2245" t="str">
        <f t="shared" si="36"/>
        <v>_</v>
      </c>
      <c r="X2245" s="2" t="s">
        <v>1615</v>
      </c>
    </row>
    <row r="2246" spans="1:24" hidden="1" x14ac:dyDescent="0.35">
      <c r="A2246">
        <v>32</v>
      </c>
      <c r="C2246" s="1">
        <v>45042</v>
      </c>
      <c r="D2246" t="s">
        <v>1127</v>
      </c>
      <c r="G2246" t="s">
        <v>20</v>
      </c>
      <c r="H2246" t="s">
        <v>1216</v>
      </c>
      <c r="O2246"/>
      <c r="S2246" t="s">
        <v>1092</v>
      </c>
      <c r="W2246" t="str">
        <f t="shared" si="36"/>
        <v>_</v>
      </c>
      <c r="X2246" s="2" t="s">
        <v>1615</v>
      </c>
    </row>
    <row r="2247" spans="1:24" hidden="1" x14ac:dyDescent="0.35">
      <c r="A2247">
        <v>32</v>
      </c>
      <c r="C2247" s="1">
        <v>44812</v>
      </c>
      <c r="D2247" t="s">
        <v>1495</v>
      </c>
      <c r="S2247" s="3" t="s">
        <v>1061</v>
      </c>
      <c r="T2247" s="6" t="s">
        <v>942</v>
      </c>
      <c r="U2247" s="6" t="s">
        <v>940</v>
      </c>
      <c r="V2247" s="2" t="s">
        <v>954</v>
      </c>
      <c r="W2247" t="str">
        <f t="shared" si="36"/>
        <v>_20229</v>
      </c>
      <c r="X2247" s="2" t="s">
        <v>1615</v>
      </c>
    </row>
    <row r="2248" spans="1:24" hidden="1" x14ac:dyDescent="0.35">
      <c r="A2248">
        <v>33</v>
      </c>
      <c r="C2248" s="1">
        <v>45419</v>
      </c>
      <c r="D2248" t="s">
        <v>1012</v>
      </c>
      <c r="F2248" t="s">
        <v>148</v>
      </c>
      <c r="G2248" t="s">
        <v>20</v>
      </c>
      <c r="H2248" t="s">
        <v>1053</v>
      </c>
      <c r="J2248">
        <v>0.86670000000000003</v>
      </c>
      <c r="N2248" t="s">
        <v>28</v>
      </c>
      <c r="O2248" s="1">
        <v>46149</v>
      </c>
      <c r="S2248" s="3" t="s">
        <v>1061</v>
      </c>
      <c r="W2248" t="str">
        <f t="shared" si="36"/>
        <v>_</v>
      </c>
      <c r="X2248" s="2" t="s">
        <v>1615</v>
      </c>
    </row>
    <row r="2249" spans="1:24" hidden="1" x14ac:dyDescent="0.35">
      <c r="A2249">
        <v>33</v>
      </c>
      <c r="C2249" s="1">
        <v>45042</v>
      </c>
      <c r="D2249" t="s">
        <v>1128</v>
      </c>
      <c r="G2249" t="s">
        <v>20</v>
      </c>
      <c r="H2249" t="s">
        <v>1217</v>
      </c>
      <c r="O2249"/>
      <c r="S2249" t="s">
        <v>1092</v>
      </c>
      <c r="W2249" t="str">
        <f t="shared" si="36"/>
        <v>_</v>
      </c>
      <c r="X2249" s="2" t="s">
        <v>1615</v>
      </c>
    </row>
    <row r="2250" spans="1:24" hidden="1" x14ac:dyDescent="0.35">
      <c r="A2250">
        <v>33</v>
      </c>
      <c r="C2250" s="1">
        <v>44813</v>
      </c>
      <c r="D2250" t="s">
        <v>1496</v>
      </c>
      <c r="S2250" s="3" t="s">
        <v>1061</v>
      </c>
      <c r="T2250" s="6" t="s">
        <v>942</v>
      </c>
      <c r="U2250" s="6" t="s">
        <v>942</v>
      </c>
      <c r="V2250" s="2" t="s">
        <v>954</v>
      </c>
      <c r="W2250" t="str">
        <f t="shared" si="36"/>
        <v>_20229</v>
      </c>
      <c r="X2250" s="2" t="s">
        <v>1615</v>
      </c>
    </row>
    <row r="2251" spans="1:24" hidden="1" x14ac:dyDescent="0.35">
      <c r="A2251">
        <v>34</v>
      </c>
      <c r="C2251" s="1">
        <v>45420</v>
      </c>
      <c r="D2251" t="s">
        <v>1013</v>
      </c>
      <c r="F2251" t="s">
        <v>52</v>
      </c>
      <c r="G2251" t="s">
        <v>20</v>
      </c>
      <c r="H2251" t="s">
        <v>1054</v>
      </c>
      <c r="J2251">
        <v>0.68869999999999998</v>
      </c>
      <c r="N2251" t="s">
        <v>23</v>
      </c>
      <c r="O2251" s="1">
        <v>45785</v>
      </c>
      <c r="S2251" s="3" t="s">
        <v>1061</v>
      </c>
      <c r="W2251" t="str">
        <f t="shared" si="36"/>
        <v>_</v>
      </c>
      <c r="X2251" s="2" t="s">
        <v>1615</v>
      </c>
    </row>
    <row r="2252" spans="1:24" hidden="1" x14ac:dyDescent="0.35">
      <c r="A2252">
        <v>34</v>
      </c>
      <c r="C2252" s="1">
        <v>45042</v>
      </c>
      <c r="D2252" t="s">
        <v>1129</v>
      </c>
      <c r="G2252" t="s">
        <v>26</v>
      </c>
      <c r="H2252" t="s">
        <v>1218</v>
      </c>
      <c r="O2252"/>
      <c r="S2252" t="s">
        <v>1092</v>
      </c>
      <c r="W2252" t="str">
        <f t="shared" si="36"/>
        <v>_</v>
      </c>
      <c r="X2252" s="2" t="s">
        <v>1615</v>
      </c>
    </row>
    <row r="2253" spans="1:24" hidden="1" x14ac:dyDescent="0.35">
      <c r="A2253">
        <v>34</v>
      </c>
      <c r="C2253" s="1">
        <v>44813</v>
      </c>
      <c r="D2253" t="s">
        <v>1497</v>
      </c>
      <c r="S2253" s="3" t="s">
        <v>1061</v>
      </c>
      <c r="T2253" s="6" t="s">
        <v>942</v>
      </c>
      <c r="U2253" s="6" t="s">
        <v>942</v>
      </c>
      <c r="V2253" s="2" t="s">
        <v>954</v>
      </c>
      <c r="W2253" t="str">
        <f t="shared" si="36"/>
        <v>_20229</v>
      </c>
      <c r="X2253" s="2" t="s">
        <v>1615</v>
      </c>
    </row>
    <row r="2254" spans="1:24" hidden="1" x14ac:dyDescent="0.35">
      <c r="A2254">
        <v>35</v>
      </c>
      <c r="C2254" s="1">
        <v>45435</v>
      </c>
      <c r="D2254" t="s">
        <v>1014</v>
      </c>
      <c r="F2254" t="s">
        <v>148</v>
      </c>
      <c r="G2254" t="s">
        <v>20</v>
      </c>
      <c r="H2254" t="s">
        <v>1055</v>
      </c>
      <c r="J2254">
        <v>0.86</v>
      </c>
      <c r="N2254" t="s">
        <v>28</v>
      </c>
      <c r="O2254" s="1">
        <v>46165</v>
      </c>
      <c r="S2254" s="3" t="s">
        <v>1061</v>
      </c>
      <c r="W2254" t="str">
        <f t="shared" si="36"/>
        <v>_</v>
      </c>
      <c r="X2254" s="2" t="s">
        <v>1615</v>
      </c>
    </row>
    <row r="2255" spans="1:24" hidden="1" x14ac:dyDescent="0.35">
      <c r="A2255">
        <v>35</v>
      </c>
      <c r="C2255" s="1">
        <v>45042</v>
      </c>
      <c r="D2255" t="s">
        <v>1130</v>
      </c>
      <c r="G2255" t="s">
        <v>20</v>
      </c>
      <c r="H2255" t="s">
        <v>1219</v>
      </c>
      <c r="O2255"/>
      <c r="S2255" t="s">
        <v>1092</v>
      </c>
      <c r="W2255" t="str">
        <f t="shared" si="36"/>
        <v>_</v>
      </c>
      <c r="X2255" s="2" t="s">
        <v>1615</v>
      </c>
    </row>
    <row r="2256" spans="1:24" hidden="1" x14ac:dyDescent="0.35">
      <c r="A2256">
        <v>35</v>
      </c>
      <c r="C2256" s="1">
        <v>44816</v>
      </c>
      <c r="D2256" t="s">
        <v>1498</v>
      </c>
      <c r="S2256" s="3" t="s">
        <v>1061</v>
      </c>
      <c r="T2256" s="6" t="s">
        <v>942</v>
      </c>
      <c r="U2256" s="6" t="s">
        <v>949</v>
      </c>
      <c r="V2256" s="2" t="s">
        <v>954</v>
      </c>
      <c r="W2256" t="str">
        <f t="shared" si="36"/>
        <v>_20229</v>
      </c>
      <c r="X2256" s="2" t="s">
        <v>1615</v>
      </c>
    </row>
    <row r="2257" spans="1:24" hidden="1" x14ac:dyDescent="0.35">
      <c r="A2257">
        <v>36</v>
      </c>
      <c r="C2257" s="1">
        <v>45446</v>
      </c>
      <c r="D2257" t="s">
        <v>1015</v>
      </c>
      <c r="F2257" t="s">
        <v>148</v>
      </c>
      <c r="G2257" t="s">
        <v>20</v>
      </c>
      <c r="H2257" t="s">
        <v>1056</v>
      </c>
      <c r="J2257">
        <v>0.68479999999999996</v>
      </c>
      <c r="N2257" t="s">
        <v>23</v>
      </c>
      <c r="O2257" s="1">
        <v>45811</v>
      </c>
      <c r="S2257" s="3" t="s">
        <v>1061</v>
      </c>
      <c r="W2257" t="str">
        <f t="shared" si="36"/>
        <v>_</v>
      </c>
      <c r="X2257" s="2" t="s">
        <v>1615</v>
      </c>
    </row>
    <row r="2258" spans="1:24" hidden="1" x14ac:dyDescent="0.35">
      <c r="A2258">
        <v>36</v>
      </c>
      <c r="C2258" s="1">
        <v>45043</v>
      </c>
      <c r="D2258" t="s">
        <v>1131</v>
      </c>
      <c r="G2258" t="s">
        <v>92</v>
      </c>
      <c r="H2258" t="s">
        <v>1220</v>
      </c>
      <c r="O2258"/>
      <c r="S2258" t="s">
        <v>1092</v>
      </c>
      <c r="W2258" t="str">
        <f t="shared" si="36"/>
        <v>_</v>
      </c>
      <c r="X2258" s="2" t="s">
        <v>1615</v>
      </c>
    </row>
    <row r="2259" spans="1:24" hidden="1" x14ac:dyDescent="0.35">
      <c r="A2259">
        <v>36</v>
      </c>
      <c r="C2259" s="1">
        <v>44816</v>
      </c>
      <c r="D2259" t="s">
        <v>1499</v>
      </c>
      <c r="S2259" s="3" t="s">
        <v>1061</v>
      </c>
      <c r="T2259" s="6" t="s">
        <v>942</v>
      </c>
      <c r="U2259" s="6" t="s">
        <v>949</v>
      </c>
      <c r="V2259" s="2" t="s">
        <v>954</v>
      </c>
      <c r="W2259" t="str">
        <f t="shared" si="36"/>
        <v>_20229</v>
      </c>
      <c r="X2259" s="2" t="s">
        <v>1615</v>
      </c>
    </row>
    <row r="2260" spans="1:24" hidden="1" x14ac:dyDescent="0.35">
      <c r="A2260">
        <v>37</v>
      </c>
      <c r="C2260" s="1">
        <v>45448</v>
      </c>
      <c r="D2260" t="s">
        <v>1016</v>
      </c>
      <c r="F2260" t="s">
        <v>148</v>
      </c>
      <c r="G2260" t="s">
        <v>514</v>
      </c>
      <c r="H2260" t="s">
        <v>1057</v>
      </c>
      <c r="J2260">
        <v>0.5</v>
      </c>
      <c r="N2260" t="s">
        <v>23</v>
      </c>
      <c r="O2260" s="1">
        <v>45813</v>
      </c>
      <c r="S2260" s="3" t="s">
        <v>1061</v>
      </c>
      <c r="W2260" t="str">
        <f t="shared" si="36"/>
        <v>_</v>
      </c>
      <c r="X2260" s="2" t="s">
        <v>1615</v>
      </c>
    </row>
    <row r="2261" spans="1:24" hidden="1" x14ac:dyDescent="0.35">
      <c r="A2261">
        <v>37</v>
      </c>
      <c r="C2261" s="1">
        <v>45043</v>
      </c>
      <c r="D2261" t="s">
        <v>1132</v>
      </c>
      <c r="G2261" t="s">
        <v>20</v>
      </c>
      <c r="H2261" t="s">
        <v>1221</v>
      </c>
      <c r="O2261"/>
      <c r="S2261" t="s">
        <v>1092</v>
      </c>
      <c r="W2261" t="str">
        <f t="shared" si="36"/>
        <v>_</v>
      </c>
      <c r="X2261" s="2" t="s">
        <v>1615</v>
      </c>
    </row>
    <row r="2262" spans="1:24" hidden="1" x14ac:dyDescent="0.35">
      <c r="A2262">
        <v>37</v>
      </c>
      <c r="C2262" s="1">
        <v>44816</v>
      </c>
      <c r="D2262" t="s">
        <v>1500</v>
      </c>
      <c r="S2262" s="3" t="s">
        <v>1061</v>
      </c>
      <c r="T2262" s="6" t="s">
        <v>942</v>
      </c>
      <c r="U2262" s="6" t="s">
        <v>949</v>
      </c>
      <c r="V2262" s="2" t="s">
        <v>954</v>
      </c>
      <c r="W2262" t="str">
        <f t="shared" si="36"/>
        <v>_20229</v>
      </c>
      <c r="X2262" s="2" t="s">
        <v>1615</v>
      </c>
    </row>
    <row r="2263" spans="1:24" hidden="1" x14ac:dyDescent="0.35">
      <c r="A2263">
        <v>38</v>
      </c>
      <c r="C2263" s="1">
        <v>45457</v>
      </c>
      <c r="D2263" t="s">
        <v>1017</v>
      </c>
      <c r="F2263" t="s">
        <v>148</v>
      </c>
      <c r="G2263" t="s">
        <v>396</v>
      </c>
      <c r="H2263" t="s">
        <v>1058</v>
      </c>
      <c r="J2263">
        <v>0.46300000000000002</v>
      </c>
      <c r="N2263" t="s">
        <v>23</v>
      </c>
      <c r="O2263" s="1">
        <v>45822</v>
      </c>
      <c r="S2263" s="3" t="s">
        <v>1061</v>
      </c>
      <c r="W2263" t="str">
        <f t="shared" si="36"/>
        <v>_</v>
      </c>
      <c r="X2263" s="2" t="s">
        <v>1615</v>
      </c>
    </row>
    <row r="2264" spans="1:24" hidden="1" x14ac:dyDescent="0.35">
      <c r="A2264">
        <v>38</v>
      </c>
      <c r="C2264" s="1">
        <v>45051</v>
      </c>
      <c r="D2264" t="s">
        <v>1133</v>
      </c>
      <c r="G2264" t="s">
        <v>20</v>
      </c>
      <c r="H2264" t="s">
        <v>1222</v>
      </c>
      <c r="O2264"/>
      <c r="S2264" t="s">
        <v>1092</v>
      </c>
      <c r="W2264" t="str">
        <f t="shared" si="36"/>
        <v>_</v>
      </c>
      <c r="X2264" s="2" t="s">
        <v>1615</v>
      </c>
    </row>
    <row r="2265" spans="1:24" hidden="1" x14ac:dyDescent="0.35">
      <c r="A2265">
        <v>38</v>
      </c>
      <c r="C2265" s="1">
        <v>44816</v>
      </c>
      <c r="D2265" t="s">
        <v>1501</v>
      </c>
      <c r="S2265" s="3" t="s">
        <v>1061</v>
      </c>
      <c r="T2265" s="6" t="s">
        <v>942</v>
      </c>
      <c r="U2265" s="6" t="s">
        <v>949</v>
      </c>
      <c r="V2265" s="2" t="s">
        <v>954</v>
      </c>
      <c r="W2265" t="str">
        <f t="shared" si="36"/>
        <v>_20229</v>
      </c>
      <c r="X2265" s="2" t="s">
        <v>1615</v>
      </c>
    </row>
    <row r="2266" spans="1:24" hidden="1" x14ac:dyDescent="0.35">
      <c r="A2266">
        <v>39</v>
      </c>
      <c r="C2266" s="1">
        <v>45459</v>
      </c>
      <c r="D2266" t="s">
        <v>1018</v>
      </c>
      <c r="F2266" t="s">
        <v>148</v>
      </c>
      <c r="G2266" t="s">
        <v>1059</v>
      </c>
      <c r="H2266" t="s">
        <v>1060</v>
      </c>
      <c r="J2266">
        <v>0.54720000000000002</v>
      </c>
      <c r="N2266" t="s">
        <v>23</v>
      </c>
      <c r="O2266" s="1">
        <v>45824</v>
      </c>
      <c r="S2266" s="3" t="s">
        <v>1061</v>
      </c>
      <c r="W2266" t="str">
        <f t="shared" si="36"/>
        <v>_</v>
      </c>
      <c r="X2266" s="2" t="s">
        <v>1615</v>
      </c>
    </row>
    <row r="2267" spans="1:24" hidden="1" x14ac:dyDescent="0.35">
      <c r="A2267">
        <v>39</v>
      </c>
      <c r="C2267" s="1">
        <v>45051</v>
      </c>
      <c r="D2267" t="s">
        <v>1134</v>
      </c>
      <c r="G2267" t="s">
        <v>82</v>
      </c>
      <c r="H2267" t="s">
        <v>1223</v>
      </c>
      <c r="O2267"/>
      <c r="S2267" t="s">
        <v>1092</v>
      </c>
      <c r="W2267" t="str">
        <f t="shared" si="36"/>
        <v>_</v>
      </c>
      <c r="X2267" s="2" t="s">
        <v>1615</v>
      </c>
    </row>
    <row r="2268" spans="1:24" hidden="1" x14ac:dyDescent="0.35">
      <c r="A2268">
        <v>39</v>
      </c>
      <c r="C2268" s="1">
        <v>44807</v>
      </c>
      <c r="D2268" t="s">
        <v>1502</v>
      </c>
      <c r="S2268" s="3" t="s">
        <v>1061</v>
      </c>
      <c r="T2268" s="6" t="s">
        <v>942</v>
      </c>
      <c r="U2268" s="6" t="s">
        <v>941</v>
      </c>
      <c r="V2268" s="2" t="s">
        <v>954</v>
      </c>
      <c r="W2268" t="str">
        <f t="shared" si="36"/>
        <v>_20229</v>
      </c>
      <c r="X2268" s="2" t="s">
        <v>1615</v>
      </c>
    </row>
    <row r="2269" spans="1:24" hidden="1" x14ac:dyDescent="0.35">
      <c r="A2269">
        <v>40</v>
      </c>
      <c r="C2269" s="1">
        <v>45051</v>
      </c>
      <c r="D2269" t="s">
        <v>1135</v>
      </c>
      <c r="G2269" t="s">
        <v>1224</v>
      </c>
      <c r="H2269" t="s">
        <v>1225</v>
      </c>
      <c r="O2269"/>
      <c r="S2269" t="s">
        <v>1092</v>
      </c>
      <c r="W2269" t="str">
        <f t="shared" si="36"/>
        <v>_</v>
      </c>
      <c r="X2269" s="2" t="s">
        <v>1615</v>
      </c>
    </row>
    <row r="2270" spans="1:24" hidden="1" x14ac:dyDescent="0.35">
      <c r="A2270">
        <v>40</v>
      </c>
      <c r="C2270" s="1">
        <v>44817</v>
      </c>
      <c r="D2270" t="s">
        <v>1503</v>
      </c>
      <c r="S2270" s="3" t="s">
        <v>1061</v>
      </c>
      <c r="T2270" s="6" t="s">
        <v>942</v>
      </c>
      <c r="U2270" s="6" t="s">
        <v>950</v>
      </c>
      <c r="V2270" s="2" t="s">
        <v>954</v>
      </c>
      <c r="W2270" t="str">
        <f t="shared" si="36"/>
        <v>_20229</v>
      </c>
      <c r="X2270" s="2" t="s">
        <v>1615</v>
      </c>
    </row>
    <row r="2271" spans="1:24" hidden="1" x14ac:dyDescent="0.35">
      <c r="A2271">
        <v>41</v>
      </c>
      <c r="C2271" s="1">
        <v>45054</v>
      </c>
      <c r="D2271" t="s">
        <v>1136</v>
      </c>
      <c r="G2271" t="s">
        <v>82</v>
      </c>
      <c r="H2271" t="s">
        <v>1226</v>
      </c>
      <c r="O2271"/>
      <c r="S2271" t="s">
        <v>1092</v>
      </c>
      <c r="W2271" t="str">
        <f t="shared" si="36"/>
        <v>_</v>
      </c>
      <c r="X2271" s="2" t="s">
        <v>1615</v>
      </c>
    </row>
    <row r="2272" spans="1:24" hidden="1" x14ac:dyDescent="0.35">
      <c r="A2272">
        <v>41</v>
      </c>
      <c r="C2272" s="1">
        <v>44817</v>
      </c>
      <c r="D2272" t="s">
        <v>1504</v>
      </c>
      <c r="S2272" s="3" t="s">
        <v>1061</v>
      </c>
      <c r="T2272" s="6" t="s">
        <v>942</v>
      </c>
      <c r="U2272" s="6" t="s">
        <v>950</v>
      </c>
      <c r="V2272" s="2" t="s">
        <v>954</v>
      </c>
      <c r="W2272" t="str">
        <f t="shared" si="36"/>
        <v>_20229</v>
      </c>
      <c r="X2272" s="2" t="s">
        <v>1615</v>
      </c>
    </row>
    <row r="2273" spans="1:24" hidden="1" x14ac:dyDescent="0.35">
      <c r="A2273">
        <v>42</v>
      </c>
      <c r="C2273" s="1">
        <v>45064</v>
      </c>
      <c r="D2273" t="s">
        <v>1137</v>
      </c>
      <c r="G2273" t="s">
        <v>20</v>
      </c>
      <c r="H2273" t="s">
        <v>1227</v>
      </c>
      <c r="O2273"/>
      <c r="S2273" t="s">
        <v>1092</v>
      </c>
      <c r="W2273" t="str">
        <f t="shared" si="36"/>
        <v>_</v>
      </c>
      <c r="X2273" s="2" t="s">
        <v>1615</v>
      </c>
    </row>
    <row r="2274" spans="1:24" hidden="1" x14ac:dyDescent="0.35">
      <c r="A2274">
        <v>42</v>
      </c>
      <c r="C2274" s="1">
        <v>44817</v>
      </c>
      <c r="D2274" t="s">
        <v>1505</v>
      </c>
      <c r="S2274" s="3" t="s">
        <v>1061</v>
      </c>
      <c r="T2274" s="6" t="s">
        <v>942</v>
      </c>
      <c r="U2274" s="6" t="s">
        <v>950</v>
      </c>
      <c r="V2274" s="2" t="s">
        <v>954</v>
      </c>
      <c r="W2274" t="str">
        <f t="shared" si="36"/>
        <v>_20229</v>
      </c>
      <c r="X2274" s="2" t="s">
        <v>1615</v>
      </c>
    </row>
    <row r="2275" spans="1:24" hidden="1" x14ac:dyDescent="0.35">
      <c r="A2275">
        <v>43</v>
      </c>
      <c r="C2275" s="1">
        <v>45069</v>
      </c>
      <c r="D2275" t="s">
        <v>1138</v>
      </c>
      <c r="G2275" t="s">
        <v>538</v>
      </c>
      <c r="H2275" t="s">
        <v>1228</v>
      </c>
      <c r="O2275"/>
      <c r="S2275" t="s">
        <v>1092</v>
      </c>
      <c r="W2275" t="str">
        <f t="shared" si="36"/>
        <v>_</v>
      </c>
      <c r="X2275" s="2" t="s">
        <v>1615</v>
      </c>
    </row>
    <row r="2276" spans="1:24" hidden="1" x14ac:dyDescent="0.35">
      <c r="A2276">
        <v>43</v>
      </c>
      <c r="C2276" s="1">
        <v>44817</v>
      </c>
      <c r="D2276" t="s">
        <v>1506</v>
      </c>
      <c r="S2276" s="3" t="s">
        <v>1061</v>
      </c>
      <c r="T2276" s="6" t="s">
        <v>942</v>
      </c>
      <c r="U2276" s="6" t="s">
        <v>950</v>
      </c>
      <c r="V2276" s="2" t="s">
        <v>954</v>
      </c>
      <c r="W2276" t="str">
        <f t="shared" si="36"/>
        <v>_20229</v>
      </c>
      <c r="X2276" s="2" t="s">
        <v>1615</v>
      </c>
    </row>
    <row r="2277" spans="1:24" hidden="1" x14ac:dyDescent="0.35">
      <c r="A2277">
        <v>44</v>
      </c>
      <c r="C2277" s="1">
        <v>45076</v>
      </c>
      <c r="D2277" t="s">
        <v>1101</v>
      </c>
      <c r="G2277" t="s">
        <v>20</v>
      </c>
      <c r="H2277" t="s">
        <v>1229</v>
      </c>
      <c r="S2277" t="s">
        <v>1092</v>
      </c>
      <c r="W2277" t="str">
        <f t="shared" si="36"/>
        <v>_</v>
      </c>
      <c r="X2277" s="2" t="s">
        <v>1615</v>
      </c>
    </row>
    <row r="2278" spans="1:24" hidden="1" x14ac:dyDescent="0.35">
      <c r="A2278">
        <v>44</v>
      </c>
      <c r="C2278" s="1">
        <v>44817</v>
      </c>
      <c r="D2278" t="s">
        <v>1507</v>
      </c>
      <c r="S2278" s="3" t="s">
        <v>1061</v>
      </c>
      <c r="T2278" s="6" t="s">
        <v>942</v>
      </c>
      <c r="U2278" s="6" t="s">
        <v>950</v>
      </c>
      <c r="V2278" s="2" t="s">
        <v>954</v>
      </c>
      <c r="W2278" t="str">
        <f t="shared" si="36"/>
        <v>_20229</v>
      </c>
      <c r="X2278" s="2" t="s">
        <v>1615</v>
      </c>
    </row>
    <row r="2279" spans="1:24" hidden="1" x14ac:dyDescent="0.35">
      <c r="A2279">
        <v>45</v>
      </c>
      <c r="C2279" s="1">
        <v>45078</v>
      </c>
      <c r="D2279" t="s">
        <v>1139</v>
      </c>
      <c r="G2279" t="s">
        <v>116</v>
      </c>
      <c r="H2279" t="s">
        <v>1230</v>
      </c>
      <c r="S2279" t="s">
        <v>1092</v>
      </c>
      <c r="W2279" t="str">
        <f t="shared" si="36"/>
        <v>_</v>
      </c>
      <c r="X2279" s="2" t="s">
        <v>1615</v>
      </c>
    </row>
    <row r="2280" spans="1:24" hidden="1" x14ac:dyDescent="0.35">
      <c r="A2280">
        <v>45</v>
      </c>
      <c r="C2280" s="1">
        <v>44812</v>
      </c>
      <c r="D2280" t="s">
        <v>1508</v>
      </c>
      <c r="S2280" s="3" t="s">
        <v>1061</v>
      </c>
      <c r="T2280" s="6" t="s">
        <v>942</v>
      </c>
      <c r="U2280" s="6" t="s">
        <v>940</v>
      </c>
      <c r="V2280" s="2" t="s">
        <v>954</v>
      </c>
      <c r="W2280" t="str">
        <f t="shared" si="36"/>
        <v>_20229</v>
      </c>
      <c r="X2280" s="2" t="s">
        <v>1615</v>
      </c>
    </row>
    <row r="2281" spans="1:24" hidden="1" x14ac:dyDescent="0.35">
      <c r="A2281">
        <v>46</v>
      </c>
      <c r="C2281" s="1">
        <v>45078</v>
      </c>
      <c r="D2281" t="s">
        <v>1140</v>
      </c>
      <c r="G2281" t="s">
        <v>20</v>
      </c>
      <c r="H2281" t="s">
        <v>1231</v>
      </c>
      <c r="S2281" t="s">
        <v>1092</v>
      </c>
      <c r="W2281" t="str">
        <f t="shared" si="36"/>
        <v>_</v>
      </c>
      <c r="X2281" s="2" t="s">
        <v>1615</v>
      </c>
    </row>
    <row r="2282" spans="1:24" hidden="1" x14ac:dyDescent="0.35">
      <c r="A2282">
        <v>46</v>
      </c>
      <c r="C2282" s="1">
        <v>44818</v>
      </c>
      <c r="D2282" t="s">
        <v>1509</v>
      </c>
      <c r="S2282" s="3" t="s">
        <v>1061</v>
      </c>
      <c r="T2282" s="6" t="s">
        <v>942</v>
      </c>
      <c r="U2282" s="6" t="s">
        <v>951</v>
      </c>
      <c r="V2282" s="2" t="s">
        <v>954</v>
      </c>
      <c r="W2282" t="str">
        <f t="shared" si="36"/>
        <v>_20229</v>
      </c>
      <c r="X2282" s="2" t="s">
        <v>1615</v>
      </c>
    </row>
    <row r="2283" spans="1:24" hidden="1" x14ac:dyDescent="0.35">
      <c r="A2283">
        <v>47</v>
      </c>
      <c r="C2283" s="1">
        <v>45082</v>
      </c>
      <c r="D2283" t="s">
        <v>1141</v>
      </c>
      <c r="G2283" t="s">
        <v>116</v>
      </c>
      <c r="H2283" t="s">
        <v>1232</v>
      </c>
      <c r="S2283" t="s">
        <v>1092</v>
      </c>
      <c r="W2283" t="str">
        <f t="shared" si="36"/>
        <v>_</v>
      </c>
      <c r="X2283" s="2" t="s">
        <v>1615</v>
      </c>
    </row>
    <row r="2284" spans="1:24" hidden="1" x14ac:dyDescent="0.35">
      <c r="A2284">
        <v>47</v>
      </c>
      <c r="C2284" s="1">
        <v>44817</v>
      </c>
      <c r="D2284" t="s">
        <v>557</v>
      </c>
      <c r="S2284" s="3" t="s">
        <v>1061</v>
      </c>
      <c r="T2284" s="6" t="s">
        <v>942</v>
      </c>
      <c r="U2284" s="6" t="s">
        <v>950</v>
      </c>
      <c r="V2284" s="2" t="s">
        <v>954</v>
      </c>
      <c r="W2284" t="str">
        <f t="shared" si="36"/>
        <v>_20229</v>
      </c>
      <c r="X2284" s="2" t="s">
        <v>1615</v>
      </c>
    </row>
    <row r="2285" spans="1:24" hidden="1" x14ac:dyDescent="0.35">
      <c r="A2285">
        <v>48</v>
      </c>
      <c r="C2285" s="1">
        <v>45082</v>
      </c>
      <c r="D2285" t="s">
        <v>1142</v>
      </c>
      <c r="G2285" t="s">
        <v>20</v>
      </c>
      <c r="H2285" t="s">
        <v>1233</v>
      </c>
      <c r="S2285" t="s">
        <v>1092</v>
      </c>
      <c r="W2285" t="str">
        <f t="shared" si="36"/>
        <v>_</v>
      </c>
      <c r="X2285" s="2" t="s">
        <v>1615</v>
      </c>
    </row>
    <row r="2286" spans="1:24" hidden="1" x14ac:dyDescent="0.35">
      <c r="A2286">
        <v>48</v>
      </c>
      <c r="C2286" s="1">
        <v>44875</v>
      </c>
      <c r="D2286" t="s">
        <v>1363</v>
      </c>
      <c r="S2286" s="3" t="s">
        <v>1061</v>
      </c>
      <c r="T2286" s="6" t="s">
        <v>945</v>
      </c>
      <c r="U2286" s="6" t="s">
        <v>948</v>
      </c>
      <c r="V2286" s="2" t="s">
        <v>954</v>
      </c>
      <c r="W2286" t="str">
        <f t="shared" si="36"/>
        <v>_202211</v>
      </c>
      <c r="X2286" s="2" t="s">
        <v>1615</v>
      </c>
    </row>
    <row r="2287" spans="1:24" hidden="1" x14ac:dyDescent="0.35">
      <c r="A2287">
        <v>49</v>
      </c>
      <c r="C2287" s="1">
        <v>45083</v>
      </c>
      <c r="D2287" t="s">
        <v>1143</v>
      </c>
      <c r="G2287" t="s">
        <v>116</v>
      </c>
      <c r="H2287" t="s">
        <v>1234</v>
      </c>
      <c r="S2287" t="s">
        <v>1092</v>
      </c>
      <c r="W2287" t="str">
        <f t="shared" si="36"/>
        <v>_</v>
      </c>
      <c r="X2287" s="2" t="s">
        <v>1615</v>
      </c>
    </row>
    <row r="2288" spans="1:24" hidden="1" x14ac:dyDescent="0.35">
      <c r="A2288">
        <v>49</v>
      </c>
      <c r="C2288" s="1">
        <v>44816</v>
      </c>
      <c r="D2288" t="s">
        <v>1510</v>
      </c>
      <c r="S2288" s="3" t="s">
        <v>1061</v>
      </c>
      <c r="T2288" s="6" t="s">
        <v>942</v>
      </c>
      <c r="U2288" s="6" t="s">
        <v>949</v>
      </c>
      <c r="V2288" s="2" t="s">
        <v>954</v>
      </c>
      <c r="W2288" t="str">
        <f t="shared" si="36"/>
        <v>_20229</v>
      </c>
      <c r="X2288" s="2" t="s">
        <v>1615</v>
      </c>
    </row>
    <row r="2289" spans="1:24" hidden="1" x14ac:dyDescent="0.35">
      <c r="A2289">
        <v>50</v>
      </c>
      <c r="C2289" s="1">
        <v>45083</v>
      </c>
      <c r="D2289" t="s">
        <v>1144</v>
      </c>
      <c r="G2289" t="s">
        <v>20</v>
      </c>
      <c r="H2289" t="s">
        <v>1235</v>
      </c>
      <c r="S2289" t="s">
        <v>1092</v>
      </c>
      <c r="W2289" t="str">
        <f t="shared" si="36"/>
        <v>_</v>
      </c>
      <c r="X2289" s="2" t="s">
        <v>1615</v>
      </c>
    </row>
    <row r="2290" spans="1:24" hidden="1" x14ac:dyDescent="0.35">
      <c r="A2290">
        <v>50</v>
      </c>
      <c r="C2290" s="1">
        <v>44818</v>
      </c>
      <c r="D2290" t="s">
        <v>1799</v>
      </c>
      <c r="S2290" s="3" t="s">
        <v>1061</v>
      </c>
      <c r="T2290" s="6" t="s">
        <v>942</v>
      </c>
      <c r="U2290" s="6" t="s">
        <v>951</v>
      </c>
      <c r="V2290" s="2" t="s">
        <v>954</v>
      </c>
      <c r="W2290" t="str">
        <f t="shared" si="36"/>
        <v>_20229</v>
      </c>
      <c r="X2290" s="2" t="s">
        <v>1615</v>
      </c>
    </row>
    <row r="2291" spans="1:24" hidden="1" x14ac:dyDescent="0.35">
      <c r="A2291">
        <v>51</v>
      </c>
      <c r="C2291" s="1">
        <v>45090</v>
      </c>
      <c r="D2291" t="s">
        <v>1145</v>
      </c>
      <c r="G2291" t="s">
        <v>20</v>
      </c>
      <c r="H2291" t="s">
        <v>1236</v>
      </c>
      <c r="S2291" t="s">
        <v>1092</v>
      </c>
      <c r="W2291" t="str">
        <f t="shared" si="36"/>
        <v>_</v>
      </c>
      <c r="X2291" s="2" t="s">
        <v>1615</v>
      </c>
    </row>
    <row r="2292" spans="1:24" hidden="1" x14ac:dyDescent="0.35">
      <c r="A2292">
        <v>51</v>
      </c>
      <c r="C2292" s="1">
        <v>44818</v>
      </c>
      <c r="D2292" t="s">
        <v>1511</v>
      </c>
      <c r="S2292" s="3" t="s">
        <v>1061</v>
      </c>
      <c r="T2292" s="6" t="s">
        <v>942</v>
      </c>
      <c r="U2292" s="6" t="s">
        <v>951</v>
      </c>
      <c r="V2292" s="2" t="s">
        <v>954</v>
      </c>
      <c r="W2292" t="str">
        <f t="shared" si="36"/>
        <v>_20229</v>
      </c>
      <c r="X2292" s="2" t="s">
        <v>1615</v>
      </c>
    </row>
    <row r="2293" spans="1:24" hidden="1" x14ac:dyDescent="0.35">
      <c r="A2293">
        <v>52</v>
      </c>
      <c r="C2293" s="1">
        <v>45098</v>
      </c>
      <c r="D2293" t="s">
        <v>1146</v>
      </c>
      <c r="G2293" t="s">
        <v>20</v>
      </c>
      <c r="H2293" t="s">
        <v>1237</v>
      </c>
      <c r="S2293" t="s">
        <v>1092</v>
      </c>
      <c r="W2293" t="str">
        <f t="shared" si="36"/>
        <v>_</v>
      </c>
      <c r="X2293" s="2" t="s">
        <v>1615</v>
      </c>
    </row>
    <row r="2294" spans="1:24" hidden="1" x14ac:dyDescent="0.35">
      <c r="A2294">
        <v>52</v>
      </c>
      <c r="C2294" s="1">
        <v>44818</v>
      </c>
      <c r="D2294" t="s">
        <v>1512</v>
      </c>
      <c r="S2294" s="3" t="s">
        <v>1061</v>
      </c>
      <c r="T2294" s="6" t="s">
        <v>942</v>
      </c>
      <c r="U2294" s="6" t="s">
        <v>951</v>
      </c>
      <c r="V2294" s="2" t="s">
        <v>954</v>
      </c>
      <c r="W2294" t="str">
        <f t="shared" si="36"/>
        <v>_20229</v>
      </c>
      <c r="X2294" s="2" t="s">
        <v>1615</v>
      </c>
    </row>
    <row r="2295" spans="1:24" hidden="1" x14ac:dyDescent="0.35">
      <c r="A2295">
        <v>53</v>
      </c>
      <c r="C2295" s="1">
        <v>45099</v>
      </c>
      <c r="D2295" t="s">
        <v>1147</v>
      </c>
      <c r="G2295" t="s">
        <v>116</v>
      </c>
      <c r="H2295" t="s">
        <v>1238</v>
      </c>
      <c r="S2295" t="s">
        <v>1092</v>
      </c>
      <c r="W2295" t="str">
        <f t="shared" si="36"/>
        <v>_</v>
      </c>
      <c r="X2295" s="2" t="s">
        <v>1615</v>
      </c>
    </row>
    <row r="2296" spans="1:24" hidden="1" x14ac:dyDescent="0.35">
      <c r="A2296">
        <v>53</v>
      </c>
      <c r="C2296" s="1">
        <v>44818</v>
      </c>
      <c r="D2296" t="s">
        <v>1513</v>
      </c>
      <c r="S2296" s="3" t="s">
        <v>1061</v>
      </c>
      <c r="T2296" s="6" t="s">
        <v>942</v>
      </c>
      <c r="U2296" s="6" t="s">
        <v>951</v>
      </c>
      <c r="V2296" s="2" t="s">
        <v>954</v>
      </c>
      <c r="W2296" t="str">
        <f t="shared" si="36"/>
        <v>_20229</v>
      </c>
      <c r="X2296" s="2" t="s">
        <v>1615</v>
      </c>
    </row>
    <row r="2297" spans="1:24" hidden="1" x14ac:dyDescent="0.35">
      <c r="A2297">
        <v>54</v>
      </c>
      <c r="C2297" s="1">
        <v>45106</v>
      </c>
      <c r="D2297" t="s">
        <v>1148</v>
      </c>
      <c r="G2297" t="s">
        <v>1043</v>
      </c>
      <c r="H2297" t="s">
        <v>1239</v>
      </c>
      <c r="S2297" t="s">
        <v>1092</v>
      </c>
      <c r="W2297" t="str">
        <f t="shared" si="36"/>
        <v>_</v>
      </c>
      <c r="X2297" s="2" t="s">
        <v>1615</v>
      </c>
    </row>
    <row r="2298" spans="1:24" hidden="1" x14ac:dyDescent="0.35">
      <c r="A2298">
        <v>54</v>
      </c>
      <c r="C2298" s="1">
        <v>44817</v>
      </c>
      <c r="D2298" t="s">
        <v>1514</v>
      </c>
      <c r="S2298" s="3" t="s">
        <v>1061</v>
      </c>
      <c r="T2298" s="6" t="s">
        <v>942</v>
      </c>
      <c r="U2298" s="6" t="s">
        <v>950</v>
      </c>
      <c r="V2298" s="2" t="s">
        <v>954</v>
      </c>
      <c r="W2298" t="str">
        <f t="shared" si="36"/>
        <v>_20229</v>
      </c>
      <c r="X2298" s="2" t="s">
        <v>1615</v>
      </c>
    </row>
    <row r="2299" spans="1:24" hidden="1" x14ac:dyDescent="0.35">
      <c r="A2299">
        <v>55</v>
      </c>
      <c r="C2299" s="1">
        <v>45108</v>
      </c>
      <c r="D2299" t="s">
        <v>1149</v>
      </c>
      <c r="G2299" t="s">
        <v>20</v>
      </c>
      <c r="H2299" t="s">
        <v>1240</v>
      </c>
      <c r="S2299" t="s">
        <v>1092</v>
      </c>
      <c r="W2299" t="str">
        <f t="shared" si="36"/>
        <v>_</v>
      </c>
      <c r="X2299" s="2" t="s">
        <v>1615</v>
      </c>
    </row>
    <row r="2300" spans="1:24" hidden="1" x14ac:dyDescent="0.35">
      <c r="A2300">
        <v>55</v>
      </c>
      <c r="C2300" s="1">
        <v>44817</v>
      </c>
      <c r="D2300" t="s">
        <v>1515</v>
      </c>
      <c r="S2300" s="3" t="s">
        <v>1061</v>
      </c>
      <c r="T2300" s="6" t="s">
        <v>942</v>
      </c>
      <c r="U2300" s="6" t="s">
        <v>950</v>
      </c>
      <c r="V2300" s="2" t="s">
        <v>954</v>
      </c>
      <c r="W2300" t="str">
        <f t="shared" si="36"/>
        <v>_20229</v>
      </c>
      <c r="X2300" s="2" t="s">
        <v>1615</v>
      </c>
    </row>
    <row r="2301" spans="1:24" hidden="1" x14ac:dyDescent="0.35">
      <c r="A2301">
        <v>56</v>
      </c>
      <c r="C2301" s="1">
        <v>45112</v>
      </c>
      <c r="D2301" t="s">
        <v>1150</v>
      </c>
      <c r="G2301" t="s">
        <v>20</v>
      </c>
      <c r="H2301" t="s">
        <v>1241</v>
      </c>
      <c r="S2301" t="s">
        <v>1092</v>
      </c>
      <c r="W2301" t="str">
        <f t="shared" si="36"/>
        <v>_</v>
      </c>
      <c r="X2301" s="2" t="s">
        <v>1615</v>
      </c>
    </row>
    <row r="2302" spans="1:24" hidden="1" x14ac:dyDescent="0.35">
      <c r="A2302">
        <v>56</v>
      </c>
      <c r="C2302" s="1">
        <v>44819</v>
      </c>
      <c r="D2302" t="s">
        <v>1516</v>
      </c>
      <c r="S2302" s="3" t="s">
        <v>1061</v>
      </c>
      <c r="T2302" s="6" t="s">
        <v>942</v>
      </c>
      <c r="U2302" s="6" t="s">
        <v>943</v>
      </c>
      <c r="V2302" s="2" t="s">
        <v>954</v>
      </c>
      <c r="W2302" t="str">
        <f t="shared" si="36"/>
        <v>_20229</v>
      </c>
      <c r="X2302" s="2" t="s">
        <v>1615</v>
      </c>
    </row>
    <row r="2303" spans="1:24" hidden="1" x14ac:dyDescent="0.35">
      <c r="A2303">
        <v>57</v>
      </c>
      <c r="C2303" s="1">
        <v>45118</v>
      </c>
      <c r="D2303" t="s">
        <v>1151</v>
      </c>
      <c r="G2303" t="s">
        <v>20</v>
      </c>
      <c r="H2303" t="s">
        <v>1242</v>
      </c>
      <c r="S2303" t="s">
        <v>1092</v>
      </c>
      <c r="W2303" t="str">
        <f t="shared" si="36"/>
        <v>_</v>
      </c>
      <c r="X2303" s="2" t="s">
        <v>1615</v>
      </c>
    </row>
    <row r="2304" spans="1:24" hidden="1" x14ac:dyDescent="0.35">
      <c r="A2304">
        <v>57</v>
      </c>
      <c r="C2304" s="1">
        <v>44817</v>
      </c>
      <c r="D2304" t="s">
        <v>1517</v>
      </c>
      <c r="S2304" s="3" t="s">
        <v>1061</v>
      </c>
      <c r="T2304" s="6" t="s">
        <v>942</v>
      </c>
      <c r="U2304" s="6" t="s">
        <v>950</v>
      </c>
      <c r="V2304" s="2" t="s">
        <v>954</v>
      </c>
      <c r="W2304" t="str">
        <f t="shared" si="36"/>
        <v>_20229</v>
      </c>
      <c r="X2304" s="2" t="s">
        <v>1615</v>
      </c>
    </row>
    <row r="2305" spans="1:24" hidden="1" x14ac:dyDescent="0.35">
      <c r="A2305">
        <v>58</v>
      </c>
      <c r="C2305" s="1">
        <v>45125</v>
      </c>
      <c r="D2305" t="s">
        <v>1152</v>
      </c>
      <c r="G2305" t="s">
        <v>20</v>
      </c>
      <c r="H2305" t="s">
        <v>1243</v>
      </c>
      <c r="S2305" t="s">
        <v>1092</v>
      </c>
      <c r="W2305" t="str">
        <f t="shared" ref="W2305:W2368" si="37">CONCATENATE(B2305,"_",V2305,T2305)</f>
        <v>_</v>
      </c>
      <c r="X2305" s="2" t="s">
        <v>1615</v>
      </c>
    </row>
    <row r="2306" spans="1:24" hidden="1" x14ac:dyDescent="0.35">
      <c r="A2306">
        <v>58</v>
      </c>
      <c r="C2306" s="1">
        <v>44818</v>
      </c>
      <c r="D2306" t="s">
        <v>1518</v>
      </c>
      <c r="S2306" s="3" t="s">
        <v>1061</v>
      </c>
      <c r="T2306" s="6" t="s">
        <v>942</v>
      </c>
      <c r="U2306" s="6" t="s">
        <v>951</v>
      </c>
      <c r="V2306" s="2" t="s">
        <v>954</v>
      </c>
      <c r="W2306" t="str">
        <f t="shared" si="37"/>
        <v>_20229</v>
      </c>
      <c r="X2306" s="2" t="s">
        <v>1615</v>
      </c>
    </row>
    <row r="2307" spans="1:24" hidden="1" x14ac:dyDescent="0.35">
      <c r="A2307">
        <v>59</v>
      </c>
      <c r="C2307" s="1">
        <v>45127</v>
      </c>
      <c r="D2307" t="s">
        <v>1153</v>
      </c>
      <c r="G2307" t="s">
        <v>20</v>
      </c>
      <c r="H2307" t="s">
        <v>1244</v>
      </c>
      <c r="S2307" t="s">
        <v>1092</v>
      </c>
      <c r="W2307" t="str">
        <f t="shared" si="37"/>
        <v>_</v>
      </c>
      <c r="X2307" s="2" t="s">
        <v>1615</v>
      </c>
    </row>
    <row r="2308" spans="1:24" hidden="1" x14ac:dyDescent="0.35">
      <c r="A2308">
        <v>59</v>
      </c>
      <c r="C2308" s="1">
        <v>44819</v>
      </c>
      <c r="D2308" t="s">
        <v>1519</v>
      </c>
      <c r="S2308" s="3" t="s">
        <v>1061</v>
      </c>
      <c r="T2308" s="6" t="s">
        <v>942</v>
      </c>
      <c r="U2308" s="6" t="s">
        <v>943</v>
      </c>
      <c r="V2308" s="2" t="s">
        <v>954</v>
      </c>
      <c r="W2308" t="str">
        <f t="shared" si="37"/>
        <v>_20229</v>
      </c>
      <c r="X2308" s="2" t="s">
        <v>1615</v>
      </c>
    </row>
    <row r="2309" spans="1:24" hidden="1" x14ac:dyDescent="0.35">
      <c r="A2309">
        <v>60</v>
      </c>
      <c r="C2309" s="1">
        <v>45132</v>
      </c>
      <c r="D2309" t="s">
        <v>1154</v>
      </c>
      <c r="G2309" t="s">
        <v>20</v>
      </c>
      <c r="H2309" t="s">
        <v>1245</v>
      </c>
      <c r="S2309" t="s">
        <v>1092</v>
      </c>
      <c r="W2309" t="str">
        <f t="shared" si="37"/>
        <v>_</v>
      </c>
      <c r="X2309" s="2" t="s">
        <v>1615</v>
      </c>
    </row>
    <row r="2310" spans="1:24" hidden="1" x14ac:dyDescent="0.35">
      <c r="A2310">
        <v>60</v>
      </c>
      <c r="C2310" s="1">
        <v>44812</v>
      </c>
      <c r="D2310" t="s">
        <v>1520</v>
      </c>
      <c r="S2310" s="3" t="s">
        <v>1061</v>
      </c>
      <c r="T2310" s="6" t="s">
        <v>942</v>
      </c>
      <c r="U2310" s="6" t="s">
        <v>940</v>
      </c>
      <c r="V2310" s="2" t="s">
        <v>954</v>
      </c>
      <c r="W2310" t="str">
        <f t="shared" si="37"/>
        <v>_20229</v>
      </c>
      <c r="X2310" s="2" t="s">
        <v>1615</v>
      </c>
    </row>
    <row r="2311" spans="1:24" hidden="1" x14ac:dyDescent="0.35">
      <c r="A2311">
        <v>61</v>
      </c>
      <c r="C2311" s="1">
        <v>45134</v>
      </c>
      <c r="D2311" t="s">
        <v>1155</v>
      </c>
      <c r="G2311" t="s">
        <v>20</v>
      </c>
      <c r="H2311" t="s">
        <v>1246</v>
      </c>
      <c r="S2311" t="s">
        <v>1092</v>
      </c>
      <c r="W2311" t="str">
        <f t="shared" si="37"/>
        <v>_</v>
      </c>
      <c r="X2311" s="2" t="s">
        <v>1615</v>
      </c>
    </row>
    <row r="2312" spans="1:24" hidden="1" x14ac:dyDescent="0.35">
      <c r="A2312">
        <v>61</v>
      </c>
      <c r="C2312" s="1">
        <v>44812</v>
      </c>
      <c r="D2312" t="s">
        <v>1521</v>
      </c>
      <c r="S2312" s="3" t="s">
        <v>1061</v>
      </c>
      <c r="T2312" s="6" t="s">
        <v>942</v>
      </c>
      <c r="U2312" s="6" t="s">
        <v>940</v>
      </c>
      <c r="V2312" s="2" t="s">
        <v>954</v>
      </c>
      <c r="W2312" t="str">
        <f t="shared" si="37"/>
        <v>_20229</v>
      </c>
      <c r="X2312" s="2" t="s">
        <v>1615</v>
      </c>
    </row>
    <row r="2313" spans="1:24" hidden="1" x14ac:dyDescent="0.35">
      <c r="A2313">
        <v>62</v>
      </c>
      <c r="C2313" s="1">
        <v>45141</v>
      </c>
      <c r="D2313" t="s">
        <v>1156</v>
      </c>
      <c r="G2313" t="s">
        <v>20</v>
      </c>
      <c r="H2313" t="s">
        <v>1247</v>
      </c>
      <c r="S2313" t="s">
        <v>1092</v>
      </c>
      <c r="W2313" t="str">
        <f t="shared" si="37"/>
        <v>_</v>
      </c>
      <c r="X2313" s="2" t="s">
        <v>1615</v>
      </c>
    </row>
    <row r="2314" spans="1:24" hidden="1" x14ac:dyDescent="0.35">
      <c r="A2314">
        <v>62</v>
      </c>
      <c r="C2314" s="1">
        <v>44812</v>
      </c>
      <c r="D2314" t="s">
        <v>1522</v>
      </c>
      <c r="S2314" s="3" t="s">
        <v>1061</v>
      </c>
      <c r="T2314" s="6" t="s">
        <v>942</v>
      </c>
      <c r="U2314" s="6" t="s">
        <v>940</v>
      </c>
      <c r="V2314" s="2" t="s">
        <v>954</v>
      </c>
      <c r="W2314" t="str">
        <f t="shared" si="37"/>
        <v>_20229</v>
      </c>
      <c r="X2314" s="2" t="s">
        <v>1615</v>
      </c>
    </row>
    <row r="2315" spans="1:24" hidden="1" x14ac:dyDescent="0.35">
      <c r="A2315">
        <v>63</v>
      </c>
      <c r="C2315" s="1">
        <v>45146</v>
      </c>
      <c r="D2315" t="s">
        <v>1157</v>
      </c>
      <c r="G2315" t="s">
        <v>20</v>
      </c>
      <c r="H2315" t="s">
        <v>1248</v>
      </c>
      <c r="S2315" t="s">
        <v>1092</v>
      </c>
      <c r="W2315" t="str">
        <f t="shared" si="37"/>
        <v>_</v>
      </c>
      <c r="X2315" s="2" t="s">
        <v>1615</v>
      </c>
    </row>
    <row r="2316" spans="1:24" hidden="1" x14ac:dyDescent="0.35">
      <c r="A2316">
        <v>63</v>
      </c>
      <c r="C2316" s="1">
        <v>44813</v>
      </c>
      <c r="D2316" t="s">
        <v>1523</v>
      </c>
      <c r="S2316" s="3" t="s">
        <v>1061</v>
      </c>
      <c r="T2316" s="6" t="s">
        <v>942</v>
      </c>
      <c r="U2316" s="6" t="s">
        <v>942</v>
      </c>
      <c r="V2316" s="2" t="s">
        <v>954</v>
      </c>
      <c r="W2316" t="str">
        <f t="shared" si="37"/>
        <v>_20229</v>
      </c>
      <c r="X2316" s="2" t="s">
        <v>1615</v>
      </c>
    </row>
    <row r="2317" spans="1:24" hidden="1" x14ac:dyDescent="0.35">
      <c r="A2317">
        <v>64</v>
      </c>
      <c r="C2317" s="1">
        <v>45146</v>
      </c>
      <c r="D2317" t="s">
        <v>1158</v>
      </c>
      <c r="G2317" t="s">
        <v>82</v>
      </c>
      <c r="H2317" t="s">
        <v>1249</v>
      </c>
      <c r="S2317" t="s">
        <v>1092</v>
      </c>
      <c r="W2317" t="str">
        <f t="shared" si="37"/>
        <v>_</v>
      </c>
      <c r="X2317" s="2" t="s">
        <v>1615</v>
      </c>
    </row>
    <row r="2318" spans="1:24" hidden="1" x14ac:dyDescent="0.35">
      <c r="A2318">
        <v>64</v>
      </c>
      <c r="C2318" s="1">
        <v>44813</v>
      </c>
      <c r="D2318" t="s">
        <v>1524</v>
      </c>
      <c r="S2318" s="3" t="s">
        <v>1061</v>
      </c>
      <c r="T2318" s="6" t="s">
        <v>942</v>
      </c>
      <c r="U2318" s="6" t="s">
        <v>942</v>
      </c>
      <c r="V2318" s="2" t="s">
        <v>954</v>
      </c>
      <c r="W2318" t="str">
        <f t="shared" si="37"/>
        <v>_20229</v>
      </c>
      <c r="X2318" s="2" t="s">
        <v>1615</v>
      </c>
    </row>
    <row r="2319" spans="1:24" hidden="1" x14ac:dyDescent="0.35">
      <c r="A2319">
        <v>65</v>
      </c>
      <c r="C2319" s="1">
        <v>45152</v>
      </c>
      <c r="D2319" t="s">
        <v>1159</v>
      </c>
      <c r="G2319" t="s">
        <v>20</v>
      </c>
      <c r="H2319" t="s">
        <v>1250</v>
      </c>
      <c r="S2319" t="s">
        <v>1092</v>
      </c>
      <c r="W2319" t="str">
        <f t="shared" si="37"/>
        <v>_</v>
      </c>
      <c r="X2319" s="2" t="s">
        <v>1615</v>
      </c>
    </row>
    <row r="2320" spans="1:24" hidden="1" x14ac:dyDescent="0.35">
      <c r="A2320">
        <v>65</v>
      </c>
      <c r="C2320" s="1">
        <v>44813</v>
      </c>
      <c r="D2320" t="s">
        <v>1525</v>
      </c>
      <c r="S2320" s="3" t="s">
        <v>1061</v>
      </c>
      <c r="T2320" s="6" t="s">
        <v>942</v>
      </c>
      <c r="U2320" s="6" t="s">
        <v>942</v>
      </c>
      <c r="V2320" s="2" t="s">
        <v>954</v>
      </c>
      <c r="W2320" t="str">
        <f t="shared" si="37"/>
        <v>_20229</v>
      </c>
      <c r="X2320" s="2" t="s">
        <v>1615</v>
      </c>
    </row>
    <row r="2321" spans="1:24" hidden="1" x14ac:dyDescent="0.35">
      <c r="A2321">
        <v>66</v>
      </c>
      <c r="C2321" s="1">
        <v>45152</v>
      </c>
      <c r="D2321" t="s">
        <v>1160</v>
      </c>
      <c r="G2321" t="s">
        <v>116</v>
      </c>
      <c r="H2321" t="s">
        <v>1251</v>
      </c>
      <c r="S2321" t="s">
        <v>1092</v>
      </c>
      <c r="W2321" t="str">
        <f t="shared" si="37"/>
        <v>_</v>
      </c>
      <c r="X2321" s="2" t="s">
        <v>1615</v>
      </c>
    </row>
    <row r="2322" spans="1:24" hidden="1" x14ac:dyDescent="0.35">
      <c r="A2322">
        <v>66</v>
      </c>
      <c r="C2322" s="1">
        <v>44813</v>
      </c>
      <c r="D2322" t="s">
        <v>1781</v>
      </c>
      <c r="S2322" s="3" t="s">
        <v>1061</v>
      </c>
      <c r="T2322" s="6" t="s">
        <v>942</v>
      </c>
      <c r="U2322" s="6" t="s">
        <v>942</v>
      </c>
      <c r="V2322" s="2" t="s">
        <v>954</v>
      </c>
      <c r="W2322" t="str">
        <f t="shared" si="37"/>
        <v>_20229</v>
      </c>
      <c r="X2322" s="2" t="s">
        <v>1615</v>
      </c>
    </row>
    <row r="2323" spans="1:24" hidden="1" x14ac:dyDescent="0.35">
      <c r="A2323">
        <v>67</v>
      </c>
      <c r="C2323" s="1">
        <v>45153</v>
      </c>
      <c r="D2323" t="s">
        <v>1161</v>
      </c>
      <c r="G2323" t="s">
        <v>20</v>
      </c>
      <c r="H2323" t="s">
        <v>1252</v>
      </c>
      <c r="S2323" t="s">
        <v>1092</v>
      </c>
      <c r="W2323" t="str">
        <f t="shared" si="37"/>
        <v>_</v>
      </c>
      <c r="X2323" s="2" t="s">
        <v>1615</v>
      </c>
    </row>
    <row r="2324" spans="1:24" hidden="1" x14ac:dyDescent="0.35">
      <c r="A2324">
        <v>67</v>
      </c>
      <c r="C2324" s="1">
        <v>44815</v>
      </c>
      <c r="D2324" t="s">
        <v>1526</v>
      </c>
      <c r="S2324" s="3" t="s">
        <v>1061</v>
      </c>
      <c r="T2324" s="6" t="s">
        <v>942</v>
      </c>
      <c r="U2324" s="6" t="s">
        <v>945</v>
      </c>
      <c r="V2324" s="2" t="s">
        <v>954</v>
      </c>
      <c r="W2324" t="str">
        <f t="shared" si="37"/>
        <v>_20229</v>
      </c>
      <c r="X2324" s="2" t="s">
        <v>1615</v>
      </c>
    </row>
    <row r="2325" spans="1:24" hidden="1" x14ac:dyDescent="0.35">
      <c r="A2325">
        <v>68</v>
      </c>
      <c r="C2325" s="1">
        <v>45154</v>
      </c>
      <c r="D2325" t="s">
        <v>1162</v>
      </c>
      <c r="G2325" t="s">
        <v>238</v>
      </c>
      <c r="H2325" t="s">
        <v>1253</v>
      </c>
      <c r="S2325" t="s">
        <v>1092</v>
      </c>
      <c r="W2325" t="str">
        <f t="shared" si="37"/>
        <v>_</v>
      </c>
      <c r="X2325" s="2" t="s">
        <v>1615</v>
      </c>
    </row>
    <row r="2326" spans="1:24" hidden="1" x14ac:dyDescent="0.35">
      <c r="A2326">
        <v>68</v>
      </c>
      <c r="C2326" s="1">
        <v>44815</v>
      </c>
      <c r="D2326" t="s">
        <v>3440</v>
      </c>
      <c r="S2326" s="3" t="s">
        <v>1061</v>
      </c>
      <c r="T2326" s="6" t="s">
        <v>942</v>
      </c>
      <c r="U2326" s="6" t="s">
        <v>945</v>
      </c>
      <c r="V2326" s="2" t="s">
        <v>954</v>
      </c>
      <c r="W2326" t="str">
        <f t="shared" si="37"/>
        <v>_20229</v>
      </c>
      <c r="X2326" s="2" t="s">
        <v>1615</v>
      </c>
    </row>
    <row r="2327" spans="1:24" hidden="1" x14ac:dyDescent="0.35">
      <c r="A2327">
        <v>69</v>
      </c>
      <c r="C2327" s="1">
        <v>45154</v>
      </c>
      <c r="D2327" t="s">
        <v>1163</v>
      </c>
      <c r="G2327" t="s">
        <v>20</v>
      </c>
      <c r="H2327" t="s">
        <v>1254</v>
      </c>
      <c r="S2327" t="s">
        <v>1092</v>
      </c>
      <c r="W2327" t="str">
        <f t="shared" si="37"/>
        <v>_</v>
      </c>
      <c r="X2327" s="2" t="s">
        <v>1615</v>
      </c>
    </row>
    <row r="2328" spans="1:24" hidden="1" x14ac:dyDescent="0.35">
      <c r="A2328">
        <v>69</v>
      </c>
      <c r="C2328" s="1">
        <v>44816</v>
      </c>
      <c r="D2328" t="s">
        <v>1527</v>
      </c>
      <c r="S2328" s="3" t="s">
        <v>1061</v>
      </c>
      <c r="T2328" s="6" t="s">
        <v>942</v>
      </c>
      <c r="U2328" s="6" t="s">
        <v>949</v>
      </c>
      <c r="V2328" s="2" t="s">
        <v>954</v>
      </c>
      <c r="W2328" t="str">
        <f t="shared" si="37"/>
        <v>_20229</v>
      </c>
      <c r="X2328" s="2" t="s">
        <v>1615</v>
      </c>
    </row>
    <row r="2329" spans="1:24" hidden="1" x14ac:dyDescent="0.35">
      <c r="A2329">
        <v>70</v>
      </c>
      <c r="C2329" s="1">
        <v>45155</v>
      </c>
      <c r="D2329" t="s">
        <v>1164</v>
      </c>
      <c r="G2329" t="s">
        <v>20</v>
      </c>
      <c r="H2329" t="s">
        <v>1255</v>
      </c>
      <c r="S2329" t="s">
        <v>1092</v>
      </c>
      <c r="W2329" t="str">
        <f t="shared" si="37"/>
        <v>_</v>
      </c>
      <c r="X2329" s="2" t="s">
        <v>1615</v>
      </c>
    </row>
    <row r="2330" spans="1:24" hidden="1" x14ac:dyDescent="0.35">
      <c r="A2330">
        <v>70</v>
      </c>
      <c r="C2330" s="1">
        <v>44816</v>
      </c>
      <c r="D2330" t="s">
        <v>1528</v>
      </c>
      <c r="S2330" s="3" t="s">
        <v>1061</v>
      </c>
      <c r="T2330" s="6" t="s">
        <v>942</v>
      </c>
      <c r="U2330" s="6" t="s">
        <v>949</v>
      </c>
      <c r="V2330" s="2" t="s">
        <v>954</v>
      </c>
      <c r="W2330" t="str">
        <f t="shared" si="37"/>
        <v>_20229</v>
      </c>
      <c r="X2330" s="2" t="s">
        <v>1615</v>
      </c>
    </row>
    <row r="2331" spans="1:24" hidden="1" x14ac:dyDescent="0.35">
      <c r="A2331">
        <v>71</v>
      </c>
      <c r="C2331" s="1">
        <v>45166</v>
      </c>
      <c r="D2331" t="s">
        <v>1165</v>
      </c>
      <c r="G2331" t="s">
        <v>168</v>
      </c>
      <c r="H2331" t="s">
        <v>1256</v>
      </c>
      <c r="S2331" t="s">
        <v>1092</v>
      </c>
      <c r="W2331" t="str">
        <f t="shared" si="37"/>
        <v>_</v>
      </c>
      <c r="X2331" s="2" t="s">
        <v>1615</v>
      </c>
    </row>
    <row r="2332" spans="1:24" hidden="1" x14ac:dyDescent="0.35">
      <c r="A2332">
        <v>71</v>
      </c>
      <c r="C2332" s="1">
        <v>44816</v>
      </c>
      <c r="D2332" t="s">
        <v>3941</v>
      </c>
      <c r="S2332" s="3" t="s">
        <v>1061</v>
      </c>
      <c r="T2332" s="6" t="s">
        <v>942</v>
      </c>
      <c r="U2332" s="6" t="s">
        <v>949</v>
      </c>
      <c r="V2332" s="2" t="s">
        <v>954</v>
      </c>
      <c r="W2332" t="str">
        <f t="shared" si="37"/>
        <v>_20229</v>
      </c>
      <c r="X2332" s="2" t="s">
        <v>1615</v>
      </c>
    </row>
    <row r="2333" spans="1:24" hidden="1" x14ac:dyDescent="0.35">
      <c r="A2333">
        <v>72</v>
      </c>
      <c r="C2333" s="1">
        <v>45175</v>
      </c>
      <c r="D2333" t="s">
        <v>3833</v>
      </c>
      <c r="G2333" t="s">
        <v>553</v>
      </c>
      <c r="H2333" t="s">
        <v>1257</v>
      </c>
      <c r="S2333" t="s">
        <v>1092</v>
      </c>
      <c r="W2333" t="str">
        <f t="shared" si="37"/>
        <v>_</v>
      </c>
      <c r="X2333" s="2" t="s">
        <v>1615</v>
      </c>
    </row>
    <row r="2334" spans="1:24" hidden="1" x14ac:dyDescent="0.35">
      <c r="A2334">
        <v>72</v>
      </c>
      <c r="C2334" s="1">
        <v>44817</v>
      </c>
      <c r="D2334" t="s">
        <v>1529</v>
      </c>
      <c r="S2334" s="3" t="s">
        <v>1061</v>
      </c>
      <c r="T2334" s="6" t="s">
        <v>942</v>
      </c>
      <c r="U2334" s="6" t="s">
        <v>950</v>
      </c>
      <c r="V2334" s="2" t="s">
        <v>954</v>
      </c>
      <c r="W2334" t="str">
        <f t="shared" si="37"/>
        <v>_20229</v>
      </c>
      <c r="X2334" s="2" t="s">
        <v>1615</v>
      </c>
    </row>
    <row r="2335" spans="1:24" hidden="1" x14ac:dyDescent="0.35">
      <c r="A2335">
        <v>73</v>
      </c>
      <c r="C2335" s="1">
        <v>45177</v>
      </c>
      <c r="D2335" t="s">
        <v>1166</v>
      </c>
      <c r="G2335" t="s">
        <v>20</v>
      </c>
      <c r="H2335" t="s">
        <v>1258</v>
      </c>
      <c r="S2335" t="s">
        <v>1092</v>
      </c>
      <c r="W2335" t="str">
        <f t="shared" si="37"/>
        <v>_</v>
      </c>
      <c r="X2335" s="2" t="s">
        <v>1615</v>
      </c>
    </row>
    <row r="2336" spans="1:24" hidden="1" x14ac:dyDescent="0.35">
      <c r="A2336">
        <v>73</v>
      </c>
      <c r="C2336" s="1">
        <v>44818</v>
      </c>
      <c r="D2336" t="s">
        <v>1530</v>
      </c>
      <c r="S2336" s="3" t="s">
        <v>1061</v>
      </c>
      <c r="T2336" s="6" t="s">
        <v>942</v>
      </c>
      <c r="U2336" s="6" t="s">
        <v>951</v>
      </c>
      <c r="V2336" s="2" t="s">
        <v>954</v>
      </c>
      <c r="W2336" t="str">
        <f t="shared" si="37"/>
        <v>_20229</v>
      </c>
      <c r="X2336" s="2" t="s">
        <v>1615</v>
      </c>
    </row>
    <row r="2337" spans="1:24" hidden="1" x14ac:dyDescent="0.35">
      <c r="A2337">
        <v>74</v>
      </c>
      <c r="C2337" s="1">
        <v>45183</v>
      </c>
      <c r="D2337" t="s">
        <v>1167</v>
      </c>
      <c r="G2337" t="s">
        <v>20</v>
      </c>
      <c r="H2337" t="s">
        <v>1259</v>
      </c>
      <c r="S2337" t="s">
        <v>1092</v>
      </c>
      <c r="W2337" t="str">
        <f t="shared" si="37"/>
        <v>_</v>
      </c>
      <c r="X2337" s="2" t="s">
        <v>1615</v>
      </c>
    </row>
    <row r="2338" spans="1:24" hidden="1" x14ac:dyDescent="0.35">
      <c r="A2338">
        <v>74</v>
      </c>
      <c r="C2338" s="1">
        <v>44818</v>
      </c>
      <c r="D2338" t="s">
        <v>1531</v>
      </c>
      <c r="S2338" s="3" t="s">
        <v>1061</v>
      </c>
      <c r="T2338" s="6" t="s">
        <v>942</v>
      </c>
      <c r="U2338" s="6" t="s">
        <v>951</v>
      </c>
      <c r="V2338" s="2" t="s">
        <v>954</v>
      </c>
      <c r="W2338" t="str">
        <f t="shared" si="37"/>
        <v>_20229</v>
      </c>
      <c r="X2338" s="2" t="s">
        <v>1615</v>
      </c>
    </row>
    <row r="2339" spans="1:24" hidden="1" x14ac:dyDescent="0.35">
      <c r="A2339">
        <v>75</v>
      </c>
      <c r="C2339" s="1">
        <v>45189</v>
      </c>
      <c r="D2339" t="s">
        <v>1168</v>
      </c>
      <c r="G2339" t="s">
        <v>20</v>
      </c>
      <c r="H2339" t="s">
        <v>1260</v>
      </c>
      <c r="S2339" t="s">
        <v>1092</v>
      </c>
      <c r="W2339" t="str">
        <f t="shared" si="37"/>
        <v>_</v>
      </c>
      <c r="X2339" s="2" t="s">
        <v>1615</v>
      </c>
    </row>
    <row r="2340" spans="1:24" hidden="1" x14ac:dyDescent="0.35">
      <c r="A2340">
        <v>75</v>
      </c>
      <c r="C2340" s="1">
        <v>44818</v>
      </c>
      <c r="D2340" t="s">
        <v>1532</v>
      </c>
      <c r="S2340" s="3" t="s">
        <v>1061</v>
      </c>
      <c r="T2340" s="6" t="s">
        <v>942</v>
      </c>
      <c r="U2340" s="6" t="s">
        <v>951</v>
      </c>
      <c r="V2340" s="2" t="s">
        <v>954</v>
      </c>
      <c r="W2340" t="str">
        <f t="shared" si="37"/>
        <v>_20229</v>
      </c>
      <c r="X2340" s="2" t="s">
        <v>1615</v>
      </c>
    </row>
    <row r="2341" spans="1:24" hidden="1" x14ac:dyDescent="0.35">
      <c r="A2341">
        <v>76</v>
      </c>
      <c r="C2341" s="1">
        <v>45190</v>
      </c>
      <c r="D2341" t="s">
        <v>1169</v>
      </c>
      <c r="G2341" t="s">
        <v>92</v>
      </c>
      <c r="H2341" t="s">
        <v>1261</v>
      </c>
      <c r="S2341" t="s">
        <v>1092</v>
      </c>
      <c r="W2341" t="str">
        <f t="shared" si="37"/>
        <v>_</v>
      </c>
      <c r="X2341" s="2" t="s">
        <v>1615</v>
      </c>
    </row>
    <row r="2342" spans="1:24" hidden="1" x14ac:dyDescent="0.35">
      <c r="A2342">
        <v>76</v>
      </c>
      <c r="C2342" s="1">
        <v>44818</v>
      </c>
      <c r="D2342" t="s">
        <v>1533</v>
      </c>
      <c r="S2342" s="3" t="s">
        <v>1061</v>
      </c>
      <c r="T2342" s="6" t="s">
        <v>942</v>
      </c>
      <c r="U2342" s="6" t="s">
        <v>951</v>
      </c>
      <c r="V2342" s="2" t="s">
        <v>954</v>
      </c>
      <c r="W2342" t="str">
        <f t="shared" si="37"/>
        <v>_20229</v>
      </c>
      <c r="X2342" s="2" t="s">
        <v>1615</v>
      </c>
    </row>
    <row r="2343" spans="1:24" hidden="1" x14ac:dyDescent="0.35">
      <c r="A2343">
        <v>77</v>
      </c>
      <c r="C2343" s="1">
        <v>45191</v>
      </c>
      <c r="D2343" t="s">
        <v>1170</v>
      </c>
      <c r="G2343" t="s">
        <v>26</v>
      </c>
      <c r="H2343" t="s">
        <v>1262</v>
      </c>
      <c r="S2343" t="s">
        <v>1092</v>
      </c>
      <c r="W2343" t="str">
        <f t="shared" si="37"/>
        <v>_</v>
      </c>
      <c r="X2343" s="2" t="s">
        <v>1615</v>
      </c>
    </row>
    <row r="2344" spans="1:24" hidden="1" x14ac:dyDescent="0.35">
      <c r="A2344">
        <v>77</v>
      </c>
      <c r="C2344" s="1">
        <v>44818</v>
      </c>
      <c r="D2344" t="s">
        <v>1534</v>
      </c>
      <c r="S2344" s="3" t="s">
        <v>1061</v>
      </c>
      <c r="T2344" s="6" t="s">
        <v>942</v>
      </c>
      <c r="U2344" s="6" t="s">
        <v>951</v>
      </c>
      <c r="V2344" s="2" t="s">
        <v>954</v>
      </c>
      <c r="W2344" t="str">
        <f t="shared" si="37"/>
        <v>_20229</v>
      </c>
      <c r="X2344" s="2" t="s">
        <v>1615</v>
      </c>
    </row>
    <row r="2345" spans="1:24" hidden="1" x14ac:dyDescent="0.35">
      <c r="A2345">
        <v>78</v>
      </c>
      <c r="C2345" s="1">
        <v>45207</v>
      </c>
      <c r="D2345" t="s">
        <v>1171</v>
      </c>
      <c r="G2345" t="s">
        <v>26</v>
      </c>
      <c r="H2345" t="s">
        <v>1263</v>
      </c>
      <c r="S2345" t="s">
        <v>1092</v>
      </c>
      <c r="W2345" t="str">
        <f t="shared" si="37"/>
        <v>_</v>
      </c>
      <c r="X2345" s="2" t="s">
        <v>1615</v>
      </c>
    </row>
    <row r="2346" spans="1:24" hidden="1" x14ac:dyDescent="0.35">
      <c r="A2346">
        <v>78</v>
      </c>
      <c r="C2346" s="1">
        <v>44818</v>
      </c>
      <c r="D2346" t="s">
        <v>1535</v>
      </c>
      <c r="S2346" s="3" t="s">
        <v>1061</v>
      </c>
      <c r="T2346" s="6" t="s">
        <v>942</v>
      </c>
      <c r="U2346" s="6" t="s">
        <v>951</v>
      </c>
      <c r="V2346" s="2" t="s">
        <v>954</v>
      </c>
      <c r="W2346" t="str">
        <f t="shared" si="37"/>
        <v>_20229</v>
      </c>
      <c r="X2346" s="2" t="s">
        <v>1615</v>
      </c>
    </row>
    <row r="2347" spans="1:24" hidden="1" x14ac:dyDescent="0.35">
      <c r="A2347">
        <v>79</v>
      </c>
      <c r="C2347" s="1">
        <v>45210</v>
      </c>
      <c r="D2347" t="s">
        <v>1172</v>
      </c>
      <c r="G2347" t="s">
        <v>26</v>
      </c>
      <c r="H2347" t="s">
        <v>1264</v>
      </c>
      <c r="S2347" t="s">
        <v>1092</v>
      </c>
      <c r="W2347" t="str">
        <f t="shared" si="37"/>
        <v>_</v>
      </c>
      <c r="X2347" s="2" t="s">
        <v>1615</v>
      </c>
    </row>
    <row r="2348" spans="1:24" hidden="1" x14ac:dyDescent="0.35">
      <c r="A2348">
        <v>79</v>
      </c>
      <c r="C2348" s="1">
        <v>44818</v>
      </c>
      <c r="D2348" t="s">
        <v>1536</v>
      </c>
      <c r="S2348" s="3" t="s">
        <v>1061</v>
      </c>
      <c r="T2348" s="6" t="s">
        <v>942</v>
      </c>
      <c r="U2348" s="6" t="s">
        <v>951</v>
      </c>
      <c r="V2348" s="2" t="s">
        <v>954</v>
      </c>
      <c r="W2348" t="str">
        <f t="shared" si="37"/>
        <v>_20229</v>
      </c>
      <c r="X2348" s="2" t="s">
        <v>1615</v>
      </c>
    </row>
    <row r="2349" spans="1:24" hidden="1" x14ac:dyDescent="0.35">
      <c r="A2349">
        <v>80</v>
      </c>
      <c r="C2349" s="1">
        <v>45212</v>
      </c>
      <c r="D2349" t="s">
        <v>1173</v>
      </c>
      <c r="G2349" t="s">
        <v>20</v>
      </c>
      <c r="H2349" t="s">
        <v>1265</v>
      </c>
      <c r="S2349" t="s">
        <v>1092</v>
      </c>
      <c r="W2349" t="str">
        <f t="shared" si="37"/>
        <v>_</v>
      </c>
      <c r="X2349" s="2" t="s">
        <v>1615</v>
      </c>
    </row>
    <row r="2350" spans="1:24" hidden="1" x14ac:dyDescent="0.35">
      <c r="A2350">
        <v>80</v>
      </c>
      <c r="C2350" s="1">
        <v>44818</v>
      </c>
      <c r="D2350" t="s">
        <v>1537</v>
      </c>
      <c r="S2350" s="3" t="s">
        <v>1061</v>
      </c>
      <c r="T2350" s="6" t="s">
        <v>942</v>
      </c>
      <c r="U2350" s="6" t="s">
        <v>951</v>
      </c>
      <c r="V2350" s="2" t="s">
        <v>954</v>
      </c>
      <c r="W2350" t="str">
        <f t="shared" si="37"/>
        <v>_20229</v>
      </c>
      <c r="X2350" s="2" t="s">
        <v>1615</v>
      </c>
    </row>
    <row r="2351" spans="1:24" hidden="1" x14ac:dyDescent="0.35">
      <c r="A2351">
        <v>81</v>
      </c>
      <c r="C2351" s="1">
        <v>45212</v>
      </c>
      <c r="D2351" t="s">
        <v>1174</v>
      </c>
      <c r="G2351" t="s">
        <v>26</v>
      </c>
      <c r="H2351" t="s">
        <v>1266</v>
      </c>
      <c r="S2351" t="s">
        <v>1092</v>
      </c>
      <c r="W2351" t="str">
        <f t="shared" si="37"/>
        <v>_</v>
      </c>
      <c r="X2351" s="2" t="s">
        <v>1615</v>
      </c>
    </row>
    <row r="2352" spans="1:24" hidden="1" x14ac:dyDescent="0.35">
      <c r="A2352">
        <v>81</v>
      </c>
      <c r="C2352" s="1">
        <v>44818</v>
      </c>
      <c r="D2352" t="s">
        <v>3953</v>
      </c>
      <c r="S2352" s="3" t="s">
        <v>1061</v>
      </c>
      <c r="T2352" s="6" t="s">
        <v>942</v>
      </c>
      <c r="U2352" s="6" t="s">
        <v>951</v>
      </c>
      <c r="V2352" s="2" t="s">
        <v>954</v>
      </c>
      <c r="W2352" t="str">
        <f t="shared" si="37"/>
        <v>_20229</v>
      </c>
      <c r="X2352" s="2" t="s">
        <v>1615</v>
      </c>
    </row>
    <row r="2353" spans="1:24" hidden="1" x14ac:dyDescent="0.35">
      <c r="A2353">
        <v>82</v>
      </c>
      <c r="C2353" s="1">
        <v>45215</v>
      </c>
      <c r="D2353" t="s">
        <v>1175</v>
      </c>
      <c r="G2353" t="s">
        <v>20</v>
      </c>
      <c r="H2353" t="s">
        <v>1267</v>
      </c>
      <c r="S2353" t="s">
        <v>1092</v>
      </c>
      <c r="W2353" t="str">
        <f t="shared" si="37"/>
        <v>_</v>
      </c>
      <c r="X2353" s="2" t="s">
        <v>1615</v>
      </c>
    </row>
    <row r="2354" spans="1:24" hidden="1" x14ac:dyDescent="0.35">
      <c r="A2354">
        <v>82</v>
      </c>
      <c r="C2354" s="1">
        <v>44818</v>
      </c>
      <c r="D2354" t="s">
        <v>1538</v>
      </c>
      <c r="S2354" s="3" t="s">
        <v>1061</v>
      </c>
      <c r="T2354" s="6" t="s">
        <v>942</v>
      </c>
      <c r="U2354" s="6" t="s">
        <v>951</v>
      </c>
      <c r="V2354" s="2" t="s">
        <v>954</v>
      </c>
      <c r="W2354" t="str">
        <f t="shared" si="37"/>
        <v>_20229</v>
      </c>
      <c r="X2354" s="2" t="s">
        <v>1615</v>
      </c>
    </row>
    <row r="2355" spans="1:24" hidden="1" x14ac:dyDescent="0.35">
      <c r="A2355">
        <v>83</v>
      </c>
      <c r="C2355" s="1">
        <v>45211</v>
      </c>
      <c r="D2355" t="s">
        <v>1176</v>
      </c>
      <c r="G2355" t="s">
        <v>116</v>
      </c>
      <c r="H2355" t="s">
        <v>1268</v>
      </c>
      <c r="S2355" t="s">
        <v>1092</v>
      </c>
      <c r="W2355" t="str">
        <f t="shared" si="37"/>
        <v>_</v>
      </c>
      <c r="X2355" s="2" t="s">
        <v>1615</v>
      </c>
    </row>
    <row r="2356" spans="1:24" hidden="1" x14ac:dyDescent="0.35">
      <c r="A2356">
        <v>83</v>
      </c>
      <c r="C2356" s="1">
        <v>44818</v>
      </c>
      <c r="D2356" t="s">
        <v>1539</v>
      </c>
      <c r="S2356" s="3" t="s">
        <v>1061</v>
      </c>
      <c r="T2356" s="6" t="s">
        <v>942</v>
      </c>
      <c r="U2356" s="6" t="s">
        <v>951</v>
      </c>
      <c r="V2356" s="2" t="s">
        <v>954</v>
      </c>
      <c r="W2356" t="str">
        <f t="shared" si="37"/>
        <v>_20229</v>
      </c>
      <c r="X2356" s="2" t="s">
        <v>1615</v>
      </c>
    </row>
    <row r="2357" spans="1:24" hidden="1" x14ac:dyDescent="0.35">
      <c r="A2357">
        <v>84</v>
      </c>
      <c r="C2357" s="1">
        <v>45210</v>
      </c>
      <c r="D2357" t="s">
        <v>1177</v>
      </c>
      <c r="G2357" t="s">
        <v>20</v>
      </c>
      <c r="H2357" t="s">
        <v>1269</v>
      </c>
      <c r="S2357" t="s">
        <v>1092</v>
      </c>
      <c r="W2357" t="str">
        <f t="shared" si="37"/>
        <v>_</v>
      </c>
      <c r="X2357" s="2" t="s">
        <v>1615</v>
      </c>
    </row>
    <row r="2358" spans="1:24" hidden="1" x14ac:dyDescent="0.35">
      <c r="A2358">
        <v>84</v>
      </c>
      <c r="C2358" s="1">
        <v>44819</v>
      </c>
      <c r="D2358" t="s">
        <v>1540</v>
      </c>
      <c r="S2358" s="3" t="s">
        <v>1061</v>
      </c>
      <c r="T2358" s="6" t="s">
        <v>942</v>
      </c>
      <c r="U2358" s="6" t="s">
        <v>943</v>
      </c>
      <c r="V2358" s="2" t="s">
        <v>954</v>
      </c>
      <c r="W2358" t="str">
        <f t="shared" si="37"/>
        <v>_20229</v>
      </c>
      <c r="X2358" s="2" t="s">
        <v>1615</v>
      </c>
    </row>
    <row r="2359" spans="1:24" hidden="1" x14ac:dyDescent="0.35">
      <c r="A2359">
        <v>85</v>
      </c>
      <c r="C2359" s="1">
        <v>45213</v>
      </c>
      <c r="D2359" t="s">
        <v>1178</v>
      </c>
      <c r="G2359" t="s">
        <v>20</v>
      </c>
      <c r="H2359" t="s">
        <v>1270</v>
      </c>
      <c r="S2359" t="s">
        <v>1092</v>
      </c>
      <c r="W2359" t="str">
        <f t="shared" si="37"/>
        <v>_</v>
      </c>
      <c r="X2359" s="2" t="s">
        <v>1615</v>
      </c>
    </row>
    <row r="2360" spans="1:24" hidden="1" x14ac:dyDescent="0.35">
      <c r="A2360">
        <v>85</v>
      </c>
      <c r="C2360" s="1">
        <v>44819</v>
      </c>
      <c r="D2360" t="s">
        <v>1541</v>
      </c>
      <c r="S2360" s="3" t="s">
        <v>1061</v>
      </c>
      <c r="T2360" s="6" t="s">
        <v>942</v>
      </c>
      <c r="U2360" s="6" t="s">
        <v>943</v>
      </c>
      <c r="V2360" s="2" t="s">
        <v>954</v>
      </c>
      <c r="W2360" t="str">
        <f t="shared" si="37"/>
        <v>_20229</v>
      </c>
      <c r="X2360" s="2" t="s">
        <v>1615</v>
      </c>
    </row>
    <row r="2361" spans="1:24" hidden="1" x14ac:dyDescent="0.35">
      <c r="A2361">
        <v>86</v>
      </c>
      <c r="C2361" s="1">
        <v>45210</v>
      </c>
      <c r="D2361" t="s">
        <v>1179</v>
      </c>
      <c r="G2361" t="s">
        <v>20</v>
      </c>
      <c r="H2361" t="s">
        <v>1271</v>
      </c>
      <c r="S2361" t="s">
        <v>1092</v>
      </c>
      <c r="W2361" t="str">
        <f t="shared" si="37"/>
        <v>_</v>
      </c>
      <c r="X2361" s="2" t="s">
        <v>1615</v>
      </c>
    </row>
    <row r="2362" spans="1:24" hidden="1" x14ac:dyDescent="0.35">
      <c r="A2362">
        <v>86</v>
      </c>
      <c r="C2362" s="1">
        <v>44819</v>
      </c>
      <c r="D2362" t="s">
        <v>1542</v>
      </c>
      <c r="S2362" s="3" t="s">
        <v>1061</v>
      </c>
      <c r="T2362" s="6" t="s">
        <v>942</v>
      </c>
      <c r="U2362" s="6" t="s">
        <v>943</v>
      </c>
      <c r="V2362" s="2" t="s">
        <v>954</v>
      </c>
      <c r="W2362" t="str">
        <f t="shared" si="37"/>
        <v>_20229</v>
      </c>
      <c r="X2362" s="2" t="s">
        <v>1615</v>
      </c>
    </row>
    <row r="2363" spans="1:24" hidden="1" x14ac:dyDescent="0.35">
      <c r="A2363">
        <v>87</v>
      </c>
      <c r="C2363" s="1">
        <v>45245</v>
      </c>
      <c r="D2363" t="s">
        <v>1180</v>
      </c>
      <c r="G2363" t="s">
        <v>20</v>
      </c>
      <c r="H2363" t="s">
        <v>1272</v>
      </c>
      <c r="S2363" t="s">
        <v>1092</v>
      </c>
      <c r="W2363" t="str">
        <f t="shared" si="37"/>
        <v>_</v>
      </c>
      <c r="X2363" s="2" t="s">
        <v>1615</v>
      </c>
    </row>
    <row r="2364" spans="1:24" hidden="1" x14ac:dyDescent="0.35">
      <c r="A2364">
        <v>87</v>
      </c>
      <c r="C2364" s="1">
        <v>44819</v>
      </c>
      <c r="D2364" t="s">
        <v>1543</v>
      </c>
      <c r="S2364" s="3" t="s">
        <v>1061</v>
      </c>
      <c r="T2364" s="6" t="s">
        <v>942</v>
      </c>
      <c r="U2364" s="6" t="s">
        <v>943</v>
      </c>
      <c r="V2364" s="2" t="s">
        <v>954</v>
      </c>
      <c r="W2364" t="str">
        <f t="shared" si="37"/>
        <v>_20229</v>
      </c>
      <c r="X2364" s="2" t="s">
        <v>1615</v>
      </c>
    </row>
    <row r="2365" spans="1:24" hidden="1" x14ac:dyDescent="0.35">
      <c r="A2365">
        <v>88</v>
      </c>
      <c r="C2365" s="1">
        <v>45251</v>
      </c>
      <c r="D2365" t="s">
        <v>1181</v>
      </c>
      <c r="G2365" t="s">
        <v>168</v>
      </c>
      <c r="H2365" t="s">
        <v>1273</v>
      </c>
      <c r="S2365" t="s">
        <v>1092</v>
      </c>
      <c r="W2365" t="str">
        <f t="shared" si="37"/>
        <v>_</v>
      </c>
      <c r="X2365" s="2" t="s">
        <v>1615</v>
      </c>
    </row>
    <row r="2366" spans="1:24" hidden="1" x14ac:dyDescent="0.35">
      <c r="A2366">
        <v>88</v>
      </c>
      <c r="C2366" s="1">
        <v>44817</v>
      </c>
      <c r="D2366" t="s">
        <v>1544</v>
      </c>
      <c r="S2366" s="3" t="s">
        <v>1061</v>
      </c>
      <c r="T2366" s="6" t="s">
        <v>942</v>
      </c>
      <c r="U2366" s="6" t="s">
        <v>950</v>
      </c>
      <c r="V2366" s="2" t="s">
        <v>954</v>
      </c>
      <c r="W2366" t="str">
        <f t="shared" si="37"/>
        <v>_20229</v>
      </c>
      <c r="X2366" s="2" t="s">
        <v>1615</v>
      </c>
    </row>
    <row r="2367" spans="1:24" hidden="1" x14ac:dyDescent="0.35">
      <c r="A2367">
        <v>89</v>
      </c>
      <c r="C2367" s="1">
        <v>45257</v>
      </c>
      <c r="D2367" t="s">
        <v>1182</v>
      </c>
      <c r="G2367" t="s">
        <v>20</v>
      </c>
      <c r="H2367" t="s">
        <v>1274</v>
      </c>
      <c r="S2367" t="s">
        <v>1092</v>
      </c>
      <c r="W2367" t="str">
        <f t="shared" si="37"/>
        <v>_</v>
      </c>
      <c r="X2367" s="2" t="s">
        <v>1615</v>
      </c>
    </row>
    <row r="2368" spans="1:24" hidden="1" x14ac:dyDescent="0.35">
      <c r="A2368">
        <v>89</v>
      </c>
      <c r="C2368" s="1">
        <v>44820</v>
      </c>
      <c r="D2368" t="s">
        <v>3935</v>
      </c>
      <c r="S2368" s="3" t="s">
        <v>1061</v>
      </c>
      <c r="T2368" s="6" t="s">
        <v>942</v>
      </c>
      <c r="U2368" s="6" t="s">
        <v>928</v>
      </c>
      <c r="V2368" s="2" t="s">
        <v>954</v>
      </c>
      <c r="W2368" t="str">
        <f t="shared" si="37"/>
        <v>_20229</v>
      </c>
      <c r="X2368" s="2" t="s">
        <v>1615</v>
      </c>
    </row>
    <row r="2369" spans="1:24" hidden="1" x14ac:dyDescent="0.35">
      <c r="A2369">
        <v>90</v>
      </c>
      <c r="C2369" s="1">
        <v>45257</v>
      </c>
      <c r="D2369" t="s">
        <v>1183</v>
      </c>
      <c r="G2369" t="s">
        <v>20</v>
      </c>
      <c r="H2369" t="s">
        <v>1275</v>
      </c>
      <c r="S2369" t="s">
        <v>1092</v>
      </c>
      <c r="W2369" t="str">
        <f t="shared" ref="W2369:W2423" si="38">CONCATENATE(B2369,"_",V2369,T2369)</f>
        <v>_</v>
      </c>
      <c r="X2369" s="2" t="s">
        <v>1615</v>
      </c>
    </row>
    <row r="2370" spans="1:24" hidden="1" x14ac:dyDescent="0.35">
      <c r="A2370">
        <v>90</v>
      </c>
      <c r="C2370" s="1">
        <v>44820</v>
      </c>
      <c r="D2370" t="s">
        <v>1545</v>
      </c>
      <c r="S2370" s="3" t="s">
        <v>1061</v>
      </c>
      <c r="T2370" s="6" t="s">
        <v>942</v>
      </c>
      <c r="U2370" s="6" t="s">
        <v>928</v>
      </c>
      <c r="V2370" s="2" t="s">
        <v>954</v>
      </c>
      <c r="W2370" t="str">
        <f t="shared" si="38"/>
        <v>_20229</v>
      </c>
      <c r="X2370" s="2" t="s">
        <v>1615</v>
      </c>
    </row>
    <row r="2371" spans="1:24" hidden="1" x14ac:dyDescent="0.35">
      <c r="A2371">
        <v>91</v>
      </c>
      <c r="C2371" s="1">
        <v>45259</v>
      </c>
      <c r="D2371" t="s">
        <v>1184</v>
      </c>
      <c r="G2371" t="s">
        <v>73</v>
      </c>
      <c r="H2371" t="s">
        <v>1276</v>
      </c>
      <c r="S2371" t="s">
        <v>1092</v>
      </c>
      <c r="W2371" t="str">
        <f t="shared" si="38"/>
        <v>_</v>
      </c>
      <c r="X2371" s="2" t="s">
        <v>1615</v>
      </c>
    </row>
    <row r="2372" spans="1:24" hidden="1" x14ac:dyDescent="0.35">
      <c r="A2372">
        <v>91</v>
      </c>
      <c r="C2372" s="1">
        <v>44820</v>
      </c>
      <c r="D2372" t="s">
        <v>1546</v>
      </c>
      <c r="S2372" s="3" t="s">
        <v>1061</v>
      </c>
      <c r="T2372" s="6" t="s">
        <v>942</v>
      </c>
      <c r="U2372" s="6" t="s">
        <v>928</v>
      </c>
      <c r="V2372" s="2" t="s">
        <v>954</v>
      </c>
      <c r="W2372" t="str">
        <f t="shared" si="38"/>
        <v>_20229</v>
      </c>
      <c r="X2372" s="2" t="s">
        <v>1615</v>
      </c>
    </row>
    <row r="2373" spans="1:24" hidden="1" x14ac:dyDescent="0.35">
      <c r="A2373">
        <v>92</v>
      </c>
      <c r="C2373" s="1">
        <v>45266</v>
      </c>
      <c r="D2373" t="s">
        <v>1185</v>
      </c>
      <c r="G2373" t="s">
        <v>1277</v>
      </c>
      <c r="H2373" t="s">
        <v>1278</v>
      </c>
      <c r="S2373" t="s">
        <v>1092</v>
      </c>
      <c r="W2373" t="str">
        <f t="shared" si="38"/>
        <v>_</v>
      </c>
      <c r="X2373" s="2" t="s">
        <v>1615</v>
      </c>
    </row>
    <row r="2374" spans="1:24" hidden="1" x14ac:dyDescent="0.35">
      <c r="A2374">
        <v>92</v>
      </c>
      <c r="C2374" s="1">
        <v>44824</v>
      </c>
      <c r="D2374" t="s">
        <v>1547</v>
      </c>
      <c r="S2374" s="3" t="s">
        <v>1061</v>
      </c>
      <c r="T2374" s="6" t="s">
        <v>942</v>
      </c>
      <c r="U2374" s="6" t="s">
        <v>932</v>
      </c>
      <c r="V2374" s="2" t="s">
        <v>954</v>
      </c>
      <c r="W2374" t="str">
        <f t="shared" si="38"/>
        <v>_20229</v>
      </c>
      <c r="X2374" s="2" t="s">
        <v>1615</v>
      </c>
    </row>
    <row r="2375" spans="1:24" hidden="1" x14ac:dyDescent="0.35">
      <c r="A2375">
        <v>93</v>
      </c>
      <c r="C2375" s="1">
        <v>44826</v>
      </c>
      <c r="D2375" t="s">
        <v>1548</v>
      </c>
      <c r="S2375" s="3" t="s">
        <v>1061</v>
      </c>
      <c r="T2375" s="6" t="s">
        <v>942</v>
      </c>
      <c r="U2375" s="6" t="s">
        <v>933</v>
      </c>
      <c r="V2375" s="2" t="s">
        <v>954</v>
      </c>
      <c r="W2375" t="str">
        <f t="shared" si="38"/>
        <v>_20229</v>
      </c>
      <c r="X2375" s="2" t="s">
        <v>1615</v>
      </c>
    </row>
    <row r="2376" spans="1:24" hidden="1" x14ac:dyDescent="0.35">
      <c r="A2376">
        <v>94</v>
      </c>
      <c r="C2376" s="1">
        <v>44855</v>
      </c>
      <c r="D2376" t="s">
        <v>1549</v>
      </c>
      <c r="S2376" s="3" t="s">
        <v>1061</v>
      </c>
      <c r="T2376" s="6" t="s">
        <v>948</v>
      </c>
      <c r="U2376" s="6" t="s">
        <v>944</v>
      </c>
      <c r="V2376" s="2" t="s">
        <v>954</v>
      </c>
      <c r="W2376" t="str">
        <f t="shared" si="38"/>
        <v>_202210</v>
      </c>
      <c r="X2376" s="2" t="s">
        <v>1615</v>
      </c>
    </row>
    <row r="2377" spans="1:24" hidden="1" x14ac:dyDescent="0.35">
      <c r="A2377">
        <v>95</v>
      </c>
      <c r="C2377" s="1">
        <v>44860</v>
      </c>
      <c r="D2377" t="s">
        <v>594</v>
      </c>
      <c r="S2377" s="3" t="s">
        <v>1061</v>
      </c>
      <c r="T2377" s="6" t="s">
        <v>948</v>
      </c>
      <c r="U2377" s="6" t="s">
        <v>924</v>
      </c>
      <c r="V2377" s="2" t="s">
        <v>954</v>
      </c>
      <c r="W2377" t="str">
        <f t="shared" si="38"/>
        <v>_202210</v>
      </c>
      <c r="X2377" s="2" t="s">
        <v>1615</v>
      </c>
    </row>
    <row r="2378" spans="1:24" hidden="1" x14ac:dyDescent="0.35">
      <c r="A2378">
        <v>96</v>
      </c>
      <c r="C2378" s="1">
        <v>44860</v>
      </c>
      <c r="D2378" t="s">
        <v>1550</v>
      </c>
      <c r="S2378" s="3" t="s">
        <v>1061</v>
      </c>
      <c r="T2378" s="6" t="s">
        <v>948</v>
      </c>
      <c r="U2378" s="6" t="s">
        <v>924</v>
      </c>
      <c r="V2378" s="2" t="s">
        <v>954</v>
      </c>
      <c r="W2378" t="str">
        <f t="shared" si="38"/>
        <v>_202210</v>
      </c>
      <c r="X2378" s="2" t="s">
        <v>1615</v>
      </c>
    </row>
    <row r="2379" spans="1:24" hidden="1" x14ac:dyDescent="0.35">
      <c r="A2379">
        <v>97</v>
      </c>
      <c r="C2379" s="1">
        <v>44860</v>
      </c>
      <c r="D2379" t="s">
        <v>1551</v>
      </c>
      <c r="S2379" s="3" t="s">
        <v>1061</v>
      </c>
      <c r="T2379" s="6" t="s">
        <v>948</v>
      </c>
      <c r="U2379" s="6" t="s">
        <v>924</v>
      </c>
      <c r="V2379" s="2" t="s">
        <v>954</v>
      </c>
      <c r="W2379" t="str">
        <f t="shared" si="38"/>
        <v>_202210</v>
      </c>
      <c r="X2379" s="2" t="s">
        <v>1615</v>
      </c>
    </row>
    <row r="2380" spans="1:24" hidden="1" x14ac:dyDescent="0.35">
      <c r="A2380">
        <v>98</v>
      </c>
      <c r="C2380" s="1">
        <v>44868</v>
      </c>
      <c r="D2380" t="s">
        <v>1552</v>
      </c>
      <c r="S2380" s="3" t="s">
        <v>1061</v>
      </c>
      <c r="T2380" s="6" t="s">
        <v>945</v>
      </c>
      <c r="U2380" s="6" t="s">
        <v>941</v>
      </c>
      <c r="V2380" s="2" t="s">
        <v>954</v>
      </c>
      <c r="W2380" t="str">
        <f t="shared" si="38"/>
        <v>_202211</v>
      </c>
      <c r="X2380" s="2" t="s">
        <v>1615</v>
      </c>
    </row>
    <row r="2381" spans="1:24" hidden="1" x14ac:dyDescent="0.35">
      <c r="A2381">
        <v>99</v>
      </c>
      <c r="C2381" s="1">
        <v>44868</v>
      </c>
      <c r="D2381" t="s">
        <v>1553</v>
      </c>
      <c r="S2381" s="3" t="s">
        <v>1061</v>
      </c>
      <c r="T2381" s="6" t="s">
        <v>945</v>
      </c>
      <c r="U2381" s="6" t="s">
        <v>941</v>
      </c>
      <c r="V2381" s="2" t="s">
        <v>954</v>
      </c>
      <c r="W2381" t="str">
        <f t="shared" si="38"/>
        <v>_202211</v>
      </c>
      <c r="X2381" s="2" t="s">
        <v>1615</v>
      </c>
    </row>
    <row r="2382" spans="1:24" hidden="1" x14ac:dyDescent="0.35">
      <c r="A2382">
        <v>100</v>
      </c>
      <c r="C2382" s="1">
        <v>44876</v>
      </c>
      <c r="D2382" t="s">
        <v>1554</v>
      </c>
      <c r="S2382" s="3" t="s">
        <v>1061</v>
      </c>
      <c r="T2382" s="6" t="s">
        <v>945</v>
      </c>
      <c r="U2382" s="6" t="s">
        <v>945</v>
      </c>
      <c r="V2382" s="2" t="s">
        <v>954</v>
      </c>
      <c r="W2382" t="str">
        <f t="shared" si="38"/>
        <v>_202211</v>
      </c>
      <c r="X2382" s="2" t="s">
        <v>1615</v>
      </c>
    </row>
    <row r="2383" spans="1:24" hidden="1" x14ac:dyDescent="0.35">
      <c r="A2383">
        <v>101</v>
      </c>
      <c r="C2383" s="1">
        <v>44882</v>
      </c>
      <c r="D2383" t="s">
        <v>1555</v>
      </c>
      <c r="S2383" s="3" t="s">
        <v>1061</v>
      </c>
      <c r="T2383" s="6" t="s">
        <v>945</v>
      </c>
      <c r="U2383" s="6" t="s">
        <v>929</v>
      </c>
      <c r="V2383" s="2" t="s">
        <v>954</v>
      </c>
      <c r="W2383" t="str">
        <f t="shared" si="38"/>
        <v>_202211</v>
      </c>
      <c r="X2383" s="2" t="s">
        <v>1615</v>
      </c>
    </row>
    <row r="2384" spans="1:24" hidden="1" x14ac:dyDescent="0.35">
      <c r="A2384">
        <v>102</v>
      </c>
      <c r="C2384" s="1">
        <v>44895</v>
      </c>
      <c r="D2384" t="s">
        <v>1556</v>
      </c>
      <c r="S2384" s="3" t="s">
        <v>1061</v>
      </c>
      <c r="T2384" s="6" t="s">
        <v>945</v>
      </c>
      <c r="U2384" s="6" t="s">
        <v>938</v>
      </c>
      <c r="V2384" s="2" t="s">
        <v>954</v>
      </c>
      <c r="W2384" t="str">
        <f t="shared" si="38"/>
        <v>_202211</v>
      </c>
      <c r="X2384" s="2" t="s">
        <v>1615</v>
      </c>
    </row>
    <row r="2385" spans="1:24" hidden="1" x14ac:dyDescent="0.35">
      <c r="A2385">
        <v>41</v>
      </c>
      <c r="C2385" s="1">
        <v>45609</v>
      </c>
      <c r="D2385" t="s">
        <v>4173</v>
      </c>
      <c r="F2385" t="s">
        <v>2294</v>
      </c>
      <c r="G2385" t="s">
        <v>2295</v>
      </c>
      <c r="H2385" t="s">
        <v>2296</v>
      </c>
      <c r="I2385" t="s">
        <v>1978</v>
      </c>
      <c r="S2385" t="s">
        <v>1061</v>
      </c>
      <c r="T2385" s="5">
        <v>11</v>
      </c>
      <c r="U2385" s="5">
        <v>13</v>
      </c>
      <c r="V2385" s="5">
        <v>2024</v>
      </c>
      <c r="W2385" t="str">
        <f t="shared" si="38"/>
        <v>_202411</v>
      </c>
      <c r="X2385" s="2" t="s">
        <v>1615</v>
      </c>
    </row>
    <row r="2386" spans="1:24" hidden="1" x14ac:dyDescent="0.35">
      <c r="C2386" s="1">
        <v>43677</v>
      </c>
      <c r="D2386" t="s">
        <v>3200</v>
      </c>
      <c r="F2386" t="s">
        <v>19</v>
      </c>
      <c r="G2386" t="s">
        <v>1606</v>
      </c>
      <c r="H2386" t="s">
        <v>3201</v>
      </c>
      <c r="I2386" t="s">
        <v>22</v>
      </c>
      <c r="J2386">
        <v>0.84499999999999997</v>
      </c>
      <c r="N2386" t="s">
        <v>2310</v>
      </c>
      <c r="O2386" s="1">
        <v>44408</v>
      </c>
      <c r="S2386" t="s">
        <v>915</v>
      </c>
      <c r="T2386" s="6" t="s">
        <v>936</v>
      </c>
      <c r="U2386" s="6" t="s">
        <v>939</v>
      </c>
      <c r="V2386" s="2" t="s">
        <v>1618</v>
      </c>
      <c r="W2386" t="str">
        <f t="shared" si="38"/>
        <v>_20197</v>
      </c>
      <c r="X2386" s="2" t="s">
        <v>1616</v>
      </c>
    </row>
    <row r="2387" spans="1:24" hidden="1" x14ac:dyDescent="0.35">
      <c r="C2387" s="1">
        <v>43677</v>
      </c>
      <c r="D2387" t="s">
        <v>3202</v>
      </c>
      <c r="F2387" t="s">
        <v>19</v>
      </c>
      <c r="G2387" t="s">
        <v>3203</v>
      </c>
      <c r="H2387" t="s">
        <v>3204</v>
      </c>
      <c r="I2387" t="s">
        <v>22</v>
      </c>
      <c r="J2387">
        <v>0.98299999999999998</v>
      </c>
      <c r="N2387" t="s">
        <v>2310</v>
      </c>
      <c r="O2387" s="1">
        <v>44408</v>
      </c>
      <c r="S2387" t="s">
        <v>915</v>
      </c>
      <c r="T2387" s="6" t="s">
        <v>936</v>
      </c>
      <c r="U2387" s="6" t="s">
        <v>939</v>
      </c>
      <c r="V2387" s="2" t="s">
        <v>1618</v>
      </c>
      <c r="W2387" t="str">
        <f t="shared" si="38"/>
        <v>_20197</v>
      </c>
      <c r="X2387" s="2" t="s">
        <v>1616</v>
      </c>
    </row>
    <row r="2388" spans="1:24" hidden="1" x14ac:dyDescent="0.35">
      <c r="C2388" s="1">
        <v>43767</v>
      </c>
      <c r="D2388" t="s">
        <v>3205</v>
      </c>
      <c r="F2388" t="s">
        <v>43</v>
      </c>
      <c r="G2388" t="s">
        <v>1606</v>
      </c>
      <c r="H2388" t="s">
        <v>3206</v>
      </c>
      <c r="I2388" t="s">
        <v>41</v>
      </c>
      <c r="J2388">
        <v>0.69599999999999995</v>
      </c>
      <c r="K2388">
        <v>2.8</v>
      </c>
      <c r="L2388">
        <v>7</v>
      </c>
      <c r="N2388" t="s">
        <v>2310</v>
      </c>
      <c r="O2388" s="1">
        <v>44498</v>
      </c>
      <c r="S2388" t="s">
        <v>915</v>
      </c>
      <c r="T2388" s="6" t="s">
        <v>948</v>
      </c>
      <c r="U2388" s="6" t="s">
        <v>937</v>
      </c>
      <c r="V2388" s="2" t="s">
        <v>1618</v>
      </c>
      <c r="W2388" t="str">
        <f t="shared" si="38"/>
        <v>_201910</v>
      </c>
      <c r="X2388" s="2" t="s">
        <v>1616</v>
      </c>
    </row>
    <row r="2389" spans="1:24" hidden="1" x14ac:dyDescent="0.35">
      <c r="C2389" s="1">
        <v>43767</v>
      </c>
      <c r="D2389" t="s">
        <v>3207</v>
      </c>
      <c r="F2389" t="s">
        <v>43</v>
      </c>
      <c r="G2389" t="s">
        <v>1606</v>
      </c>
      <c r="H2389" t="s">
        <v>3208</v>
      </c>
      <c r="I2389" t="s">
        <v>41</v>
      </c>
      <c r="J2389">
        <v>0.53100000000000003</v>
      </c>
      <c r="K2389">
        <v>2.4</v>
      </c>
      <c r="L2389">
        <v>6</v>
      </c>
      <c r="N2389" t="s">
        <v>23</v>
      </c>
      <c r="O2389" s="1">
        <v>44133</v>
      </c>
      <c r="S2389" t="s">
        <v>915</v>
      </c>
      <c r="T2389" s="6" t="s">
        <v>948</v>
      </c>
      <c r="U2389" s="6" t="s">
        <v>937</v>
      </c>
      <c r="V2389" s="2" t="s">
        <v>1618</v>
      </c>
      <c r="W2389" t="str">
        <f t="shared" si="38"/>
        <v>_201910</v>
      </c>
      <c r="X2389" s="2" t="s">
        <v>1616</v>
      </c>
    </row>
    <row r="2390" spans="1:24" hidden="1" x14ac:dyDescent="0.35">
      <c r="C2390" s="1">
        <v>43775</v>
      </c>
      <c r="D2390" t="s">
        <v>3209</v>
      </c>
      <c r="F2390" t="s">
        <v>32</v>
      </c>
      <c r="G2390" t="s">
        <v>1603</v>
      </c>
      <c r="H2390" t="s">
        <v>3210</v>
      </c>
      <c r="I2390" t="s">
        <v>22</v>
      </c>
      <c r="J2390">
        <v>0.70199999999999996</v>
      </c>
      <c r="K2390">
        <v>2</v>
      </c>
      <c r="L2390">
        <v>13</v>
      </c>
      <c r="N2390" t="s">
        <v>23</v>
      </c>
      <c r="O2390" s="1">
        <v>44141</v>
      </c>
      <c r="S2390" t="s">
        <v>915</v>
      </c>
      <c r="T2390" s="6" t="s">
        <v>945</v>
      </c>
      <c r="U2390" s="6" t="s">
        <v>927</v>
      </c>
      <c r="V2390" s="2" t="s">
        <v>1618</v>
      </c>
      <c r="W2390" t="str">
        <f t="shared" si="38"/>
        <v>_201911</v>
      </c>
      <c r="X2390" s="2" t="s">
        <v>1616</v>
      </c>
    </row>
    <row r="2391" spans="1:24" hidden="1" x14ac:dyDescent="0.35">
      <c r="C2391" s="1">
        <v>43780</v>
      </c>
      <c r="D2391" t="s">
        <v>3211</v>
      </c>
      <c r="F2391" t="s">
        <v>32</v>
      </c>
      <c r="G2391" t="s">
        <v>1753</v>
      </c>
      <c r="H2391" t="s">
        <v>3212</v>
      </c>
      <c r="I2391" t="s">
        <v>22</v>
      </c>
      <c r="J2391">
        <v>0.71099999999999997</v>
      </c>
      <c r="K2391">
        <v>2</v>
      </c>
      <c r="L2391">
        <v>10</v>
      </c>
      <c r="N2391" t="s">
        <v>23</v>
      </c>
      <c r="O2391" s="1">
        <v>44146</v>
      </c>
      <c r="S2391" t="s">
        <v>915</v>
      </c>
      <c r="T2391" s="6" t="s">
        <v>945</v>
      </c>
      <c r="U2391" s="6" t="s">
        <v>945</v>
      </c>
      <c r="V2391" s="2" t="s">
        <v>1618</v>
      </c>
      <c r="W2391" t="str">
        <f t="shared" si="38"/>
        <v>_201911</v>
      </c>
      <c r="X2391" s="2" t="s">
        <v>1616</v>
      </c>
    </row>
    <row r="2392" spans="1:24" hidden="1" x14ac:dyDescent="0.35">
      <c r="C2392" s="1">
        <v>43780</v>
      </c>
      <c r="D2392" t="s">
        <v>3213</v>
      </c>
      <c r="F2392" t="s">
        <v>32</v>
      </c>
      <c r="G2392" t="s">
        <v>1753</v>
      </c>
      <c r="H2392" t="s">
        <v>3214</v>
      </c>
      <c r="I2392" t="s">
        <v>22</v>
      </c>
      <c r="J2392">
        <v>0.66700000000000004</v>
      </c>
      <c r="K2392">
        <v>1.6</v>
      </c>
      <c r="L2392">
        <v>10</v>
      </c>
      <c r="N2392" t="s">
        <v>23</v>
      </c>
      <c r="O2392" s="1">
        <v>44146</v>
      </c>
      <c r="S2392" t="s">
        <v>915</v>
      </c>
      <c r="T2392" s="6" t="s">
        <v>945</v>
      </c>
      <c r="U2392" s="6" t="s">
        <v>945</v>
      </c>
      <c r="V2392" s="2" t="s">
        <v>1618</v>
      </c>
      <c r="W2392" t="str">
        <f t="shared" si="38"/>
        <v>_201911</v>
      </c>
      <c r="X2392" s="2" t="s">
        <v>1616</v>
      </c>
    </row>
    <row r="2393" spans="1:24" hidden="1" x14ac:dyDescent="0.35">
      <c r="C2393" s="1">
        <v>44223</v>
      </c>
      <c r="D2393" t="s">
        <v>3216</v>
      </c>
      <c r="F2393" t="s">
        <v>52</v>
      </c>
      <c r="G2393" t="s">
        <v>1606</v>
      </c>
      <c r="H2393" t="s">
        <v>3217</v>
      </c>
      <c r="I2393" t="s">
        <v>41</v>
      </c>
      <c r="J2393">
        <v>0.78600000000000003</v>
      </c>
      <c r="K2393">
        <v>2.6</v>
      </c>
      <c r="L2393">
        <v>5</v>
      </c>
      <c r="M2393">
        <v>0.86</v>
      </c>
      <c r="N2393" t="s">
        <v>2361</v>
      </c>
      <c r="O2393" s="1">
        <v>44577</v>
      </c>
      <c r="S2393" t="s">
        <v>915</v>
      </c>
      <c r="T2393" s="6" t="s">
        <v>953</v>
      </c>
      <c r="U2393" s="6" t="s">
        <v>925</v>
      </c>
      <c r="V2393" s="2" t="s">
        <v>952</v>
      </c>
      <c r="W2393" t="str">
        <f t="shared" si="38"/>
        <v>_20211</v>
      </c>
      <c r="X2393" s="2" t="s">
        <v>1616</v>
      </c>
    </row>
    <row r="2394" spans="1:24" hidden="1" x14ac:dyDescent="0.35">
      <c r="C2394" s="1">
        <v>45572</v>
      </c>
      <c r="D2394" s="1" t="s">
        <v>3305</v>
      </c>
      <c r="E2394" s="1"/>
      <c r="F2394" s="1" t="s">
        <v>1974</v>
      </c>
      <c r="G2394" s="1" t="s">
        <v>1606</v>
      </c>
      <c r="H2394" s="1" t="s">
        <v>3324</v>
      </c>
      <c r="I2394" s="1" t="s">
        <v>1993</v>
      </c>
      <c r="J2394" s="1"/>
      <c r="K2394" s="1"/>
      <c r="S2394" t="s">
        <v>1061</v>
      </c>
      <c r="T2394" s="6" t="s">
        <v>948</v>
      </c>
      <c r="U2394" s="6" t="s">
        <v>936</v>
      </c>
      <c r="V2394" s="2" t="s">
        <v>956</v>
      </c>
      <c r="W2394" t="str">
        <f t="shared" si="38"/>
        <v>_202410</v>
      </c>
      <c r="X2394" s="2" t="s">
        <v>1616</v>
      </c>
    </row>
    <row r="2395" spans="1:24" hidden="1" x14ac:dyDescent="0.35">
      <c r="C2395" s="1">
        <v>45572</v>
      </c>
      <c r="D2395" t="s">
        <v>3306</v>
      </c>
      <c r="F2395" t="s">
        <v>1974</v>
      </c>
      <c r="G2395" t="s">
        <v>1764</v>
      </c>
      <c r="H2395" t="s">
        <v>3325</v>
      </c>
      <c r="I2395" t="s">
        <v>1976</v>
      </c>
      <c r="S2395" t="s">
        <v>1061</v>
      </c>
      <c r="T2395" s="6" t="s">
        <v>948</v>
      </c>
      <c r="U2395" s="6" t="s">
        <v>936</v>
      </c>
      <c r="V2395" s="2" t="s">
        <v>956</v>
      </c>
      <c r="W2395" t="str">
        <f t="shared" si="38"/>
        <v>_202410</v>
      </c>
      <c r="X2395" s="2" t="s">
        <v>1616</v>
      </c>
    </row>
    <row r="2396" spans="1:24" hidden="1" x14ac:dyDescent="0.35">
      <c r="C2396" s="1">
        <v>45572</v>
      </c>
      <c r="D2396" t="s">
        <v>3307</v>
      </c>
      <c r="F2396" t="s">
        <v>1974</v>
      </c>
      <c r="G2396" t="s">
        <v>1673</v>
      </c>
      <c r="H2396" t="s">
        <v>3326</v>
      </c>
      <c r="I2396" t="s">
        <v>1989</v>
      </c>
      <c r="S2396" t="s">
        <v>1061</v>
      </c>
      <c r="T2396" s="6" t="s">
        <v>948</v>
      </c>
      <c r="U2396" s="6" t="s">
        <v>936</v>
      </c>
      <c r="V2396" s="2" t="s">
        <v>956</v>
      </c>
      <c r="W2396" t="str">
        <f t="shared" si="38"/>
        <v>_202410</v>
      </c>
      <c r="X2396" s="2" t="s">
        <v>1616</v>
      </c>
    </row>
    <row r="2397" spans="1:24" hidden="1" x14ac:dyDescent="0.35">
      <c r="C2397" s="1">
        <v>45572</v>
      </c>
      <c r="D2397" t="s">
        <v>3308</v>
      </c>
      <c r="F2397" t="s">
        <v>1981</v>
      </c>
      <c r="G2397" t="s">
        <v>1609</v>
      </c>
      <c r="H2397" t="s">
        <v>3327</v>
      </c>
      <c r="I2397" t="s">
        <v>1993</v>
      </c>
      <c r="S2397" t="s">
        <v>1061</v>
      </c>
      <c r="T2397" s="6" t="s">
        <v>948</v>
      </c>
      <c r="U2397" s="6" t="s">
        <v>936</v>
      </c>
      <c r="V2397" s="2" t="s">
        <v>956</v>
      </c>
      <c r="W2397" t="str">
        <f t="shared" si="38"/>
        <v>_202410</v>
      </c>
      <c r="X2397" s="2" t="s">
        <v>1616</v>
      </c>
    </row>
    <row r="2398" spans="1:24" hidden="1" x14ac:dyDescent="0.35">
      <c r="C2398" s="1">
        <v>45572</v>
      </c>
      <c r="D2398" t="s">
        <v>3309</v>
      </c>
      <c r="F2398" t="s">
        <v>1974</v>
      </c>
      <c r="G2398" t="s">
        <v>1606</v>
      </c>
      <c r="H2398" t="s">
        <v>3328</v>
      </c>
      <c r="I2398" t="s">
        <v>1976</v>
      </c>
      <c r="S2398" t="s">
        <v>1061</v>
      </c>
      <c r="T2398" s="6" t="s">
        <v>948</v>
      </c>
      <c r="U2398" s="6" t="s">
        <v>936</v>
      </c>
      <c r="V2398" s="2" t="s">
        <v>956</v>
      </c>
      <c r="W2398" t="str">
        <f t="shared" si="38"/>
        <v>_202410</v>
      </c>
      <c r="X2398" s="2" t="s">
        <v>1616</v>
      </c>
    </row>
    <row r="2399" spans="1:24" hidden="1" x14ac:dyDescent="0.35">
      <c r="C2399" s="1">
        <v>45572</v>
      </c>
      <c r="D2399" t="s">
        <v>3310</v>
      </c>
      <c r="F2399" t="s">
        <v>1974</v>
      </c>
      <c r="G2399" t="s">
        <v>1603</v>
      </c>
      <c r="H2399" t="s">
        <v>3329</v>
      </c>
      <c r="I2399" t="s">
        <v>1989</v>
      </c>
      <c r="S2399" t="s">
        <v>1061</v>
      </c>
      <c r="T2399" s="6" t="s">
        <v>948</v>
      </c>
      <c r="U2399" s="6" t="s">
        <v>936</v>
      </c>
      <c r="V2399" s="2" t="s">
        <v>956</v>
      </c>
      <c r="W2399" t="str">
        <f t="shared" si="38"/>
        <v>_202410</v>
      </c>
      <c r="X2399" s="2" t="s">
        <v>1616</v>
      </c>
    </row>
    <row r="2400" spans="1:24" hidden="1" x14ac:dyDescent="0.35">
      <c r="C2400" s="1">
        <v>45572</v>
      </c>
      <c r="D2400" t="s">
        <v>3311</v>
      </c>
      <c r="F2400" t="s">
        <v>1991</v>
      </c>
      <c r="G2400" t="s">
        <v>2016</v>
      </c>
      <c r="H2400" t="s">
        <v>3330</v>
      </c>
      <c r="I2400" t="s">
        <v>1976</v>
      </c>
      <c r="S2400" t="s">
        <v>1061</v>
      </c>
      <c r="T2400" s="6" t="s">
        <v>948</v>
      </c>
      <c r="U2400" s="6" t="s">
        <v>936</v>
      </c>
      <c r="V2400" s="2" t="s">
        <v>956</v>
      </c>
      <c r="W2400" t="str">
        <f t="shared" si="38"/>
        <v>_202410</v>
      </c>
      <c r="X2400" s="2" t="s">
        <v>1616</v>
      </c>
    </row>
    <row r="2401" spans="1:24" hidden="1" x14ac:dyDescent="0.35">
      <c r="C2401" s="1">
        <v>45572</v>
      </c>
      <c r="D2401" t="s">
        <v>3312</v>
      </c>
      <c r="F2401" t="s">
        <v>1974</v>
      </c>
      <c r="G2401" t="s">
        <v>1606</v>
      </c>
      <c r="H2401" t="s">
        <v>3331</v>
      </c>
      <c r="I2401" t="s">
        <v>1976</v>
      </c>
      <c r="S2401" t="s">
        <v>1061</v>
      </c>
      <c r="T2401" s="6" t="s">
        <v>948</v>
      </c>
      <c r="U2401" s="6" t="s">
        <v>936</v>
      </c>
      <c r="V2401" s="2" t="s">
        <v>956</v>
      </c>
      <c r="W2401" t="str">
        <f t="shared" si="38"/>
        <v>_202410</v>
      </c>
      <c r="X2401" s="2" t="s">
        <v>1616</v>
      </c>
    </row>
    <row r="2402" spans="1:24" hidden="1" x14ac:dyDescent="0.35">
      <c r="C2402" s="1">
        <v>45572</v>
      </c>
      <c r="D2402" t="s">
        <v>3313</v>
      </c>
      <c r="F2402" t="s">
        <v>1974</v>
      </c>
      <c r="G2402" t="s">
        <v>1603</v>
      </c>
      <c r="H2402" t="s">
        <v>3332</v>
      </c>
      <c r="I2402" t="s">
        <v>1976</v>
      </c>
      <c r="S2402" t="s">
        <v>1061</v>
      </c>
      <c r="T2402" s="6" t="s">
        <v>948</v>
      </c>
      <c r="U2402" s="6" t="s">
        <v>936</v>
      </c>
      <c r="V2402" s="2" t="s">
        <v>956</v>
      </c>
      <c r="W2402" t="str">
        <f t="shared" si="38"/>
        <v>_202410</v>
      </c>
      <c r="X2402" s="2" t="s">
        <v>1616</v>
      </c>
    </row>
    <row r="2403" spans="1:24" hidden="1" x14ac:dyDescent="0.35">
      <c r="C2403" s="1">
        <v>45572</v>
      </c>
      <c r="D2403" t="s">
        <v>3314</v>
      </c>
      <c r="F2403" t="s">
        <v>1974</v>
      </c>
      <c r="G2403" t="s">
        <v>1603</v>
      </c>
      <c r="H2403" t="s">
        <v>3333</v>
      </c>
      <c r="I2403" t="s">
        <v>1993</v>
      </c>
      <c r="S2403" t="s">
        <v>1061</v>
      </c>
      <c r="T2403" s="6" t="s">
        <v>948</v>
      </c>
      <c r="U2403" s="6" t="s">
        <v>936</v>
      </c>
      <c r="V2403" s="2" t="s">
        <v>956</v>
      </c>
      <c r="W2403" t="str">
        <f t="shared" si="38"/>
        <v>_202410</v>
      </c>
      <c r="X2403" s="2" t="s">
        <v>1616</v>
      </c>
    </row>
    <row r="2404" spans="1:24" hidden="1" x14ac:dyDescent="0.35">
      <c r="C2404" s="1">
        <v>45572</v>
      </c>
      <c r="D2404" t="s">
        <v>3315</v>
      </c>
      <c r="F2404" t="s">
        <v>1978</v>
      </c>
      <c r="G2404" t="s">
        <v>1603</v>
      </c>
      <c r="H2404" t="s">
        <v>3334</v>
      </c>
      <c r="I2404" t="s">
        <v>1983</v>
      </c>
      <c r="S2404" t="s">
        <v>1061</v>
      </c>
      <c r="T2404" s="6" t="s">
        <v>948</v>
      </c>
      <c r="U2404" s="6" t="s">
        <v>936</v>
      </c>
      <c r="V2404" s="2" t="s">
        <v>956</v>
      </c>
      <c r="W2404" t="str">
        <f t="shared" si="38"/>
        <v>_202410</v>
      </c>
      <c r="X2404" s="2" t="s">
        <v>1616</v>
      </c>
    </row>
    <row r="2405" spans="1:24" hidden="1" x14ac:dyDescent="0.35">
      <c r="C2405" s="1">
        <v>45572</v>
      </c>
      <c r="D2405" t="s">
        <v>3316</v>
      </c>
      <c r="F2405" t="s">
        <v>1974</v>
      </c>
      <c r="G2405" t="s">
        <v>2148</v>
      </c>
      <c r="H2405" t="s">
        <v>3335</v>
      </c>
      <c r="I2405" t="s">
        <v>1983</v>
      </c>
      <c r="S2405" t="s">
        <v>1061</v>
      </c>
      <c r="T2405" s="6" t="s">
        <v>948</v>
      </c>
      <c r="U2405" s="6" t="s">
        <v>936</v>
      </c>
      <c r="V2405" s="2" t="s">
        <v>956</v>
      </c>
      <c r="W2405" t="str">
        <f t="shared" si="38"/>
        <v>_202410</v>
      </c>
      <c r="X2405" s="2" t="s">
        <v>1616</v>
      </c>
    </row>
    <row r="2406" spans="1:24" hidden="1" x14ac:dyDescent="0.35">
      <c r="C2406" s="1">
        <v>45572</v>
      </c>
      <c r="D2406" t="s">
        <v>3317</v>
      </c>
      <c r="F2406" t="s">
        <v>1974</v>
      </c>
      <c r="G2406" t="s">
        <v>2013</v>
      </c>
      <c r="H2406" t="s">
        <v>3336</v>
      </c>
      <c r="I2406" t="s">
        <v>1989</v>
      </c>
      <c r="S2406" t="s">
        <v>1061</v>
      </c>
      <c r="T2406" s="6" t="s">
        <v>948</v>
      </c>
      <c r="U2406" s="6" t="s">
        <v>936</v>
      </c>
      <c r="V2406" s="2" t="s">
        <v>956</v>
      </c>
      <c r="W2406" t="str">
        <f t="shared" si="38"/>
        <v>_202410</v>
      </c>
      <c r="X2406" s="2" t="s">
        <v>1616</v>
      </c>
    </row>
    <row r="2407" spans="1:24" hidden="1" x14ac:dyDescent="0.35">
      <c r="C2407" s="1">
        <v>45572</v>
      </c>
      <c r="D2407" t="s">
        <v>3318</v>
      </c>
      <c r="F2407" t="s">
        <v>1978</v>
      </c>
      <c r="G2407" t="s">
        <v>1609</v>
      </c>
      <c r="H2407" t="s">
        <v>3337</v>
      </c>
      <c r="I2407" t="s">
        <v>1983</v>
      </c>
      <c r="S2407" t="s">
        <v>1061</v>
      </c>
      <c r="T2407" s="6" t="s">
        <v>948</v>
      </c>
      <c r="U2407" s="6" t="s">
        <v>936</v>
      </c>
      <c r="V2407" s="2" t="s">
        <v>956</v>
      </c>
      <c r="W2407" t="str">
        <f t="shared" si="38"/>
        <v>_202410</v>
      </c>
      <c r="X2407" s="2" t="s">
        <v>1616</v>
      </c>
    </row>
    <row r="2408" spans="1:24" hidden="1" x14ac:dyDescent="0.35">
      <c r="C2408" s="1">
        <v>45601</v>
      </c>
      <c r="D2408" t="s">
        <v>3319</v>
      </c>
      <c r="F2408" t="s">
        <v>1981</v>
      </c>
      <c r="G2408" t="s">
        <v>1750</v>
      </c>
      <c r="H2408" t="s">
        <v>3338</v>
      </c>
      <c r="I2408" t="s">
        <v>1989</v>
      </c>
      <c r="S2408" t="s">
        <v>1061</v>
      </c>
      <c r="T2408" s="6" t="s">
        <v>945</v>
      </c>
      <c r="U2408" s="6" t="s">
        <v>947</v>
      </c>
      <c r="V2408" s="2" t="s">
        <v>956</v>
      </c>
      <c r="W2408" t="str">
        <f t="shared" si="38"/>
        <v>_202411</v>
      </c>
      <c r="X2408" s="2" t="s">
        <v>1616</v>
      </c>
    </row>
    <row r="2409" spans="1:24" hidden="1" x14ac:dyDescent="0.35">
      <c r="C2409" s="1">
        <v>45601</v>
      </c>
      <c r="D2409" t="s">
        <v>3320</v>
      </c>
      <c r="F2409" t="s">
        <v>1974</v>
      </c>
      <c r="G2409" t="s">
        <v>1911</v>
      </c>
      <c r="H2409" t="s">
        <v>3339</v>
      </c>
      <c r="I2409" t="s">
        <v>1993</v>
      </c>
      <c r="S2409" t="s">
        <v>1061</v>
      </c>
      <c r="T2409" s="6" t="s">
        <v>945</v>
      </c>
      <c r="U2409" s="6" t="s">
        <v>947</v>
      </c>
      <c r="V2409" s="2" t="s">
        <v>956</v>
      </c>
      <c r="W2409" t="str">
        <f t="shared" si="38"/>
        <v>_202411</v>
      </c>
      <c r="X2409" s="2" t="s">
        <v>1616</v>
      </c>
    </row>
    <row r="2410" spans="1:24" hidden="1" x14ac:dyDescent="0.35">
      <c r="C2410" s="1">
        <v>45601</v>
      </c>
      <c r="D2410" t="s">
        <v>3321</v>
      </c>
      <c r="F2410" t="s">
        <v>1981</v>
      </c>
      <c r="G2410" t="s">
        <v>1606</v>
      </c>
      <c r="H2410" t="s">
        <v>3340</v>
      </c>
      <c r="I2410" t="s">
        <v>1976</v>
      </c>
      <c r="S2410" t="s">
        <v>1061</v>
      </c>
      <c r="T2410" s="6" t="s">
        <v>945</v>
      </c>
      <c r="U2410" s="6" t="s">
        <v>947</v>
      </c>
      <c r="V2410" s="2" t="s">
        <v>956</v>
      </c>
      <c r="W2410" t="str">
        <f t="shared" si="38"/>
        <v>_202411</v>
      </c>
      <c r="X2410" s="2" t="s">
        <v>1616</v>
      </c>
    </row>
    <row r="2411" spans="1:24" hidden="1" x14ac:dyDescent="0.35">
      <c r="C2411" s="1">
        <v>45601</v>
      </c>
      <c r="D2411" t="s">
        <v>3322</v>
      </c>
      <c r="F2411" t="s">
        <v>1978</v>
      </c>
      <c r="G2411" t="s">
        <v>1603</v>
      </c>
      <c r="H2411" t="s">
        <v>3341</v>
      </c>
      <c r="I2411" t="s">
        <v>1976</v>
      </c>
      <c r="S2411" t="s">
        <v>1061</v>
      </c>
      <c r="T2411" s="6" t="s">
        <v>945</v>
      </c>
      <c r="U2411" s="6" t="s">
        <v>947</v>
      </c>
      <c r="V2411" s="2" t="s">
        <v>956</v>
      </c>
      <c r="W2411" t="str">
        <f t="shared" si="38"/>
        <v>_202411</v>
      </c>
      <c r="X2411" s="2" t="s">
        <v>1616</v>
      </c>
    </row>
    <row r="2412" spans="1:24" hidden="1" x14ac:dyDescent="0.35">
      <c r="C2412" s="1">
        <v>45601</v>
      </c>
      <c r="D2412" t="s">
        <v>3323</v>
      </c>
      <c r="F2412" t="s">
        <v>1974</v>
      </c>
      <c r="G2412" t="s">
        <v>1673</v>
      </c>
      <c r="H2412" t="s">
        <v>3342</v>
      </c>
      <c r="I2412" t="s">
        <v>1976</v>
      </c>
      <c r="S2412" t="s">
        <v>1061</v>
      </c>
      <c r="T2412" s="6" t="s">
        <v>945</v>
      </c>
      <c r="U2412" s="6" t="s">
        <v>947</v>
      </c>
      <c r="V2412" s="2" t="s">
        <v>956</v>
      </c>
      <c r="W2412" t="str">
        <f t="shared" si="38"/>
        <v>_202411</v>
      </c>
      <c r="X2412" s="2" t="s">
        <v>1616</v>
      </c>
    </row>
    <row r="2413" spans="1:24" hidden="1" x14ac:dyDescent="0.35">
      <c r="A2413">
        <v>1</v>
      </c>
      <c r="C2413" s="1">
        <v>45660</v>
      </c>
      <c r="D2413" t="s">
        <v>3454</v>
      </c>
      <c r="F2413" t="s">
        <v>1991</v>
      </c>
      <c r="G2413" t="s">
        <v>20</v>
      </c>
      <c r="H2413" t="s">
        <v>3455</v>
      </c>
      <c r="I2413" t="s">
        <v>1993</v>
      </c>
      <c r="J2413">
        <v>0.7</v>
      </c>
      <c r="S2413" t="s">
        <v>1061</v>
      </c>
      <c r="T2413" s="5" t="s">
        <v>953</v>
      </c>
      <c r="U2413" s="5" t="s">
        <v>941</v>
      </c>
      <c r="V2413" t="s">
        <v>1650</v>
      </c>
      <c r="W2413" t="str">
        <f t="shared" si="38"/>
        <v>_20251</v>
      </c>
      <c r="X2413" t="s">
        <v>1615</v>
      </c>
    </row>
    <row r="2414" spans="1:24" hidden="1" x14ac:dyDescent="0.35">
      <c r="A2414">
        <v>2</v>
      </c>
      <c r="C2414" s="1">
        <v>45660</v>
      </c>
      <c r="D2414" t="s">
        <v>3456</v>
      </c>
      <c r="F2414" t="s">
        <v>1976</v>
      </c>
      <c r="G2414" t="s">
        <v>20</v>
      </c>
      <c r="H2414" t="s">
        <v>3457</v>
      </c>
      <c r="I2414" t="s">
        <v>1976</v>
      </c>
      <c r="J2414">
        <v>0.84299999999999997</v>
      </c>
      <c r="S2414" t="s">
        <v>1061</v>
      </c>
      <c r="T2414" s="5" t="s">
        <v>953</v>
      </c>
      <c r="U2414" s="5" t="s">
        <v>941</v>
      </c>
      <c r="V2414" t="s">
        <v>1650</v>
      </c>
      <c r="W2414" t="str">
        <f t="shared" si="38"/>
        <v>_20251</v>
      </c>
      <c r="X2414" t="s">
        <v>1615</v>
      </c>
    </row>
    <row r="2415" spans="1:24" hidden="1" x14ac:dyDescent="0.35">
      <c r="A2415">
        <v>70</v>
      </c>
      <c r="B2415">
        <v>2000024446</v>
      </c>
      <c r="C2415" s="1">
        <v>45803</v>
      </c>
      <c r="D2415" t="s">
        <v>2789</v>
      </c>
      <c r="E2415" t="s">
        <v>18</v>
      </c>
      <c r="F2415" t="s">
        <v>43</v>
      </c>
      <c r="G2415" t="s">
        <v>1606</v>
      </c>
      <c r="H2415" t="s">
        <v>3769</v>
      </c>
      <c r="I2415" t="s">
        <v>41</v>
      </c>
      <c r="J2415">
        <v>1</v>
      </c>
      <c r="K2415">
        <v>3</v>
      </c>
      <c r="L2415">
        <v>0</v>
      </c>
      <c r="M2415">
        <v>0.74</v>
      </c>
      <c r="N2415" t="s">
        <v>2314</v>
      </c>
      <c r="O2415" s="1">
        <v>46899</v>
      </c>
      <c r="R2415" t="s">
        <v>3719</v>
      </c>
      <c r="S2415" t="s">
        <v>915</v>
      </c>
      <c r="T2415" s="5">
        <v>5</v>
      </c>
      <c r="U2415" s="5">
        <v>26</v>
      </c>
      <c r="V2415">
        <v>2025</v>
      </c>
      <c r="W2415" t="str">
        <f t="shared" si="38"/>
        <v>2000024446_20255</v>
      </c>
      <c r="X2415" t="s">
        <v>1616</v>
      </c>
    </row>
    <row r="2416" spans="1:24" hidden="1" x14ac:dyDescent="0.35">
      <c r="A2416">
        <v>71</v>
      </c>
      <c r="B2416">
        <v>2000055468</v>
      </c>
      <c r="C2416" s="1">
        <v>45804</v>
      </c>
      <c r="D2416" t="s">
        <v>2504</v>
      </c>
      <c r="E2416" t="s">
        <v>18</v>
      </c>
      <c r="F2416" t="s">
        <v>43</v>
      </c>
      <c r="G2416" t="s">
        <v>1606</v>
      </c>
      <c r="H2416" t="s">
        <v>3770</v>
      </c>
      <c r="I2416" t="s">
        <v>41</v>
      </c>
      <c r="J2416">
        <v>0.98799999999999999</v>
      </c>
      <c r="K2416">
        <v>3</v>
      </c>
      <c r="L2416">
        <v>1</v>
      </c>
      <c r="M2416">
        <v>0.84</v>
      </c>
      <c r="N2416" t="s">
        <v>2314</v>
      </c>
      <c r="O2416" s="1">
        <v>46900</v>
      </c>
      <c r="R2416" t="s">
        <v>3719</v>
      </c>
      <c r="S2416" t="s">
        <v>915</v>
      </c>
      <c r="T2416" s="5">
        <v>5</v>
      </c>
      <c r="U2416" s="5">
        <v>27</v>
      </c>
      <c r="V2416">
        <v>2025</v>
      </c>
      <c r="W2416" t="str">
        <f t="shared" si="38"/>
        <v>2000055468_20255</v>
      </c>
      <c r="X2416" t="s">
        <v>1616</v>
      </c>
    </row>
    <row r="2417" spans="1:24" hidden="1" x14ac:dyDescent="0.35">
      <c r="A2417">
        <v>72</v>
      </c>
      <c r="B2417">
        <v>2000058840</v>
      </c>
      <c r="C2417" s="1">
        <v>45805</v>
      </c>
      <c r="D2417" t="s">
        <v>1799</v>
      </c>
      <c r="E2417" t="s">
        <v>18</v>
      </c>
      <c r="F2417" t="s">
        <v>18</v>
      </c>
      <c r="G2417" t="s">
        <v>3771</v>
      </c>
      <c r="H2417" t="s">
        <v>3772</v>
      </c>
      <c r="I2417" t="s">
        <v>22</v>
      </c>
      <c r="N2417" t="s">
        <v>2314</v>
      </c>
      <c r="O2417" s="1">
        <v>46901</v>
      </c>
      <c r="R2417" t="s">
        <v>3719</v>
      </c>
      <c r="S2417" t="s">
        <v>915</v>
      </c>
      <c r="T2417" s="5">
        <v>5</v>
      </c>
      <c r="U2417" s="5">
        <v>28</v>
      </c>
      <c r="V2417">
        <v>2025</v>
      </c>
      <c r="W2417" t="str">
        <f t="shared" si="38"/>
        <v>2000058840_20255</v>
      </c>
      <c r="X2417" t="s">
        <v>1616</v>
      </c>
    </row>
    <row r="2418" spans="1:24" hidden="1" x14ac:dyDescent="0.35">
      <c r="A2418">
        <v>73</v>
      </c>
      <c r="B2418">
        <v>2000057945</v>
      </c>
      <c r="C2418" s="1">
        <v>45806</v>
      </c>
      <c r="D2418" t="s">
        <v>2972</v>
      </c>
      <c r="E2418" t="s">
        <v>18</v>
      </c>
      <c r="F2418" t="s">
        <v>32</v>
      </c>
      <c r="G2418" t="s">
        <v>3771</v>
      </c>
      <c r="H2418" t="s">
        <v>2973</v>
      </c>
      <c r="I2418" t="s">
        <v>41</v>
      </c>
      <c r="N2418" t="s">
        <v>2314</v>
      </c>
      <c r="O2418" s="1">
        <v>46902</v>
      </c>
      <c r="R2418" t="s">
        <v>3719</v>
      </c>
      <c r="S2418" t="s">
        <v>915</v>
      </c>
      <c r="T2418" s="5">
        <v>5</v>
      </c>
      <c r="U2418" s="5">
        <v>29</v>
      </c>
      <c r="V2418">
        <v>2025</v>
      </c>
      <c r="W2418" t="str">
        <f t="shared" si="38"/>
        <v>2000057945_20255</v>
      </c>
      <c r="X2418" t="s">
        <v>1616</v>
      </c>
    </row>
    <row r="2419" spans="1:24" hidden="1" x14ac:dyDescent="0.35">
      <c r="A2419">
        <v>74</v>
      </c>
      <c r="B2419">
        <v>2000056871</v>
      </c>
      <c r="C2419" s="1">
        <v>45807</v>
      </c>
      <c r="D2419" t="s">
        <v>2743</v>
      </c>
      <c r="E2419" t="s">
        <v>18</v>
      </c>
      <c r="F2419" t="s">
        <v>43</v>
      </c>
      <c r="G2419" t="s">
        <v>3773</v>
      </c>
      <c r="H2419" t="s">
        <v>2744</v>
      </c>
      <c r="I2419" t="s">
        <v>22</v>
      </c>
      <c r="J2419">
        <v>0.97899999999999998</v>
      </c>
      <c r="K2419">
        <v>3</v>
      </c>
      <c r="L2419">
        <v>1</v>
      </c>
      <c r="M2419">
        <v>0.75</v>
      </c>
      <c r="N2419" t="s">
        <v>2314</v>
      </c>
      <c r="O2419" s="1">
        <v>46903</v>
      </c>
      <c r="P2419" t="s">
        <v>3774</v>
      </c>
      <c r="R2419" t="s">
        <v>3719</v>
      </c>
      <c r="S2419" t="s">
        <v>915</v>
      </c>
      <c r="T2419" s="5">
        <v>5</v>
      </c>
      <c r="U2419" s="5">
        <v>30</v>
      </c>
      <c r="V2419">
        <v>2025</v>
      </c>
      <c r="W2419" t="str">
        <f t="shared" si="38"/>
        <v>2000056871_20255</v>
      </c>
      <c r="X2419" t="s">
        <v>1616</v>
      </c>
    </row>
    <row r="2420" spans="1:24" hidden="1" x14ac:dyDescent="0.35">
      <c r="A2420">
        <v>75</v>
      </c>
      <c r="B2420">
        <v>2000042042</v>
      </c>
      <c r="C2420" s="1">
        <v>45810</v>
      </c>
      <c r="D2420" t="s">
        <v>3010</v>
      </c>
      <c r="E2420" t="s">
        <v>18</v>
      </c>
      <c r="F2420" t="s">
        <v>3728</v>
      </c>
      <c r="G2420" t="s">
        <v>1606</v>
      </c>
      <c r="H2420" t="s">
        <v>3012</v>
      </c>
      <c r="I2420" t="s">
        <v>41</v>
      </c>
      <c r="J2420">
        <v>1</v>
      </c>
      <c r="K2420">
        <v>3</v>
      </c>
      <c r="L2420">
        <v>0</v>
      </c>
      <c r="M2420">
        <v>0.76</v>
      </c>
      <c r="N2420" t="s">
        <v>2314</v>
      </c>
      <c r="O2420" s="1">
        <v>46906</v>
      </c>
      <c r="R2420" t="s">
        <v>3719</v>
      </c>
      <c r="S2420" t="s">
        <v>915</v>
      </c>
      <c r="T2420" s="5">
        <v>6</v>
      </c>
      <c r="U2420" s="5">
        <v>2</v>
      </c>
      <c r="V2420">
        <v>2025</v>
      </c>
      <c r="W2420" t="str">
        <f t="shared" si="38"/>
        <v>2000042042_20256</v>
      </c>
      <c r="X2420" t="s">
        <v>1616</v>
      </c>
    </row>
    <row r="2421" spans="1:24" hidden="1" x14ac:dyDescent="0.35">
      <c r="B2421" t="s">
        <v>1092</v>
      </c>
      <c r="C2421" s="1">
        <v>45808</v>
      </c>
      <c r="D2421" t="s">
        <v>3775</v>
      </c>
      <c r="S2421" t="s">
        <v>1092</v>
      </c>
      <c r="T2421" s="5">
        <v>5</v>
      </c>
      <c r="U2421" s="5">
        <v>31</v>
      </c>
      <c r="V2421">
        <v>2025</v>
      </c>
      <c r="W2421" t="str">
        <f t="shared" si="38"/>
        <v>SA_New_20255</v>
      </c>
      <c r="X2421" t="s">
        <v>1616</v>
      </c>
    </row>
    <row r="2422" spans="1:24" hidden="1" x14ac:dyDescent="0.35">
      <c r="B2422" t="s">
        <v>1092</v>
      </c>
      <c r="C2422" s="1">
        <v>45808</v>
      </c>
      <c r="D2422" t="s">
        <v>3775</v>
      </c>
      <c r="S2422" t="s">
        <v>1092</v>
      </c>
      <c r="T2422" s="5">
        <v>5</v>
      </c>
      <c r="U2422" s="5">
        <v>31</v>
      </c>
      <c r="V2422">
        <v>2025</v>
      </c>
      <c r="W2422" t="str">
        <f t="shared" si="38"/>
        <v>SA_New_20255</v>
      </c>
      <c r="X2422" t="s">
        <v>1616</v>
      </c>
    </row>
    <row r="2423" spans="1:24" hidden="1" x14ac:dyDescent="0.35">
      <c r="B2423" t="s">
        <v>1092</v>
      </c>
      <c r="C2423" s="1">
        <v>45812</v>
      </c>
      <c r="D2423" t="s">
        <v>3776</v>
      </c>
      <c r="S2423" t="s">
        <v>1092</v>
      </c>
      <c r="T2423" s="5">
        <v>6</v>
      </c>
      <c r="U2423" s="5">
        <v>4</v>
      </c>
      <c r="V2423">
        <v>2025</v>
      </c>
      <c r="W2423" t="str">
        <f t="shared" si="38"/>
        <v>SA_New_20256</v>
      </c>
      <c r="X2423" t="s">
        <v>1616</v>
      </c>
    </row>
    <row r="2424" spans="1:24" hidden="1" x14ac:dyDescent="0.35">
      <c r="A2424">
        <v>76</v>
      </c>
      <c r="B2424">
        <v>2000058193</v>
      </c>
      <c r="C2424" s="1">
        <v>45814</v>
      </c>
      <c r="D2424" t="s">
        <v>3031</v>
      </c>
      <c r="E2424" t="s">
        <v>18</v>
      </c>
      <c r="F2424" t="s">
        <v>43</v>
      </c>
      <c r="G2424" t="s">
        <v>1606</v>
      </c>
      <c r="H2424" t="s">
        <v>3777</v>
      </c>
      <c r="I2424" t="s">
        <v>41</v>
      </c>
      <c r="J2424">
        <f>[1]South!$J$84</f>
        <v>0.96699999999999997</v>
      </c>
      <c r="K2424">
        <f>[1]South!$K$84</f>
        <v>3</v>
      </c>
      <c r="L2424">
        <f>[1]South!$L$84</f>
        <v>2</v>
      </c>
      <c r="M2424">
        <f>[1]South!$M$84</f>
        <v>0.94</v>
      </c>
      <c r="N2424" t="str">
        <f>[1]South!$N$84</f>
        <v>3 years</v>
      </c>
      <c r="O2424" s="1">
        <v>46910</v>
      </c>
      <c r="R2424" t="s">
        <v>3719</v>
      </c>
      <c r="S2424" t="s">
        <v>915</v>
      </c>
      <c r="T2424" s="5">
        <v>6</v>
      </c>
      <c r="U2424" s="5">
        <v>6</v>
      </c>
      <c r="V2424">
        <v>2025</v>
      </c>
      <c r="W2424" t="str">
        <f>CONCATENATE(B2424,"_",V2424,T2424)</f>
        <v>2000058193_20256</v>
      </c>
      <c r="X2424" t="s">
        <v>1616</v>
      </c>
    </row>
    <row r="2425" spans="1:24" hidden="1" x14ac:dyDescent="0.35">
      <c r="A2425">
        <v>77</v>
      </c>
      <c r="B2425">
        <v>2000058020</v>
      </c>
      <c r="C2425" s="1">
        <v>45817</v>
      </c>
      <c r="D2425" t="s">
        <v>1758</v>
      </c>
      <c r="E2425" t="s">
        <v>18</v>
      </c>
      <c r="F2425" t="s">
        <v>19</v>
      </c>
      <c r="G2425" t="s">
        <v>1759</v>
      </c>
      <c r="H2425" t="s">
        <v>1760</v>
      </c>
      <c r="I2425" t="s">
        <v>22</v>
      </c>
      <c r="J2425">
        <f>[1]South!$J$85</f>
        <v>0.97899999999999998</v>
      </c>
      <c r="K2425">
        <f>[1]South!$K$85</f>
        <v>3</v>
      </c>
      <c r="L2425">
        <f>[1]South!$L$85</f>
        <v>1</v>
      </c>
      <c r="M2425">
        <f>[1]South!$M$85</f>
        <v>0.91</v>
      </c>
      <c r="N2425" t="str">
        <f>[1]South!$N$85</f>
        <v>3 years</v>
      </c>
      <c r="O2425" s="1">
        <v>46913</v>
      </c>
      <c r="Q2425" t="s">
        <v>3778</v>
      </c>
      <c r="R2425" t="s">
        <v>3719</v>
      </c>
      <c r="S2425" t="s">
        <v>915</v>
      </c>
      <c r="T2425" s="5">
        <v>6</v>
      </c>
      <c r="U2425" s="5">
        <v>9</v>
      </c>
      <c r="V2425">
        <v>2025</v>
      </c>
      <c r="W2425" t="str">
        <f>CONCATENATE(B2425,"_",V2425,T2425)</f>
        <v>2000058020_20256</v>
      </c>
      <c r="X2425" t="s">
        <v>1616</v>
      </c>
    </row>
    <row r="2426" spans="1:24" hidden="1" x14ac:dyDescent="0.35">
      <c r="B2426" t="s">
        <v>1092</v>
      </c>
      <c r="C2426" s="1">
        <v>45818</v>
      </c>
      <c r="D2426" t="s">
        <v>3779</v>
      </c>
      <c r="S2426" t="s">
        <v>1092</v>
      </c>
      <c r="T2426" s="5">
        <v>6</v>
      </c>
      <c r="U2426" s="5">
        <v>10</v>
      </c>
      <c r="V2426">
        <v>2025</v>
      </c>
      <c r="W2426" t="str">
        <f t="shared" ref="W2426:W2428" si="39">CONCATENATE(B2426,"_",V2426,T2426)</f>
        <v>SA_New_20256</v>
      </c>
      <c r="X2426" t="s">
        <v>1616</v>
      </c>
    </row>
    <row r="2427" spans="1:24" hidden="1" x14ac:dyDescent="0.35">
      <c r="B2427" t="s">
        <v>1092</v>
      </c>
      <c r="C2427" s="1">
        <v>45819</v>
      </c>
      <c r="D2427" t="s">
        <v>3780</v>
      </c>
      <c r="S2427" t="s">
        <v>1092</v>
      </c>
      <c r="T2427" s="5">
        <v>6</v>
      </c>
      <c r="U2427" s="5">
        <v>11</v>
      </c>
      <c r="V2427">
        <v>2025</v>
      </c>
      <c r="W2427" t="str">
        <f t="shared" si="39"/>
        <v>SA_New_20256</v>
      </c>
      <c r="X2427" t="s">
        <v>1616</v>
      </c>
    </row>
    <row r="2428" spans="1:24" hidden="1" x14ac:dyDescent="0.35">
      <c r="B2428" t="s">
        <v>1092</v>
      </c>
      <c r="C2428" s="1">
        <v>45819</v>
      </c>
      <c r="D2428" t="s">
        <v>3781</v>
      </c>
      <c r="S2428" t="s">
        <v>1092</v>
      </c>
      <c r="T2428" s="5">
        <v>6</v>
      </c>
      <c r="U2428" s="5">
        <v>11</v>
      </c>
      <c r="V2428">
        <v>2025</v>
      </c>
      <c r="W2428" t="str">
        <f t="shared" si="39"/>
        <v>SA_New_20256</v>
      </c>
      <c r="X2428" t="s">
        <v>1616</v>
      </c>
    </row>
    <row r="2429" spans="1:24" hidden="1" x14ac:dyDescent="0.35">
      <c r="A2429">
        <v>78</v>
      </c>
      <c r="B2429">
        <v>2000055936</v>
      </c>
      <c r="C2429" s="1">
        <v>45819</v>
      </c>
      <c r="D2429" t="s">
        <v>3782</v>
      </c>
      <c r="E2429" t="s">
        <v>18</v>
      </c>
      <c r="F2429" t="s">
        <v>1701</v>
      </c>
      <c r="G2429" t="s">
        <v>1606</v>
      </c>
      <c r="H2429" t="s">
        <v>3783</v>
      </c>
      <c r="I2429" t="s">
        <v>41</v>
      </c>
      <c r="J2429">
        <v>0.81299999999999994</v>
      </c>
      <c r="K2429">
        <v>3</v>
      </c>
      <c r="L2429">
        <v>0</v>
      </c>
      <c r="M2429">
        <v>0.75</v>
      </c>
      <c r="N2429" t="s">
        <v>2310</v>
      </c>
      <c r="O2429" s="1">
        <v>46549</v>
      </c>
      <c r="R2429" t="s">
        <v>3719</v>
      </c>
      <c r="S2429" t="s">
        <v>915</v>
      </c>
      <c r="T2429" s="5">
        <v>6</v>
      </c>
      <c r="U2429" s="5">
        <v>11</v>
      </c>
      <c r="V2429">
        <v>2025</v>
      </c>
      <c r="W2429" t="str">
        <f>CONCATENATE(B2429,"_",V2429,T2429)</f>
        <v>2000055936_20256</v>
      </c>
      <c r="X2429" t="s">
        <v>1616</v>
      </c>
    </row>
    <row r="2430" spans="1:24" hidden="1" x14ac:dyDescent="0.35">
      <c r="A2430">
        <v>79</v>
      </c>
      <c r="B2430">
        <v>2000057992</v>
      </c>
      <c r="C2430" s="1">
        <v>45820</v>
      </c>
      <c r="D2430" t="s">
        <v>2980</v>
      </c>
      <c r="E2430" t="s">
        <v>18</v>
      </c>
      <c r="F2430" t="s">
        <v>18</v>
      </c>
      <c r="G2430" t="s">
        <v>1606</v>
      </c>
      <c r="H2430" t="s">
        <v>3784</v>
      </c>
      <c r="I2430" t="s">
        <v>41</v>
      </c>
      <c r="J2430">
        <v>0.90200000000000002</v>
      </c>
      <c r="K2430">
        <v>3</v>
      </c>
      <c r="L2430">
        <v>1</v>
      </c>
      <c r="M2430">
        <v>0.75</v>
      </c>
      <c r="N2430" t="s">
        <v>2314</v>
      </c>
      <c r="O2430" s="1">
        <v>46916</v>
      </c>
      <c r="R2430" t="s">
        <v>3719</v>
      </c>
      <c r="S2430" t="s">
        <v>915</v>
      </c>
      <c r="T2430" s="5">
        <v>6</v>
      </c>
      <c r="U2430" s="5">
        <v>12</v>
      </c>
      <c r="V2430">
        <v>2025</v>
      </c>
      <c r="W2430" t="str">
        <f>CONCATENATE(B2430,"_",V2430,T2430)</f>
        <v>2000057992_20256</v>
      </c>
      <c r="X2430" t="s">
        <v>1616</v>
      </c>
    </row>
    <row r="2431" spans="1:24" hidden="1" x14ac:dyDescent="0.35">
      <c r="A2431">
        <v>80</v>
      </c>
      <c r="B2431">
        <v>2000055165</v>
      </c>
      <c r="C2431" s="1">
        <v>45821</v>
      </c>
      <c r="D2431" t="s">
        <v>3785</v>
      </c>
      <c r="E2431" t="s">
        <v>18</v>
      </c>
      <c r="F2431" t="s">
        <v>376</v>
      </c>
      <c r="G2431" t="s">
        <v>1606</v>
      </c>
      <c r="H2431" t="s">
        <v>3786</v>
      </c>
      <c r="I2431" t="s">
        <v>22</v>
      </c>
      <c r="J2431">
        <v>1</v>
      </c>
      <c r="K2431">
        <v>3</v>
      </c>
      <c r="L2431">
        <v>0</v>
      </c>
      <c r="M2431">
        <v>0.77</v>
      </c>
      <c r="N2431" t="s">
        <v>2314</v>
      </c>
      <c r="O2431" s="1">
        <v>46917</v>
      </c>
      <c r="R2431" t="s">
        <v>3719</v>
      </c>
      <c r="S2431" t="s">
        <v>915</v>
      </c>
      <c r="T2431" s="5">
        <v>6</v>
      </c>
      <c r="U2431" s="5">
        <v>13</v>
      </c>
      <c r="V2431">
        <v>2025</v>
      </c>
      <c r="W2431" t="str">
        <f>CONCATENATE(B2431,"_",V2431,T2431)</f>
        <v>2000055165_20256</v>
      </c>
      <c r="X2431" t="s">
        <v>1616</v>
      </c>
    </row>
    <row r="2432" spans="1:24" hidden="1" x14ac:dyDescent="0.35">
      <c r="A2432">
        <f t="shared" ref="A2432:A2442" si="40">A2431+1</f>
        <v>81</v>
      </c>
      <c r="B2432">
        <v>2000057174</v>
      </c>
      <c r="C2432" s="1">
        <v>45824</v>
      </c>
      <c r="D2432" t="s">
        <v>2800</v>
      </c>
      <c r="E2432" t="s">
        <v>18</v>
      </c>
      <c r="F2432" t="s">
        <v>19</v>
      </c>
      <c r="G2432" t="s">
        <v>1820</v>
      </c>
      <c r="H2432" t="s">
        <v>2803</v>
      </c>
      <c r="I2432" t="s">
        <v>22</v>
      </c>
      <c r="J2432">
        <f>[1]South!$J$89</f>
        <v>1</v>
      </c>
      <c r="K2432">
        <f>[1]South!$K$85</f>
        <v>3</v>
      </c>
      <c r="L2432">
        <v>0</v>
      </c>
      <c r="M2432">
        <v>0.95</v>
      </c>
      <c r="N2432" t="s">
        <v>2314</v>
      </c>
      <c r="O2432" s="1">
        <v>46920</v>
      </c>
      <c r="S2432" t="s">
        <v>915</v>
      </c>
      <c r="T2432" s="5">
        <v>6</v>
      </c>
      <c r="U2432" s="5">
        <v>16</v>
      </c>
      <c r="V2432">
        <v>2025</v>
      </c>
      <c r="W2432" t="str">
        <f t="shared" ref="W2432:W2495" si="41">CONCATENATE(B2432,"_",V2432,T2432)</f>
        <v>2000057174_20256</v>
      </c>
      <c r="X2432" t="s">
        <v>1616</v>
      </c>
    </row>
    <row r="2433" spans="1:24" hidden="1" x14ac:dyDescent="0.35">
      <c r="A2433">
        <f t="shared" si="40"/>
        <v>82</v>
      </c>
      <c r="B2433">
        <v>2000057177</v>
      </c>
      <c r="C2433" s="1">
        <v>45825</v>
      </c>
      <c r="D2433" t="s">
        <v>3787</v>
      </c>
      <c r="E2433" t="s">
        <v>18</v>
      </c>
      <c r="F2433" t="s">
        <v>18</v>
      </c>
      <c r="G2433" t="s">
        <v>1606</v>
      </c>
      <c r="H2433" t="s">
        <v>3788</v>
      </c>
      <c r="I2433" t="s">
        <v>41</v>
      </c>
      <c r="J2433">
        <f>[1]South!$J$90</f>
        <v>0.89100000000000001</v>
      </c>
      <c r="K2433">
        <f>[1]South!$K$85</f>
        <v>3</v>
      </c>
      <c r="L2433">
        <v>2</v>
      </c>
      <c r="M2433">
        <v>0.72</v>
      </c>
      <c r="N2433" t="s">
        <v>2314</v>
      </c>
      <c r="O2433" s="1">
        <v>46921</v>
      </c>
      <c r="S2433" t="s">
        <v>915</v>
      </c>
      <c r="T2433" s="5">
        <v>6</v>
      </c>
      <c r="U2433" s="5">
        <v>17</v>
      </c>
      <c r="V2433">
        <v>2025</v>
      </c>
      <c r="W2433" t="str">
        <f t="shared" si="41"/>
        <v>2000057177_20256</v>
      </c>
      <c r="X2433" t="s">
        <v>1616</v>
      </c>
    </row>
    <row r="2434" spans="1:24" hidden="1" x14ac:dyDescent="0.35">
      <c r="A2434">
        <f t="shared" si="40"/>
        <v>83</v>
      </c>
      <c r="B2434">
        <v>2000056254</v>
      </c>
      <c r="C2434" s="1">
        <v>45826</v>
      </c>
      <c r="D2434" t="s">
        <v>2615</v>
      </c>
      <c r="E2434" t="s">
        <v>18</v>
      </c>
      <c r="F2434" t="s">
        <v>39</v>
      </c>
      <c r="G2434" t="s">
        <v>1606</v>
      </c>
      <c r="H2434" t="s">
        <v>2616</v>
      </c>
      <c r="I2434" t="s">
        <v>41</v>
      </c>
      <c r="J2434">
        <f>[1]South!$J$91</f>
        <v>1</v>
      </c>
      <c r="K2434">
        <f>[1]South!$K$85</f>
        <v>3</v>
      </c>
      <c r="L2434">
        <v>0</v>
      </c>
      <c r="M2434">
        <v>0.9</v>
      </c>
      <c r="N2434" t="s">
        <v>2314</v>
      </c>
      <c r="O2434" s="1">
        <v>46922</v>
      </c>
      <c r="S2434" t="s">
        <v>915</v>
      </c>
      <c r="T2434" s="5">
        <v>6</v>
      </c>
      <c r="U2434" s="5">
        <v>18</v>
      </c>
      <c r="V2434">
        <v>2025</v>
      </c>
      <c r="W2434" t="str">
        <f t="shared" si="41"/>
        <v>2000056254_20256</v>
      </c>
      <c r="X2434" t="s">
        <v>1616</v>
      </c>
    </row>
    <row r="2435" spans="1:24" hidden="1" x14ac:dyDescent="0.35">
      <c r="A2435">
        <f t="shared" si="40"/>
        <v>84</v>
      </c>
      <c r="B2435">
        <v>2000057364</v>
      </c>
      <c r="C2435" s="1">
        <v>45827</v>
      </c>
      <c r="D2435" t="s">
        <v>3789</v>
      </c>
      <c r="E2435" t="s">
        <v>18</v>
      </c>
      <c r="F2435" t="s">
        <v>32</v>
      </c>
      <c r="G2435" t="s">
        <v>1606</v>
      </c>
      <c r="H2435" t="s">
        <v>2838</v>
      </c>
      <c r="I2435" t="s">
        <v>41</v>
      </c>
      <c r="J2435">
        <f>[1]South!$J$92</f>
        <v>0.90600000000000003</v>
      </c>
      <c r="K2435">
        <f>[1]South!$K$85</f>
        <v>3</v>
      </c>
      <c r="L2435">
        <v>1</v>
      </c>
      <c r="M2435">
        <v>0.87</v>
      </c>
      <c r="N2435" t="s">
        <v>2314</v>
      </c>
      <c r="O2435" s="1">
        <v>46923</v>
      </c>
      <c r="S2435" t="s">
        <v>915</v>
      </c>
      <c r="T2435" s="5">
        <v>6</v>
      </c>
      <c r="U2435" s="5">
        <v>19</v>
      </c>
      <c r="V2435">
        <v>2025</v>
      </c>
      <c r="W2435" t="str">
        <f t="shared" si="41"/>
        <v>2000057364_20256</v>
      </c>
      <c r="X2435" t="s">
        <v>1616</v>
      </c>
    </row>
    <row r="2436" spans="1:24" hidden="1" x14ac:dyDescent="0.35">
      <c r="A2436">
        <f t="shared" si="40"/>
        <v>85</v>
      </c>
      <c r="B2436">
        <v>2000058223</v>
      </c>
      <c r="C2436" s="1">
        <v>45831</v>
      </c>
      <c r="D2436" t="s">
        <v>3790</v>
      </c>
      <c r="E2436" t="s">
        <v>18</v>
      </c>
      <c r="F2436" t="s">
        <v>39</v>
      </c>
      <c r="G2436" t="s">
        <v>1687</v>
      </c>
      <c r="H2436" t="s">
        <v>3046</v>
      </c>
      <c r="I2436" t="s">
        <v>41</v>
      </c>
      <c r="J2436">
        <f>[1]South!$J$93</f>
        <v>0.97499999999999998</v>
      </c>
      <c r="K2436">
        <f>[1]South!$K$85</f>
        <v>3</v>
      </c>
      <c r="L2436">
        <v>1</v>
      </c>
      <c r="M2436">
        <v>0.82</v>
      </c>
      <c r="N2436" t="s">
        <v>2314</v>
      </c>
      <c r="O2436" s="1">
        <v>46927</v>
      </c>
      <c r="S2436" t="s">
        <v>915</v>
      </c>
      <c r="T2436" s="5">
        <v>6</v>
      </c>
      <c r="U2436" s="5">
        <v>23</v>
      </c>
      <c r="V2436">
        <v>2025</v>
      </c>
      <c r="W2436" t="str">
        <f t="shared" si="41"/>
        <v>2000058223_20256</v>
      </c>
      <c r="X2436" t="s">
        <v>1616</v>
      </c>
    </row>
    <row r="2437" spans="1:24" hidden="1" x14ac:dyDescent="0.35">
      <c r="A2437">
        <f t="shared" si="40"/>
        <v>86</v>
      </c>
      <c r="B2437">
        <v>2000056733</v>
      </c>
      <c r="C2437" s="1">
        <v>45832</v>
      </c>
      <c r="D2437" t="s">
        <v>2712</v>
      </c>
      <c r="E2437" t="s">
        <v>18</v>
      </c>
      <c r="F2437" t="s">
        <v>1701</v>
      </c>
      <c r="G2437" t="s">
        <v>1609</v>
      </c>
      <c r="H2437" t="s">
        <v>3791</v>
      </c>
      <c r="I2437" t="s">
        <v>41</v>
      </c>
      <c r="J2437">
        <f>[1]South!$J$94</f>
        <v>1</v>
      </c>
      <c r="K2437">
        <f>[1]South!$K$85</f>
        <v>3</v>
      </c>
      <c r="L2437">
        <v>0</v>
      </c>
      <c r="M2437">
        <v>0.9</v>
      </c>
      <c r="N2437" t="s">
        <v>2314</v>
      </c>
      <c r="O2437" s="1">
        <v>46927</v>
      </c>
      <c r="S2437" t="s">
        <v>915</v>
      </c>
      <c r="T2437" s="5">
        <v>6</v>
      </c>
      <c r="U2437" s="5">
        <v>24</v>
      </c>
      <c r="V2437">
        <v>2025</v>
      </c>
      <c r="W2437" t="str">
        <f t="shared" si="41"/>
        <v>2000056733_20256</v>
      </c>
      <c r="X2437" t="s">
        <v>1616</v>
      </c>
    </row>
    <row r="2438" spans="1:24" hidden="1" x14ac:dyDescent="0.35">
      <c r="A2438">
        <f t="shared" si="40"/>
        <v>87</v>
      </c>
      <c r="B2438" t="s">
        <v>1092</v>
      </c>
      <c r="C2438" s="1">
        <v>45812</v>
      </c>
      <c r="D2438" t="s">
        <v>3792</v>
      </c>
      <c r="S2438" t="s">
        <v>1092</v>
      </c>
      <c r="T2438" s="5">
        <v>6</v>
      </c>
      <c r="U2438" s="5">
        <v>4</v>
      </c>
      <c r="V2438">
        <v>2025</v>
      </c>
      <c r="W2438" t="str">
        <f t="shared" si="41"/>
        <v>SA_New_20256</v>
      </c>
      <c r="X2438" t="s">
        <v>1616</v>
      </c>
    </row>
    <row r="2439" spans="1:24" hidden="1" x14ac:dyDescent="0.35">
      <c r="A2439">
        <f t="shared" si="40"/>
        <v>88</v>
      </c>
      <c r="B2439" t="s">
        <v>1092</v>
      </c>
      <c r="C2439" s="1">
        <v>45832</v>
      </c>
      <c r="D2439" t="s">
        <v>3793</v>
      </c>
      <c r="S2439" t="s">
        <v>1092</v>
      </c>
      <c r="T2439" s="5">
        <v>6</v>
      </c>
      <c r="U2439" s="5">
        <v>24</v>
      </c>
      <c r="V2439">
        <v>2025</v>
      </c>
      <c r="W2439" t="str">
        <f t="shared" si="41"/>
        <v>SA_New_20256</v>
      </c>
      <c r="X2439" t="s">
        <v>1616</v>
      </c>
    </row>
    <row r="2440" spans="1:24" hidden="1" x14ac:dyDescent="0.35">
      <c r="A2440">
        <f t="shared" si="40"/>
        <v>89</v>
      </c>
      <c r="B2440" t="s">
        <v>1092</v>
      </c>
      <c r="C2440" s="1">
        <v>45832</v>
      </c>
      <c r="D2440" t="s">
        <v>3794</v>
      </c>
      <c r="S2440" t="s">
        <v>1092</v>
      </c>
      <c r="T2440" s="5">
        <v>6</v>
      </c>
      <c r="U2440" s="5">
        <v>24</v>
      </c>
      <c r="V2440">
        <v>2025</v>
      </c>
      <c r="W2440" t="str">
        <f t="shared" si="41"/>
        <v>SA_New_20256</v>
      </c>
      <c r="X2440" t="s">
        <v>1616</v>
      </c>
    </row>
    <row r="2441" spans="1:24" hidden="1" x14ac:dyDescent="0.35">
      <c r="A2441">
        <f t="shared" si="40"/>
        <v>90</v>
      </c>
      <c r="B2441" t="s">
        <v>1092</v>
      </c>
      <c r="C2441" s="1">
        <v>45832</v>
      </c>
      <c r="D2441" t="s">
        <v>3795</v>
      </c>
      <c r="S2441" t="s">
        <v>1092</v>
      </c>
      <c r="T2441" s="5">
        <v>6</v>
      </c>
      <c r="U2441" s="5">
        <v>24</v>
      </c>
      <c r="V2441">
        <v>2025</v>
      </c>
      <c r="W2441" t="str">
        <f t="shared" si="41"/>
        <v>SA_New_20256</v>
      </c>
      <c r="X2441" t="s">
        <v>1616</v>
      </c>
    </row>
    <row r="2442" spans="1:24" hidden="1" x14ac:dyDescent="0.35">
      <c r="A2442">
        <f t="shared" si="40"/>
        <v>91</v>
      </c>
      <c r="B2442" t="s">
        <v>1092</v>
      </c>
      <c r="C2442" s="1">
        <v>45832</v>
      </c>
      <c r="D2442" t="s">
        <v>3796</v>
      </c>
      <c r="S2442" t="s">
        <v>1092</v>
      </c>
      <c r="T2442" s="5">
        <v>6</v>
      </c>
      <c r="U2442" s="5">
        <v>24</v>
      </c>
      <c r="V2442">
        <v>2025</v>
      </c>
      <c r="W2442" t="str">
        <f t="shared" si="41"/>
        <v>SA_New_20256</v>
      </c>
      <c r="X2442" t="s">
        <v>1616</v>
      </c>
    </row>
    <row r="2443" spans="1:24" hidden="1" x14ac:dyDescent="0.35">
      <c r="A2443">
        <v>50</v>
      </c>
      <c r="B2443">
        <v>2000057272</v>
      </c>
      <c r="C2443" s="1">
        <v>45831</v>
      </c>
      <c r="D2443" t="s">
        <v>202</v>
      </c>
      <c r="E2443" t="s">
        <v>18</v>
      </c>
      <c r="F2443" t="s">
        <v>39</v>
      </c>
      <c r="G2443" t="s">
        <v>20</v>
      </c>
      <c r="H2443" t="s">
        <v>3797</v>
      </c>
      <c r="I2443" t="s">
        <v>39</v>
      </c>
      <c r="J2443">
        <v>0.80600000000000005</v>
      </c>
      <c r="K2443">
        <v>2.7</v>
      </c>
      <c r="L2443">
        <v>5</v>
      </c>
      <c r="M2443">
        <v>0.65</v>
      </c>
      <c r="N2443" t="s">
        <v>28</v>
      </c>
      <c r="O2443" s="1">
        <v>46561</v>
      </c>
      <c r="S2443" s="9" t="s">
        <v>915</v>
      </c>
      <c r="T2443" s="2">
        <v>6</v>
      </c>
      <c r="U2443" s="2">
        <v>23</v>
      </c>
      <c r="V2443" s="2">
        <v>2025</v>
      </c>
      <c r="W2443" t="str">
        <f t="shared" si="41"/>
        <v>2000057272_20256</v>
      </c>
      <c r="X2443" s="10" t="s">
        <v>1615</v>
      </c>
    </row>
    <row r="2444" spans="1:24" hidden="1" x14ac:dyDescent="0.35">
      <c r="A2444">
        <v>51</v>
      </c>
      <c r="B2444">
        <v>2000062388</v>
      </c>
      <c r="C2444" s="1">
        <v>45831</v>
      </c>
      <c r="D2444" t="s">
        <v>641</v>
      </c>
      <c r="E2444" t="s">
        <v>18</v>
      </c>
      <c r="F2444" t="s">
        <v>39</v>
      </c>
      <c r="G2444" t="s">
        <v>20</v>
      </c>
      <c r="H2444" t="s">
        <v>3798</v>
      </c>
      <c r="I2444" t="s">
        <v>39</v>
      </c>
      <c r="J2444">
        <v>0.85299999999999998</v>
      </c>
      <c r="K2444">
        <v>2.6</v>
      </c>
      <c r="L2444">
        <v>4</v>
      </c>
      <c r="M2444">
        <v>0.77</v>
      </c>
      <c r="N2444" t="s">
        <v>28</v>
      </c>
      <c r="O2444" s="1">
        <v>46561</v>
      </c>
      <c r="S2444" s="9" t="s">
        <v>915</v>
      </c>
      <c r="T2444" s="2">
        <v>6</v>
      </c>
      <c r="U2444" s="2">
        <v>23</v>
      </c>
      <c r="V2444" s="2">
        <v>2025</v>
      </c>
      <c r="W2444" t="str">
        <f t="shared" si="41"/>
        <v>2000062388_20256</v>
      </c>
      <c r="X2444" s="10" t="s">
        <v>1615</v>
      </c>
    </row>
    <row r="2445" spans="1:24" hidden="1" x14ac:dyDescent="0.35">
      <c r="A2445">
        <v>52</v>
      </c>
      <c r="B2445">
        <v>2000055571</v>
      </c>
      <c r="C2445" s="1">
        <v>45832</v>
      </c>
      <c r="D2445" t="s">
        <v>208</v>
      </c>
      <c r="E2445" t="s">
        <v>18</v>
      </c>
      <c r="F2445" t="s">
        <v>39</v>
      </c>
      <c r="G2445" t="s">
        <v>20</v>
      </c>
      <c r="H2445" t="s">
        <v>209</v>
      </c>
      <c r="I2445" t="s">
        <v>39</v>
      </c>
      <c r="J2445">
        <v>0.88900000000000001</v>
      </c>
      <c r="K2445">
        <v>3</v>
      </c>
      <c r="L2445">
        <v>2</v>
      </c>
      <c r="M2445">
        <v>0.85</v>
      </c>
      <c r="N2445" t="s">
        <v>28</v>
      </c>
      <c r="O2445" s="1">
        <v>46562</v>
      </c>
      <c r="S2445" s="9" t="s">
        <v>915</v>
      </c>
      <c r="T2445" s="2">
        <v>6</v>
      </c>
      <c r="U2445" s="2">
        <v>24</v>
      </c>
      <c r="V2445" s="2">
        <v>2025</v>
      </c>
      <c r="W2445" t="str">
        <f t="shared" si="41"/>
        <v>2000055571_20256</v>
      </c>
      <c r="X2445" s="10" t="s">
        <v>1615</v>
      </c>
    </row>
    <row r="2446" spans="1:24" hidden="1" x14ac:dyDescent="0.35">
      <c r="A2446">
        <v>53</v>
      </c>
      <c r="B2446">
        <v>2000066437</v>
      </c>
      <c r="C2446" s="1">
        <v>45833</v>
      </c>
      <c r="D2446" t="s">
        <v>3799</v>
      </c>
      <c r="E2446" t="s">
        <v>18</v>
      </c>
      <c r="F2446" t="s">
        <v>19</v>
      </c>
      <c r="G2446" t="s">
        <v>20</v>
      </c>
      <c r="H2446" t="s">
        <v>3800</v>
      </c>
      <c r="I2446" t="s">
        <v>19</v>
      </c>
      <c r="J2446">
        <v>0.83</v>
      </c>
      <c r="K2446">
        <v>2.6</v>
      </c>
      <c r="L2446">
        <v>7</v>
      </c>
      <c r="M2446">
        <v>0.59</v>
      </c>
      <c r="N2446" t="s">
        <v>28</v>
      </c>
      <c r="O2446" s="1">
        <v>46563</v>
      </c>
      <c r="S2446" s="9" t="s">
        <v>915</v>
      </c>
      <c r="T2446" s="2">
        <v>6</v>
      </c>
      <c r="U2446" s="2">
        <v>25</v>
      </c>
      <c r="V2446" s="2">
        <v>2025</v>
      </c>
      <c r="W2446" t="str">
        <f t="shared" si="41"/>
        <v>2000066437_20256</v>
      </c>
      <c r="X2446" s="10" t="s">
        <v>1615</v>
      </c>
    </row>
    <row r="2447" spans="1:24" hidden="1" x14ac:dyDescent="0.35">
      <c r="A2447">
        <v>54</v>
      </c>
      <c r="B2447">
        <v>2000070716</v>
      </c>
      <c r="C2447" s="1">
        <v>45834</v>
      </c>
      <c r="D2447" t="s">
        <v>3801</v>
      </c>
      <c r="E2447" t="s">
        <v>18</v>
      </c>
      <c r="F2447" t="s">
        <v>473</v>
      </c>
      <c r="G2447" t="s">
        <v>82</v>
      </c>
      <c r="H2447" t="s">
        <v>3802</v>
      </c>
      <c r="I2447" t="s">
        <v>473</v>
      </c>
      <c r="J2447">
        <v>0.90900000000000003</v>
      </c>
      <c r="K2447">
        <v>3</v>
      </c>
      <c r="L2447">
        <v>1</v>
      </c>
      <c r="M2447">
        <v>0.9</v>
      </c>
      <c r="N2447" t="s">
        <v>368</v>
      </c>
      <c r="O2447" s="1">
        <v>46930</v>
      </c>
      <c r="S2447" s="9" t="s">
        <v>915</v>
      </c>
      <c r="T2447" s="2">
        <v>6</v>
      </c>
      <c r="U2447" s="2">
        <v>26</v>
      </c>
      <c r="V2447" s="2">
        <v>2025</v>
      </c>
      <c r="W2447" t="str">
        <f t="shared" si="41"/>
        <v>2000070716_20256</v>
      </c>
      <c r="X2447" s="10" t="s">
        <v>1615</v>
      </c>
    </row>
    <row r="2448" spans="1:24" hidden="1" x14ac:dyDescent="0.35">
      <c r="A2448">
        <v>55</v>
      </c>
      <c r="B2448">
        <v>2000056030</v>
      </c>
      <c r="C2448" s="1">
        <v>45836</v>
      </c>
      <c r="D2448" t="s">
        <v>220</v>
      </c>
      <c r="E2448" t="s">
        <v>18</v>
      </c>
      <c r="F2448" t="s">
        <v>148</v>
      </c>
      <c r="G2448" t="s">
        <v>20</v>
      </c>
      <c r="H2448" t="s">
        <v>592</v>
      </c>
      <c r="I2448" t="s">
        <v>148</v>
      </c>
      <c r="J2448">
        <v>0.92500000000000004</v>
      </c>
      <c r="K2448">
        <v>2.75</v>
      </c>
      <c r="L2448">
        <v>0</v>
      </c>
      <c r="M2448">
        <v>0.73</v>
      </c>
      <c r="N2448" t="s">
        <v>28</v>
      </c>
      <c r="O2448" s="1">
        <v>46566</v>
      </c>
      <c r="S2448" s="9" t="s">
        <v>915</v>
      </c>
      <c r="T2448" s="2">
        <v>6</v>
      </c>
      <c r="U2448" s="2">
        <v>28</v>
      </c>
      <c r="V2448" s="2">
        <v>2025</v>
      </c>
      <c r="W2448" t="str">
        <f t="shared" si="41"/>
        <v>2000056030_20256</v>
      </c>
      <c r="X2448" s="10" t="s">
        <v>1615</v>
      </c>
    </row>
    <row r="2449" spans="1:24" hidden="1" x14ac:dyDescent="0.35">
      <c r="A2449">
        <v>22</v>
      </c>
      <c r="B2449" t="s">
        <v>1092</v>
      </c>
      <c r="C2449" s="1">
        <v>45828</v>
      </c>
      <c r="D2449" t="s">
        <v>3803</v>
      </c>
      <c r="F2449" t="s">
        <v>1991</v>
      </c>
      <c r="G2449" t="s">
        <v>20</v>
      </c>
      <c r="H2449" t="s">
        <v>3804</v>
      </c>
      <c r="I2449" t="s">
        <v>1993</v>
      </c>
      <c r="J2449">
        <f>100%-11.9%</f>
        <v>0.88100000000000001</v>
      </c>
      <c r="S2449" s="9" t="s">
        <v>1092</v>
      </c>
      <c r="T2449" s="2">
        <v>6</v>
      </c>
      <c r="U2449" s="2">
        <v>20</v>
      </c>
      <c r="V2449" s="2">
        <v>2025</v>
      </c>
      <c r="W2449" t="str">
        <f t="shared" si="41"/>
        <v>SA_New_20256</v>
      </c>
      <c r="X2449" s="10" t="s">
        <v>1615</v>
      </c>
    </row>
    <row r="2450" spans="1:24" hidden="1" x14ac:dyDescent="0.35">
      <c r="A2450">
        <v>2</v>
      </c>
      <c r="B2450" t="s">
        <v>726</v>
      </c>
      <c r="C2450" s="1">
        <v>45782</v>
      </c>
      <c r="D2450" t="s">
        <v>3805</v>
      </c>
      <c r="F2450" t="s">
        <v>43</v>
      </c>
      <c r="G2450" t="s">
        <v>20</v>
      </c>
      <c r="S2450" t="s">
        <v>726</v>
      </c>
      <c r="T2450" s="5">
        <v>5</v>
      </c>
      <c r="U2450" s="5">
        <v>5</v>
      </c>
      <c r="V2450" s="2">
        <v>2025</v>
      </c>
      <c r="W2450" t="str">
        <f t="shared" si="41"/>
        <v>New_20255</v>
      </c>
      <c r="X2450" s="10" t="s">
        <v>1615</v>
      </c>
    </row>
    <row r="2451" spans="1:24" hidden="1" x14ac:dyDescent="0.35">
      <c r="A2451">
        <v>22</v>
      </c>
      <c r="B2451" t="s">
        <v>1092</v>
      </c>
      <c r="C2451" s="1">
        <v>45828</v>
      </c>
      <c r="D2451" t="s">
        <v>3803</v>
      </c>
      <c r="F2451" t="s">
        <v>1991</v>
      </c>
      <c r="G2451" t="s">
        <v>20</v>
      </c>
      <c r="H2451" t="s">
        <v>3804</v>
      </c>
      <c r="I2451" t="s">
        <v>1993</v>
      </c>
      <c r="J2451">
        <f>100%-11.9%</f>
        <v>0.88100000000000001</v>
      </c>
      <c r="S2451" t="s">
        <v>1092</v>
      </c>
      <c r="T2451" s="5">
        <v>6</v>
      </c>
      <c r="U2451" s="5">
        <v>20</v>
      </c>
      <c r="V2451">
        <v>2025</v>
      </c>
      <c r="W2451" t="str">
        <f t="shared" si="41"/>
        <v>SA_New_20256</v>
      </c>
      <c r="X2451" t="s">
        <v>1615</v>
      </c>
    </row>
    <row r="2452" spans="1:24" hidden="1" x14ac:dyDescent="0.35">
      <c r="A2452">
        <v>56</v>
      </c>
      <c r="B2452">
        <v>2000057196</v>
      </c>
      <c r="C2452" s="1">
        <v>45838</v>
      </c>
      <c r="D2452" t="s">
        <v>226</v>
      </c>
      <c r="E2452" t="s">
        <v>18</v>
      </c>
      <c r="F2452" t="s">
        <v>148</v>
      </c>
      <c r="G2452" t="s">
        <v>20</v>
      </c>
      <c r="H2452" t="s">
        <v>593</v>
      </c>
      <c r="I2452" t="s">
        <v>148</v>
      </c>
      <c r="J2452">
        <v>0.88200000000000001</v>
      </c>
      <c r="K2452">
        <v>2.75</v>
      </c>
      <c r="L2452">
        <v>2</v>
      </c>
      <c r="M2452">
        <v>0.64</v>
      </c>
      <c r="N2452" t="s">
        <v>28</v>
      </c>
      <c r="O2452" s="1">
        <v>46568</v>
      </c>
      <c r="S2452" t="s">
        <v>915</v>
      </c>
      <c r="T2452" s="5">
        <v>6</v>
      </c>
      <c r="U2452" s="5">
        <v>30</v>
      </c>
      <c r="V2452">
        <v>2025</v>
      </c>
      <c r="W2452" t="str">
        <f t="shared" si="41"/>
        <v>2000057196_20256</v>
      </c>
      <c r="X2452" t="s">
        <v>1615</v>
      </c>
    </row>
    <row r="2453" spans="1:24" hidden="1" x14ac:dyDescent="0.35">
      <c r="A2453">
        <v>57</v>
      </c>
      <c r="B2453">
        <v>2000067618</v>
      </c>
      <c r="C2453" s="1">
        <v>45840</v>
      </c>
      <c r="D2453" t="s">
        <v>719</v>
      </c>
      <c r="E2453" t="s">
        <v>18</v>
      </c>
      <c r="F2453" t="s">
        <v>43</v>
      </c>
      <c r="G2453" t="s">
        <v>20</v>
      </c>
      <c r="H2453" t="s">
        <v>3806</v>
      </c>
      <c r="I2453" t="s">
        <v>43</v>
      </c>
      <c r="J2453">
        <v>0.8</v>
      </c>
      <c r="K2453">
        <v>2.7</v>
      </c>
      <c r="L2453">
        <v>2</v>
      </c>
      <c r="M2453">
        <v>0.77</v>
      </c>
      <c r="N2453" t="s">
        <v>28</v>
      </c>
      <c r="O2453" s="1">
        <v>46570</v>
      </c>
      <c r="S2453" t="s">
        <v>915</v>
      </c>
      <c r="T2453" s="5">
        <v>7</v>
      </c>
      <c r="U2453" s="5">
        <v>2</v>
      </c>
      <c r="V2453">
        <v>2025</v>
      </c>
      <c r="W2453" t="str">
        <f t="shared" si="41"/>
        <v>2000067618_20257</v>
      </c>
      <c r="X2453" t="s">
        <v>1615</v>
      </c>
    </row>
    <row r="2454" spans="1:24" hidden="1" x14ac:dyDescent="0.35">
      <c r="A2454">
        <v>58</v>
      </c>
      <c r="B2454">
        <v>2000055752</v>
      </c>
      <c r="C2454" s="1">
        <v>45840</v>
      </c>
      <c r="D2454" t="s">
        <v>204</v>
      </c>
      <c r="E2454" t="s">
        <v>18</v>
      </c>
      <c r="F2454" t="s">
        <v>148</v>
      </c>
      <c r="G2454" t="s">
        <v>20</v>
      </c>
      <c r="H2454" t="s">
        <v>3807</v>
      </c>
      <c r="I2454" t="s">
        <v>148</v>
      </c>
      <c r="J2454">
        <v>0.95</v>
      </c>
      <c r="K2454">
        <v>2.75</v>
      </c>
      <c r="L2454">
        <v>0</v>
      </c>
      <c r="M2454">
        <v>0.7</v>
      </c>
      <c r="N2454" t="s">
        <v>28</v>
      </c>
      <c r="O2454" s="1">
        <v>46570</v>
      </c>
      <c r="S2454" t="s">
        <v>915</v>
      </c>
      <c r="T2454" s="5">
        <v>7</v>
      </c>
      <c r="U2454" s="5">
        <v>2</v>
      </c>
      <c r="V2454">
        <v>2025</v>
      </c>
      <c r="W2454" t="str">
        <f t="shared" si="41"/>
        <v>2000055752_20257</v>
      </c>
      <c r="X2454" t="s">
        <v>1615</v>
      </c>
    </row>
    <row r="2455" spans="1:24" hidden="1" x14ac:dyDescent="0.35">
      <c r="A2455" s="11">
        <v>87</v>
      </c>
      <c r="B2455">
        <v>2000058541</v>
      </c>
      <c r="C2455" s="12">
        <v>45833</v>
      </c>
      <c r="D2455" t="s">
        <v>3808</v>
      </c>
      <c r="E2455" s="11" t="s">
        <v>18</v>
      </c>
      <c r="F2455" s="11" t="s">
        <v>19</v>
      </c>
      <c r="G2455" s="11" t="s">
        <v>1606</v>
      </c>
      <c r="H2455" s="11" t="s">
        <v>3120</v>
      </c>
      <c r="I2455" t="s">
        <v>22</v>
      </c>
      <c r="J2455">
        <v>0.98199999999999998</v>
      </c>
      <c r="K2455">
        <v>3</v>
      </c>
      <c r="L2455">
        <v>1</v>
      </c>
      <c r="M2455">
        <v>0.93</v>
      </c>
      <c r="N2455" t="s">
        <v>2314</v>
      </c>
      <c r="O2455" s="12">
        <v>46929</v>
      </c>
      <c r="P2455" s="7" t="s">
        <v>566</v>
      </c>
      <c r="Q2455" s="7"/>
      <c r="R2455" s="11" t="s">
        <v>3719</v>
      </c>
      <c r="S2455" s="11" t="s">
        <v>915</v>
      </c>
      <c r="T2455" s="11">
        <v>6</v>
      </c>
      <c r="U2455" s="11">
        <v>25</v>
      </c>
      <c r="V2455" s="11">
        <v>2025</v>
      </c>
      <c r="W2455" s="11" t="str">
        <f t="shared" si="41"/>
        <v>2000058541_20256</v>
      </c>
      <c r="X2455" s="11" t="s">
        <v>1616</v>
      </c>
    </row>
    <row r="2456" spans="1:24" hidden="1" x14ac:dyDescent="0.35">
      <c r="A2456" s="11">
        <v>88</v>
      </c>
      <c r="B2456">
        <v>2000056422</v>
      </c>
      <c r="C2456" s="12">
        <v>45834</v>
      </c>
      <c r="D2456" t="s">
        <v>2635</v>
      </c>
      <c r="E2456" s="11" t="s">
        <v>18</v>
      </c>
      <c r="F2456" s="11" t="s">
        <v>1859</v>
      </c>
      <c r="G2456" s="11" t="s">
        <v>1606</v>
      </c>
      <c r="H2456" s="11" t="s">
        <v>2636</v>
      </c>
      <c r="I2456" t="s">
        <v>41</v>
      </c>
      <c r="J2456">
        <v>0.96699999999999997</v>
      </c>
      <c r="K2456">
        <v>3</v>
      </c>
      <c r="L2456">
        <v>1</v>
      </c>
      <c r="M2456">
        <v>0.94</v>
      </c>
      <c r="N2456" t="s">
        <v>2314</v>
      </c>
      <c r="O2456" s="12">
        <v>46930</v>
      </c>
      <c r="P2456" s="7"/>
      <c r="Q2456" s="7"/>
      <c r="R2456" s="11" t="s">
        <v>3719</v>
      </c>
      <c r="S2456" s="11" t="s">
        <v>915</v>
      </c>
      <c r="T2456" s="11">
        <v>6</v>
      </c>
      <c r="U2456" s="11">
        <v>26</v>
      </c>
      <c r="V2456" s="11">
        <v>2025</v>
      </c>
      <c r="W2456" s="11" t="str">
        <f t="shared" si="41"/>
        <v>2000056422_20256</v>
      </c>
      <c r="X2456" s="11" t="s">
        <v>1616</v>
      </c>
    </row>
    <row r="2457" spans="1:24" hidden="1" x14ac:dyDescent="0.35">
      <c r="A2457" s="11">
        <v>89</v>
      </c>
      <c r="B2457">
        <v>2000058172</v>
      </c>
      <c r="C2457" s="12">
        <v>45838</v>
      </c>
      <c r="D2457" t="s">
        <v>3809</v>
      </c>
      <c r="E2457" s="11" t="s">
        <v>18</v>
      </c>
      <c r="F2457" s="11" t="s">
        <v>1859</v>
      </c>
      <c r="G2457" s="11" t="s">
        <v>1606</v>
      </c>
      <c r="H2457" s="11" t="s">
        <v>3810</v>
      </c>
      <c r="I2457" t="s">
        <v>41</v>
      </c>
      <c r="J2457">
        <v>1</v>
      </c>
      <c r="K2457">
        <v>3</v>
      </c>
      <c r="L2457">
        <v>0</v>
      </c>
      <c r="M2457">
        <v>0.85</v>
      </c>
      <c r="N2457" t="s">
        <v>2314</v>
      </c>
      <c r="O2457" s="12">
        <v>46934</v>
      </c>
      <c r="P2457" s="7"/>
      <c r="Q2457" s="7"/>
      <c r="R2457" s="11" t="s">
        <v>3719</v>
      </c>
      <c r="S2457" s="11" t="s">
        <v>915</v>
      </c>
      <c r="T2457" s="11">
        <v>6</v>
      </c>
      <c r="U2457" s="11">
        <v>30</v>
      </c>
      <c r="V2457" s="11">
        <v>2025</v>
      </c>
      <c r="W2457" s="11" t="str">
        <f t="shared" si="41"/>
        <v>2000058172_20256</v>
      </c>
      <c r="X2457" s="11" t="s">
        <v>1616</v>
      </c>
    </row>
    <row r="2458" spans="1:24" ht="20.5" hidden="1" customHeight="1" x14ac:dyDescent="0.35">
      <c r="A2458" s="11">
        <v>90</v>
      </c>
      <c r="B2458">
        <v>2000019471</v>
      </c>
      <c r="C2458" s="12">
        <v>45839</v>
      </c>
      <c r="D2458" t="s">
        <v>3811</v>
      </c>
      <c r="E2458" s="11" t="s">
        <v>18</v>
      </c>
      <c r="F2458" s="11" t="s">
        <v>19</v>
      </c>
      <c r="G2458" s="11" t="s">
        <v>1720</v>
      </c>
      <c r="H2458" s="11" t="s">
        <v>3812</v>
      </c>
      <c r="I2458" t="s">
        <v>22</v>
      </c>
      <c r="J2458">
        <v>0.95399999999999996</v>
      </c>
      <c r="K2458">
        <v>3</v>
      </c>
      <c r="L2458">
        <v>2</v>
      </c>
      <c r="M2458">
        <v>0.91</v>
      </c>
      <c r="N2458" t="s">
        <v>2314</v>
      </c>
      <c r="O2458" s="12">
        <v>46935</v>
      </c>
      <c r="P2458" s="7" t="s">
        <v>3813</v>
      </c>
      <c r="Q2458" s="7" t="s">
        <v>3814</v>
      </c>
      <c r="R2458" s="11" t="s">
        <v>3719</v>
      </c>
      <c r="S2458" s="11" t="s">
        <v>915</v>
      </c>
      <c r="T2458" s="11">
        <v>7</v>
      </c>
      <c r="U2458" s="11">
        <v>1</v>
      </c>
      <c r="V2458" s="11">
        <v>2025</v>
      </c>
      <c r="W2458" s="11" t="str">
        <f t="shared" si="41"/>
        <v>2000019471_20257</v>
      </c>
      <c r="X2458" s="11" t="s">
        <v>1616</v>
      </c>
    </row>
    <row r="2459" spans="1:24" ht="20.5" hidden="1" customHeight="1" x14ac:dyDescent="0.35">
      <c r="A2459" s="11">
        <v>91</v>
      </c>
      <c r="B2459">
        <v>2000057141</v>
      </c>
      <c r="C2459" s="12">
        <v>45841</v>
      </c>
      <c r="D2459" t="s">
        <v>3815</v>
      </c>
      <c r="E2459" s="11" t="s">
        <v>18</v>
      </c>
      <c r="F2459" s="11" t="s">
        <v>19</v>
      </c>
      <c r="G2459" s="11" t="s">
        <v>1606</v>
      </c>
      <c r="H2459" s="11" t="s">
        <v>2784</v>
      </c>
      <c r="I2459" t="s">
        <v>22</v>
      </c>
      <c r="J2459">
        <v>0.97499999999999998</v>
      </c>
      <c r="K2459">
        <v>3</v>
      </c>
      <c r="L2459">
        <v>2</v>
      </c>
      <c r="M2459">
        <v>0.94</v>
      </c>
      <c r="N2459" t="s">
        <v>2314</v>
      </c>
      <c r="O2459" s="12">
        <v>46937</v>
      </c>
      <c r="P2459" s="7" t="s">
        <v>710</v>
      </c>
      <c r="Q2459" s="7" t="s">
        <v>50</v>
      </c>
      <c r="R2459" s="11" t="s">
        <v>3719</v>
      </c>
      <c r="S2459" s="11" t="s">
        <v>915</v>
      </c>
      <c r="T2459" s="11">
        <v>7</v>
      </c>
      <c r="U2459" s="11">
        <v>3</v>
      </c>
      <c r="V2459" s="11">
        <v>2025</v>
      </c>
      <c r="W2459" s="11" t="str">
        <f t="shared" si="41"/>
        <v>2000057141_20257</v>
      </c>
      <c r="X2459" s="11" t="s">
        <v>1616</v>
      </c>
    </row>
    <row r="2460" spans="1:24" ht="20.5" hidden="1" customHeight="1" x14ac:dyDescent="0.35">
      <c r="A2460" s="11">
        <v>92</v>
      </c>
      <c r="B2460">
        <v>2000055885</v>
      </c>
      <c r="C2460" s="12">
        <v>45842</v>
      </c>
      <c r="D2460" t="s">
        <v>2562</v>
      </c>
      <c r="E2460" s="11" t="s">
        <v>18</v>
      </c>
      <c r="F2460" s="11" t="s">
        <v>39</v>
      </c>
      <c r="G2460" s="11" t="s">
        <v>1603</v>
      </c>
      <c r="H2460" s="11" t="s">
        <v>2563</v>
      </c>
      <c r="I2460" t="s">
        <v>41</v>
      </c>
      <c r="J2460">
        <v>0.93300000000000005</v>
      </c>
      <c r="K2460">
        <v>3</v>
      </c>
      <c r="L2460">
        <v>2</v>
      </c>
      <c r="M2460">
        <v>0.88</v>
      </c>
      <c r="N2460" t="s">
        <v>2314</v>
      </c>
      <c r="O2460" s="12">
        <v>46938</v>
      </c>
      <c r="P2460" s="7"/>
      <c r="Q2460" s="7"/>
      <c r="R2460" s="11" t="s">
        <v>3719</v>
      </c>
      <c r="S2460" s="11" t="s">
        <v>915</v>
      </c>
      <c r="T2460" s="11">
        <v>7</v>
      </c>
      <c r="U2460" s="11">
        <v>4</v>
      </c>
      <c r="V2460" s="11">
        <v>2025</v>
      </c>
      <c r="W2460" s="11" t="str">
        <f t="shared" si="41"/>
        <v>2000055885_20257</v>
      </c>
      <c r="X2460" s="11" t="s">
        <v>1616</v>
      </c>
    </row>
    <row r="2461" spans="1:24" hidden="1" x14ac:dyDescent="0.35">
      <c r="A2461" s="11"/>
      <c r="B2461" s="11" t="s">
        <v>1092</v>
      </c>
      <c r="C2461" s="12">
        <v>45838</v>
      </c>
      <c r="D2461" t="s">
        <v>3816</v>
      </c>
      <c r="O2461"/>
      <c r="S2461" s="11" t="s">
        <v>1092</v>
      </c>
      <c r="T2461" s="11">
        <v>6</v>
      </c>
      <c r="U2461" s="11">
        <v>30</v>
      </c>
      <c r="V2461" s="11">
        <v>2025</v>
      </c>
      <c r="W2461" s="11" t="str">
        <f t="shared" si="41"/>
        <v>SA_New_20256</v>
      </c>
      <c r="X2461" s="11" t="s">
        <v>1616</v>
      </c>
    </row>
    <row r="2462" spans="1:24" hidden="1" x14ac:dyDescent="0.35">
      <c r="A2462" s="11"/>
      <c r="B2462" s="11" t="s">
        <v>1092</v>
      </c>
      <c r="C2462" s="12">
        <v>45842</v>
      </c>
      <c r="D2462" t="s">
        <v>3817</v>
      </c>
      <c r="O2462"/>
      <c r="S2462" s="11" t="s">
        <v>1092</v>
      </c>
      <c r="T2462" s="11">
        <v>7</v>
      </c>
      <c r="U2462" s="11">
        <v>4</v>
      </c>
      <c r="V2462" s="11">
        <v>2025</v>
      </c>
      <c r="W2462" s="11" t="str">
        <f t="shared" si="41"/>
        <v>SA_New_20257</v>
      </c>
      <c r="X2462" s="11" t="s">
        <v>1616</v>
      </c>
    </row>
    <row r="2463" spans="1:24" hidden="1" x14ac:dyDescent="0.35">
      <c r="A2463" s="11"/>
      <c r="B2463" s="11" t="s">
        <v>1092</v>
      </c>
      <c r="C2463" s="12">
        <v>45842</v>
      </c>
      <c r="D2463" t="s">
        <v>3818</v>
      </c>
      <c r="O2463"/>
      <c r="S2463" s="11" t="s">
        <v>1092</v>
      </c>
      <c r="T2463" s="11">
        <v>7</v>
      </c>
      <c r="U2463" s="11">
        <v>4</v>
      </c>
      <c r="V2463" s="11">
        <v>2025</v>
      </c>
      <c r="W2463" s="11" t="str">
        <f t="shared" si="41"/>
        <v>SA_New_20257</v>
      </c>
      <c r="X2463" s="11" t="s">
        <v>1616</v>
      </c>
    </row>
    <row r="2464" spans="1:24" hidden="1" x14ac:dyDescent="0.35">
      <c r="A2464" s="11"/>
      <c r="B2464" s="11" t="s">
        <v>1092</v>
      </c>
      <c r="C2464" s="12">
        <v>45842</v>
      </c>
      <c r="D2464" t="s">
        <v>3819</v>
      </c>
      <c r="O2464"/>
      <c r="S2464" s="11" t="s">
        <v>1092</v>
      </c>
      <c r="T2464" s="11">
        <v>7</v>
      </c>
      <c r="U2464" s="11">
        <v>4</v>
      </c>
      <c r="V2464" s="11">
        <v>2025</v>
      </c>
      <c r="W2464" s="11" t="str">
        <f t="shared" si="41"/>
        <v>SA_New_20257</v>
      </c>
      <c r="X2464" s="11" t="s">
        <v>1616</v>
      </c>
    </row>
    <row r="2465" spans="1:24" hidden="1" x14ac:dyDescent="0.35">
      <c r="A2465">
        <v>59</v>
      </c>
      <c r="B2465">
        <v>2000055182</v>
      </c>
      <c r="C2465" s="1">
        <v>45859</v>
      </c>
      <c r="D2465" t="s">
        <v>662</v>
      </c>
      <c r="E2465" t="s">
        <v>18</v>
      </c>
      <c r="F2465" t="s">
        <v>473</v>
      </c>
      <c r="G2465" t="s">
        <v>33</v>
      </c>
      <c r="H2465" t="s">
        <v>663</v>
      </c>
      <c r="I2465" t="s">
        <v>22</v>
      </c>
      <c r="J2465">
        <v>1</v>
      </c>
      <c r="K2465">
        <v>3</v>
      </c>
      <c r="L2465">
        <v>0</v>
      </c>
      <c r="M2465">
        <v>0.82</v>
      </c>
      <c r="N2465" t="s">
        <v>368</v>
      </c>
      <c r="O2465" s="1">
        <v>46955</v>
      </c>
      <c r="P2465" t="s">
        <v>470</v>
      </c>
      <c r="S2465" t="s">
        <v>915</v>
      </c>
      <c r="T2465" s="5" t="s">
        <v>936</v>
      </c>
      <c r="U2465" s="5" t="s">
        <v>944</v>
      </c>
      <c r="V2465" t="s">
        <v>1650</v>
      </c>
      <c r="W2465" t="str">
        <f t="shared" si="41"/>
        <v>2000055182_20257</v>
      </c>
      <c r="X2465" t="s">
        <v>1615</v>
      </c>
    </row>
    <row r="2466" spans="1:24" hidden="1" x14ac:dyDescent="0.35">
      <c r="A2466">
        <v>3</v>
      </c>
      <c r="B2466" t="s">
        <v>726</v>
      </c>
      <c r="C2466" s="1">
        <v>45860</v>
      </c>
      <c r="D2466" t="s">
        <v>3820</v>
      </c>
      <c r="E2466" t="s">
        <v>18</v>
      </c>
      <c r="F2466" t="s">
        <v>43</v>
      </c>
      <c r="G2466" t="s">
        <v>20</v>
      </c>
      <c r="H2466" t="s">
        <v>3821</v>
      </c>
      <c r="I2466" t="s">
        <v>41</v>
      </c>
      <c r="J2466">
        <v>0.73099999999999998</v>
      </c>
      <c r="K2466">
        <v>0.74</v>
      </c>
      <c r="S2466" t="s">
        <v>726</v>
      </c>
      <c r="T2466" s="5" t="s">
        <v>936</v>
      </c>
      <c r="U2466" s="5" t="s">
        <v>933</v>
      </c>
      <c r="V2466" t="s">
        <v>1650</v>
      </c>
      <c r="W2466" t="str">
        <f t="shared" si="41"/>
        <v>New_20257</v>
      </c>
      <c r="X2466" t="s">
        <v>1615</v>
      </c>
    </row>
    <row r="2467" spans="1:24" hidden="1" x14ac:dyDescent="0.35">
      <c r="A2467">
        <v>23</v>
      </c>
      <c r="B2467" t="s">
        <v>1092</v>
      </c>
      <c r="C2467" s="1">
        <v>45856</v>
      </c>
      <c r="D2467" t="s">
        <v>3822</v>
      </c>
      <c r="F2467" t="s">
        <v>1974</v>
      </c>
      <c r="G2467" t="s">
        <v>20</v>
      </c>
      <c r="H2467" t="s">
        <v>3823</v>
      </c>
      <c r="I2467" t="s">
        <v>3824</v>
      </c>
      <c r="J2467">
        <f>100%-24.4%</f>
        <v>0.75600000000000001</v>
      </c>
      <c r="S2467" t="s">
        <v>1092</v>
      </c>
      <c r="T2467" s="5" t="s">
        <v>936</v>
      </c>
      <c r="U2467" s="5" t="s">
        <v>930</v>
      </c>
      <c r="V2467" t="s">
        <v>1650</v>
      </c>
      <c r="W2467" t="str">
        <f t="shared" si="41"/>
        <v>SA_New_20257</v>
      </c>
      <c r="X2467" t="s">
        <v>1615</v>
      </c>
    </row>
    <row r="2468" spans="1:24" hidden="1" x14ac:dyDescent="0.35">
      <c r="A2468" s="11">
        <v>93</v>
      </c>
      <c r="B2468">
        <v>2000055402</v>
      </c>
      <c r="C2468" s="1">
        <v>45846</v>
      </c>
      <c r="D2468" t="s">
        <v>3825</v>
      </c>
      <c r="E2468" t="s">
        <v>18</v>
      </c>
      <c r="F2468" t="s">
        <v>22</v>
      </c>
      <c r="G2468" t="s">
        <v>1687</v>
      </c>
      <c r="H2468" t="s">
        <v>2432</v>
      </c>
      <c r="I2468" t="s">
        <v>22</v>
      </c>
      <c r="J2468">
        <f>[2]South!$J$101</f>
        <v>0.85199999999999998</v>
      </c>
      <c r="K2468">
        <f>[2]South!$K$101</f>
        <v>2.8</v>
      </c>
      <c r="L2468">
        <v>6</v>
      </c>
      <c r="M2468">
        <v>0.8</v>
      </c>
      <c r="N2468" t="s">
        <v>2310</v>
      </c>
      <c r="O2468" s="1">
        <v>46576</v>
      </c>
      <c r="R2468" t="s">
        <v>3719</v>
      </c>
      <c r="S2468" t="s">
        <v>915</v>
      </c>
      <c r="T2468" s="5">
        <v>7</v>
      </c>
      <c r="U2468" s="5">
        <v>8</v>
      </c>
      <c r="V2468">
        <v>2025</v>
      </c>
      <c r="W2468" t="str">
        <f t="shared" si="41"/>
        <v>2000055402_20257</v>
      </c>
      <c r="X2468" t="s">
        <v>1616</v>
      </c>
    </row>
    <row r="2469" spans="1:24" hidden="1" x14ac:dyDescent="0.35">
      <c r="A2469" s="11">
        <v>94</v>
      </c>
      <c r="B2469">
        <v>2000055825</v>
      </c>
      <c r="C2469" s="1">
        <v>45847</v>
      </c>
      <c r="D2469" t="s">
        <v>2544</v>
      </c>
      <c r="E2469" t="s">
        <v>18</v>
      </c>
      <c r="F2469" t="s">
        <v>41</v>
      </c>
      <c r="G2469" t="s">
        <v>1606</v>
      </c>
      <c r="H2469" t="s">
        <v>2546</v>
      </c>
      <c r="I2469" t="s">
        <v>41</v>
      </c>
      <c r="J2469">
        <f>[2]South!$J$102</f>
        <v>0.88200000000000001</v>
      </c>
      <c r="K2469">
        <f>[2]South!$K$102</f>
        <v>3</v>
      </c>
      <c r="L2469">
        <v>1</v>
      </c>
      <c r="M2469">
        <v>0.8</v>
      </c>
      <c r="N2469" t="s">
        <v>2310</v>
      </c>
      <c r="O2469" s="1">
        <v>46577</v>
      </c>
      <c r="R2469" t="s">
        <v>3719</v>
      </c>
      <c r="S2469" t="s">
        <v>915</v>
      </c>
      <c r="T2469" s="5">
        <v>7</v>
      </c>
      <c r="U2469" s="5">
        <v>9</v>
      </c>
      <c r="V2469">
        <v>2025</v>
      </c>
      <c r="W2469" t="str">
        <f t="shared" si="41"/>
        <v>2000055825_20257</v>
      </c>
      <c r="X2469" t="s">
        <v>1616</v>
      </c>
    </row>
    <row r="2470" spans="1:24" hidden="1" x14ac:dyDescent="0.35">
      <c r="B2470">
        <v>2000056026</v>
      </c>
      <c r="C2470" s="1">
        <v>45848</v>
      </c>
      <c r="D2470" t="s">
        <v>3826</v>
      </c>
      <c r="E2470" t="s">
        <v>18</v>
      </c>
      <c r="F2470" t="s">
        <v>41</v>
      </c>
      <c r="G2470" t="s">
        <v>1606</v>
      </c>
      <c r="H2470" t="s">
        <v>2588</v>
      </c>
      <c r="I2470" t="s">
        <v>41</v>
      </c>
      <c r="J2470">
        <f>[2]South!$J$103</f>
        <v>1</v>
      </c>
      <c r="K2470">
        <f>[2]South!$K$103</f>
        <v>3</v>
      </c>
      <c r="L2470">
        <v>0</v>
      </c>
      <c r="M2470">
        <v>0.87</v>
      </c>
      <c r="N2470" t="s">
        <v>2314</v>
      </c>
      <c r="O2470" s="1">
        <v>46944</v>
      </c>
      <c r="R2470" t="s">
        <v>3719</v>
      </c>
      <c r="S2470" t="s">
        <v>915</v>
      </c>
      <c r="T2470" s="5">
        <v>7</v>
      </c>
      <c r="U2470" s="5">
        <v>10</v>
      </c>
      <c r="V2470">
        <v>2025</v>
      </c>
      <c r="W2470" t="str">
        <f t="shared" si="41"/>
        <v>2000056026_20257</v>
      </c>
      <c r="X2470" t="s">
        <v>1616</v>
      </c>
    </row>
    <row r="2471" spans="1:24" hidden="1" x14ac:dyDescent="0.35">
      <c r="B2471">
        <v>2000058600</v>
      </c>
      <c r="C2471" s="1">
        <v>45849</v>
      </c>
      <c r="D2471" t="s">
        <v>3827</v>
      </c>
      <c r="E2471" t="s">
        <v>18</v>
      </c>
      <c r="F2471" t="s">
        <v>41</v>
      </c>
      <c r="G2471" t="s">
        <v>1606</v>
      </c>
      <c r="H2471" t="s">
        <v>3132</v>
      </c>
      <c r="I2471" t="s">
        <v>41</v>
      </c>
      <c r="J2471">
        <f>[2]South!$J$104</f>
        <v>0.93100000000000005</v>
      </c>
      <c r="K2471">
        <f>[2]South!$K$104</f>
        <v>3</v>
      </c>
      <c r="L2471">
        <v>3</v>
      </c>
      <c r="M2471">
        <v>0.8</v>
      </c>
      <c r="N2471" t="s">
        <v>2314</v>
      </c>
      <c r="O2471" s="1">
        <v>46945</v>
      </c>
      <c r="R2471" t="s">
        <v>3719</v>
      </c>
      <c r="S2471" t="s">
        <v>915</v>
      </c>
      <c r="T2471" s="5">
        <v>7</v>
      </c>
      <c r="U2471" s="5">
        <v>11</v>
      </c>
      <c r="V2471">
        <v>2025</v>
      </c>
      <c r="W2471" t="str">
        <f t="shared" si="41"/>
        <v>2000058600_20257</v>
      </c>
      <c r="X2471" t="s">
        <v>1616</v>
      </c>
    </row>
    <row r="2472" spans="1:24" hidden="1" x14ac:dyDescent="0.35">
      <c r="B2472">
        <v>2000059201</v>
      </c>
      <c r="C2472" s="1">
        <v>45852</v>
      </c>
      <c r="D2472" t="s">
        <v>1824</v>
      </c>
      <c r="E2472" t="s">
        <v>18</v>
      </c>
      <c r="F2472" t="s">
        <v>41</v>
      </c>
      <c r="G2472" t="s">
        <v>1606</v>
      </c>
      <c r="H2472" t="s">
        <v>3828</v>
      </c>
      <c r="I2472" t="s">
        <v>41</v>
      </c>
      <c r="J2472">
        <f>[2]South!$J$105</f>
        <v>1</v>
      </c>
      <c r="M2472">
        <v>0.83</v>
      </c>
      <c r="N2472" t="s">
        <v>2314</v>
      </c>
      <c r="O2472" s="1">
        <v>46948</v>
      </c>
      <c r="R2472" t="s">
        <v>3719</v>
      </c>
      <c r="S2472" t="s">
        <v>915</v>
      </c>
      <c r="T2472" s="5">
        <v>7</v>
      </c>
      <c r="U2472" s="5">
        <v>14</v>
      </c>
      <c r="V2472">
        <v>2025</v>
      </c>
      <c r="W2472" t="str">
        <f t="shared" si="41"/>
        <v>2000059201_20257</v>
      </c>
      <c r="X2472" t="s">
        <v>1616</v>
      </c>
    </row>
    <row r="2473" spans="1:24" hidden="1" x14ac:dyDescent="0.35">
      <c r="B2473">
        <v>2000056724</v>
      </c>
      <c r="C2473" s="1">
        <v>45853</v>
      </c>
      <c r="D2473" t="s">
        <v>2707</v>
      </c>
      <c r="E2473" t="s">
        <v>18</v>
      </c>
      <c r="F2473" t="s">
        <v>41</v>
      </c>
      <c r="G2473" t="s">
        <v>1817</v>
      </c>
      <c r="H2473" t="s">
        <v>3829</v>
      </c>
      <c r="I2473" t="s">
        <v>41</v>
      </c>
      <c r="J2473">
        <f>[2]South!$J$106</f>
        <v>0.91200000000000003</v>
      </c>
      <c r="K2473">
        <f>[2]South!$K$106</f>
        <v>3</v>
      </c>
      <c r="L2473">
        <v>2</v>
      </c>
      <c r="M2473">
        <v>0.85</v>
      </c>
      <c r="N2473" t="s">
        <v>2314</v>
      </c>
      <c r="O2473" s="1">
        <v>46949</v>
      </c>
      <c r="R2473" t="s">
        <v>3719</v>
      </c>
      <c r="S2473" t="s">
        <v>915</v>
      </c>
      <c r="T2473" s="5">
        <v>7</v>
      </c>
      <c r="U2473" s="5">
        <v>15</v>
      </c>
      <c r="V2473">
        <v>2025</v>
      </c>
      <c r="W2473" t="str">
        <f t="shared" si="41"/>
        <v>2000056724_20257</v>
      </c>
      <c r="X2473" t="s">
        <v>1616</v>
      </c>
    </row>
    <row r="2474" spans="1:24" hidden="1" x14ac:dyDescent="0.35">
      <c r="B2474">
        <v>2000058153</v>
      </c>
      <c r="C2474" s="1">
        <v>45859</v>
      </c>
      <c r="D2474" t="s">
        <v>3830</v>
      </c>
      <c r="E2474" t="s">
        <v>18</v>
      </c>
      <c r="F2474" t="s">
        <v>41</v>
      </c>
      <c r="G2474" t="s">
        <v>1606</v>
      </c>
      <c r="H2474" t="s">
        <v>3831</v>
      </c>
      <c r="I2474" t="s">
        <v>41</v>
      </c>
      <c r="J2474">
        <f>[2]South!$J$107</f>
        <v>0.93799999999999994</v>
      </c>
      <c r="K2474">
        <f>[2]South!$K$107</f>
        <v>3</v>
      </c>
      <c r="L2474">
        <v>1</v>
      </c>
      <c r="M2474">
        <v>0.77</v>
      </c>
      <c r="N2474" t="s">
        <v>2314</v>
      </c>
      <c r="O2474" s="1">
        <v>46955</v>
      </c>
      <c r="R2474" t="s">
        <v>3719</v>
      </c>
      <c r="S2474" t="s">
        <v>915</v>
      </c>
      <c r="T2474" s="5">
        <v>7</v>
      </c>
      <c r="U2474" s="5">
        <v>21</v>
      </c>
      <c r="V2474">
        <v>2025</v>
      </c>
      <c r="W2474" t="str">
        <f t="shared" si="41"/>
        <v>2000058153_20257</v>
      </c>
      <c r="X2474" t="s">
        <v>1616</v>
      </c>
    </row>
    <row r="2475" spans="1:24" hidden="1" x14ac:dyDescent="0.35">
      <c r="B2475">
        <v>2000055658</v>
      </c>
      <c r="C2475" s="1">
        <v>45860</v>
      </c>
      <c r="D2475" t="s">
        <v>3832</v>
      </c>
      <c r="E2475" t="s">
        <v>18</v>
      </c>
      <c r="F2475" t="s">
        <v>41</v>
      </c>
      <c r="G2475" t="s">
        <v>1606</v>
      </c>
      <c r="H2475" t="s">
        <v>2523</v>
      </c>
      <c r="I2475" t="s">
        <v>41</v>
      </c>
      <c r="J2475">
        <f>[2]South!$J$108</f>
        <v>1</v>
      </c>
      <c r="K2475">
        <f>[2]South!$K$108</f>
        <v>3</v>
      </c>
      <c r="L2475">
        <v>0</v>
      </c>
      <c r="M2475">
        <v>0.71</v>
      </c>
      <c r="N2475" t="s">
        <v>2314</v>
      </c>
      <c r="O2475" s="1">
        <v>46956</v>
      </c>
      <c r="R2475" t="s">
        <v>3719</v>
      </c>
      <c r="S2475" t="s">
        <v>915</v>
      </c>
      <c r="T2475" s="5">
        <v>7</v>
      </c>
      <c r="U2475" s="5">
        <v>22</v>
      </c>
      <c r="V2475">
        <v>2025</v>
      </c>
      <c r="W2475" t="str">
        <f t="shared" si="41"/>
        <v>2000055658_20257</v>
      </c>
      <c r="X2475" t="s">
        <v>1616</v>
      </c>
    </row>
    <row r="2476" spans="1:24" hidden="1" x14ac:dyDescent="0.35">
      <c r="B2476">
        <v>2000055151</v>
      </c>
      <c r="C2476" s="1">
        <v>45861</v>
      </c>
      <c r="D2476" t="s">
        <v>3833</v>
      </c>
      <c r="E2476" t="s">
        <v>18</v>
      </c>
      <c r="F2476" t="s">
        <v>148</v>
      </c>
      <c r="G2476" t="s">
        <v>1606</v>
      </c>
      <c r="H2476" t="s">
        <v>2362</v>
      </c>
      <c r="I2476" t="s">
        <v>148</v>
      </c>
      <c r="J2476">
        <f>[2]South!$J$109</f>
        <v>1</v>
      </c>
      <c r="K2476">
        <f>[2]South!$K$109</f>
        <v>3</v>
      </c>
      <c r="L2476">
        <v>0</v>
      </c>
      <c r="M2476">
        <v>0.96</v>
      </c>
      <c r="N2476" t="s">
        <v>2314</v>
      </c>
      <c r="O2476" s="1">
        <v>46957</v>
      </c>
      <c r="Q2476" t="s">
        <v>1778</v>
      </c>
      <c r="R2476" t="s">
        <v>3719</v>
      </c>
      <c r="S2476" t="s">
        <v>915</v>
      </c>
      <c r="T2476" s="5">
        <v>7</v>
      </c>
      <c r="U2476" s="5">
        <v>23</v>
      </c>
      <c r="V2476">
        <v>2025</v>
      </c>
      <c r="W2476" t="str">
        <f t="shared" si="41"/>
        <v>2000055151_20257</v>
      </c>
      <c r="X2476" t="s">
        <v>1616</v>
      </c>
    </row>
    <row r="2477" spans="1:24" hidden="1" x14ac:dyDescent="0.35">
      <c r="B2477">
        <v>2000058917</v>
      </c>
      <c r="C2477" s="1">
        <v>45862</v>
      </c>
      <c r="D2477" t="s">
        <v>3834</v>
      </c>
      <c r="E2477" t="s">
        <v>18</v>
      </c>
      <c r="F2477" t="s">
        <v>41</v>
      </c>
      <c r="G2477" t="s">
        <v>1606</v>
      </c>
      <c r="H2477" t="s">
        <v>3835</v>
      </c>
      <c r="I2477" t="s">
        <v>41</v>
      </c>
      <c r="J2477">
        <f>[2]South!$J$110</f>
        <v>1</v>
      </c>
      <c r="K2477">
        <f>[2]South!$K$110</f>
        <v>3</v>
      </c>
      <c r="L2477">
        <v>1</v>
      </c>
      <c r="M2477">
        <v>0.77</v>
      </c>
      <c r="N2477" t="s">
        <v>2314</v>
      </c>
      <c r="O2477" s="1">
        <v>46958</v>
      </c>
      <c r="R2477" t="s">
        <v>3719</v>
      </c>
      <c r="S2477" t="s">
        <v>915</v>
      </c>
      <c r="T2477" s="5">
        <v>7</v>
      </c>
      <c r="U2477" s="5">
        <v>24</v>
      </c>
      <c r="V2477">
        <v>2025</v>
      </c>
      <c r="W2477" t="str">
        <f t="shared" si="41"/>
        <v>2000058917_20257</v>
      </c>
      <c r="X2477" t="s">
        <v>1616</v>
      </c>
    </row>
    <row r="2478" spans="1:24" hidden="1" x14ac:dyDescent="0.35">
      <c r="B2478">
        <v>2000055171</v>
      </c>
      <c r="C2478" s="1">
        <v>45866</v>
      </c>
      <c r="D2478" t="s">
        <v>2373</v>
      </c>
      <c r="E2478" t="s">
        <v>18</v>
      </c>
      <c r="F2478" t="s">
        <v>22</v>
      </c>
      <c r="G2478" t="s">
        <v>1606</v>
      </c>
      <c r="H2478" t="s">
        <v>2375</v>
      </c>
      <c r="I2478" t="s">
        <v>22</v>
      </c>
      <c r="J2478">
        <f>[2]South!$J$111</f>
        <v>0.93799999999999994</v>
      </c>
      <c r="K2478">
        <f>[2]South!$K$111</f>
        <v>3</v>
      </c>
      <c r="L2478">
        <v>1</v>
      </c>
      <c r="M2478">
        <v>0.83</v>
      </c>
      <c r="N2478" t="s">
        <v>2314</v>
      </c>
      <c r="O2478" s="1">
        <v>46962</v>
      </c>
      <c r="R2478" t="s">
        <v>3719</v>
      </c>
      <c r="S2478" t="s">
        <v>915</v>
      </c>
      <c r="T2478" s="5">
        <v>7</v>
      </c>
      <c r="U2478" s="5">
        <v>28</v>
      </c>
      <c r="V2478">
        <v>2025</v>
      </c>
      <c r="W2478" t="str">
        <f t="shared" si="41"/>
        <v>2000055171_20257</v>
      </c>
      <c r="X2478" t="s">
        <v>1616</v>
      </c>
    </row>
    <row r="2479" spans="1:24" hidden="1" x14ac:dyDescent="0.35">
      <c r="B2479">
        <v>2000055445</v>
      </c>
      <c r="C2479" s="1">
        <v>45849</v>
      </c>
      <c r="D2479" t="s">
        <v>2465</v>
      </c>
      <c r="E2479" t="s">
        <v>18</v>
      </c>
      <c r="F2479" t="s">
        <v>41</v>
      </c>
      <c r="G2479" t="s">
        <v>1606</v>
      </c>
      <c r="H2479" t="s">
        <v>3836</v>
      </c>
      <c r="I2479" t="s">
        <v>43</v>
      </c>
      <c r="J2479">
        <v>1</v>
      </c>
      <c r="K2479">
        <v>3</v>
      </c>
      <c r="L2479">
        <v>1</v>
      </c>
      <c r="M2479">
        <v>0.78</v>
      </c>
      <c r="N2479" t="s">
        <v>2314</v>
      </c>
      <c r="O2479" s="1">
        <v>46945</v>
      </c>
      <c r="R2479" t="s">
        <v>3719</v>
      </c>
      <c r="S2479" t="s">
        <v>915</v>
      </c>
      <c r="T2479" s="5">
        <v>7</v>
      </c>
      <c r="U2479" s="5">
        <v>11</v>
      </c>
      <c r="V2479">
        <v>2025</v>
      </c>
      <c r="W2479" t="str">
        <f t="shared" si="41"/>
        <v>2000055445_20257</v>
      </c>
      <c r="X2479" t="s">
        <v>1616</v>
      </c>
    </row>
    <row r="2480" spans="1:24" hidden="1" x14ac:dyDescent="0.35">
      <c r="B2480">
        <v>2000059294</v>
      </c>
      <c r="C2480" s="1">
        <v>45869</v>
      </c>
      <c r="D2480" t="s">
        <v>3837</v>
      </c>
      <c r="E2480" t="s">
        <v>18</v>
      </c>
      <c r="F2480" t="s">
        <v>22</v>
      </c>
      <c r="G2480" t="s">
        <v>1606</v>
      </c>
      <c r="H2480" t="s">
        <v>3183</v>
      </c>
      <c r="I2480" t="s">
        <v>1859</v>
      </c>
      <c r="J2480">
        <v>1</v>
      </c>
      <c r="K2480">
        <v>3</v>
      </c>
      <c r="L2480">
        <v>0</v>
      </c>
      <c r="M2480">
        <v>0.91</v>
      </c>
      <c r="N2480" t="s">
        <v>2314</v>
      </c>
      <c r="O2480" s="1">
        <v>46965</v>
      </c>
      <c r="R2480" t="s">
        <v>3719</v>
      </c>
      <c r="S2480" t="s">
        <v>915</v>
      </c>
      <c r="T2480" s="5">
        <v>7</v>
      </c>
      <c r="U2480" s="5">
        <v>31</v>
      </c>
      <c r="V2480">
        <v>2025</v>
      </c>
      <c r="W2480" t="str">
        <f t="shared" si="41"/>
        <v>2000059294_20257</v>
      </c>
      <c r="X2480" t="s">
        <v>1616</v>
      </c>
    </row>
    <row r="2481" spans="1:24" hidden="1" x14ac:dyDescent="0.35">
      <c r="B2481">
        <v>2000060771</v>
      </c>
      <c r="C2481" s="1">
        <v>45870</v>
      </c>
      <c r="D2481" t="s">
        <v>1867</v>
      </c>
      <c r="E2481" t="s">
        <v>18</v>
      </c>
      <c r="F2481" t="s">
        <v>22</v>
      </c>
      <c r="G2481" t="s">
        <v>1606</v>
      </c>
      <c r="H2481" t="s">
        <v>1868</v>
      </c>
      <c r="I2481" t="s">
        <v>39</v>
      </c>
      <c r="J2481">
        <v>1</v>
      </c>
      <c r="M2481">
        <v>0.98</v>
      </c>
      <c r="N2481" t="s">
        <v>3658</v>
      </c>
      <c r="O2481" s="1">
        <v>46235</v>
      </c>
      <c r="Q2481" t="s">
        <v>1778</v>
      </c>
      <c r="R2481" t="s">
        <v>3719</v>
      </c>
      <c r="S2481" t="s">
        <v>915</v>
      </c>
      <c r="T2481" s="5">
        <v>8</v>
      </c>
      <c r="U2481" s="5">
        <v>1</v>
      </c>
      <c r="V2481">
        <v>2025</v>
      </c>
      <c r="W2481" t="str">
        <f t="shared" si="41"/>
        <v>2000060771_20258</v>
      </c>
      <c r="X2481" t="s">
        <v>1616</v>
      </c>
    </row>
    <row r="2482" spans="1:24" hidden="1" x14ac:dyDescent="0.35">
      <c r="B2482" t="s">
        <v>1092</v>
      </c>
      <c r="D2482" t="s">
        <v>3838</v>
      </c>
      <c r="S2482" t="s">
        <v>1092</v>
      </c>
      <c r="T2482" s="5">
        <v>7</v>
      </c>
      <c r="U2482" s="5">
        <v>8</v>
      </c>
      <c r="V2482">
        <v>2025</v>
      </c>
      <c r="W2482" t="str">
        <f t="shared" si="41"/>
        <v>SA_New_20257</v>
      </c>
      <c r="X2482" t="s">
        <v>1616</v>
      </c>
    </row>
    <row r="2483" spans="1:24" hidden="1" x14ac:dyDescent="0.35">
      <c r="B2483" t="s">
        <v>1092</v>
      </c>
      <c r="D2483" t="s">
        <v>3839</v>
      </c>
      <c r="S2483" t="s">
        <v>1092</v>
      </c>
      <c r="T2483" s="5">
        <v>7</v>
      </c>
      <c r="U2483" s="5">
        <v>14</v>
      </c>
      <c r="V2483">
        <v>2025</v>
      </c>
      <c r="W2483" t="str">
        <f t="shared" si="41"/>
        <v>SA_New_20257</v>
      </c>
      <c r="X2483" t="s">
        <v>1616</v>
      </c>
    </row>
    <row r="2484" spans="1:24" hidden="1" x14ac:dyDescent="0.35">
      <c r="B2484" t="s">
        <v>1092</v>
      </c>
      <c r="D2484" t="s">
        <v>3840</v>
      </c>
      <c r="S2484" t="s">
        <v>1092</v>
      </c>
      <c r="T2484" s="5">
        <v>7</v>
      </c>
      <c r="U2484" s="5">
        <v>14</v>
      </c>
      <c r="V2484">
        <v>2025</v>
      </c>
      <c r="W2484" t="str">
        <f t="shared" si="41"/>
        <v>SA_New_20257</v>
      </c>
      <c r="X2484" t="s">
        <v>1616</v>
      </c>
    </row>
    <row r="2485" spans="1:24" hidden="1" x14ac:dyDescent="0.35">
      <c r="B2485" t="s">
        <v>1092</v>
      </c>
      <c r="D2485" t="s">
        <v>3841</v>
      </c>
      <c r="S2485" t="s">
        <v>1092</v>
      </c>
      <c r="T2485" s="5">
        <v>7</v>
      </c>
      <c r="U2485" s="5">
        <v>4</v>
      </c>
      <c r="V2485">
        <v>2025</v>
      </c>
      <c r="W2485" t="str">
        <f t="shared" si="41"/>
        <v>SA_New_20257</v>
      </c>
      <c r="X2485" t="s">
        <v>1616</v>
      </c>
    </row>
    <row r="2486" spans="1:24" hidden="1" x14ac:dyDescent="0.35">
      <c r="B2486" t="s">
        <v>1092</v>
      </c>
      <c r="D2486" t="s">
        <v>3842</v>
      </c>
      <c r="S2486" t="s">
        <v>1092</v>
      </c>
      <c r="T2486" s="5">
        <v>7</v>
      </c>
      <c r="U2486" s="5">
        <v>23</v>
      </c>
      <c r="V2486">
        <v>2025</v>
      </c>
      <c r="W2486" t="str">
        <f t="shared" si="41"/>
        <v>SA_New_20257</v>
      </c>
      <c r="X2486" t="s">
        <v>1616</v>
      </c>
    </row>
    <row r="2487" spans="1:24" hidden="1" x14ac:dyDescent="0.35">
      <c r="B2487" t="s">
        <v>1092</v>
      </c>
      <c r="D2487" t="s">
        <v>3843</v>
      </c>
      <c r="S2487" t="s">
        <v>1092</v>
      </c>
      <c r="T2487" s="5">
        <v>7</v>
      </c>
      <c r="U2487" s="5">
        <v>23</v>
      </c>
      <c r="V2487">
        <v>2025</v>
      </c>
      <c r="W2487" t="str">
        <f t="shared" si="41"/>
        <v>SA_New_20257</v>
      </c>
      <c r="X2487" t="s">
        <v>1616</v>
      </c>
    </row>
    <row r="2488" spans="1:24" hidden="1" x14ac:dyDescent="0.35">
      <c r="B2488" t="s">
        <v>1092</v>
      </c>
      <c r="D2488" t="s">
        <v>3844</v>
      </c>
      <c r="S2488" t="s">
        <v>1092</v>
      </c>
      <c r="T2488" s="5">
        <v>7</v>
      </c>
      <c r="U2488" s="5">
        <v>23</v>
      </c>
      <c r="V2488">
        <v>2025</v>
      </c>
      <c r="W2488" t="str">
        <f t="shared" si="41"/>
        <v>SA_New_20257</v>
      </c>
      <c r="X2488" t="s">
        <v>1616</v>
      </c>
    </row>
    <row r="2489" spans="1:24" hidden="1" x14ac:dyDescent="0.35">
      <c r="B2489" t="s">
        <v>1092</v>
      </c>
      <c r="D2489" t="s">
        <v>3845</v>
      </c>
      <c r="S2489" t="s">
        <v>1092</v>
      </c>
      <c r="T2489" s="5">
        <v>7</v>
      </c>
      <c r="U2489" s="5">
        <v>23</v>
      </c>
      <c r="V2489">
        <v>2025</v>
      </c>
      <c r="W2489" t="str">
        <f t="shared" si="41"/>
        <v>SA_New_20257</v>
      </c>
      <c r="X2489" t="s">
        <v>1616</v>
      </c>
    </row>
    <row r="2490" spans="1:24" hidden="1" x14ac:dyDescent="0.35">
      <c r="B2490" t="s">
        <v>1092</v>
      </c>
      <c r="D2490" t="s">
        <v>3846</v>
      </c>
      <c r="S2490" t="s">
        <v>1092</v>
      </c>
      <c r="T2490" s="5">
        <v>7</v>
      </c>
      <c r="U2490" s="5">
        <v>24</v>
      </c>
      <c r="V2490">
        <v>2025</v>
      </c>
      <c r="W2490" t="str">
        <f t="shared" si="41"/>
        <v>SA_New_20257</v>
      </c>
      <c r="X2490" t="s">
        <v>1616</v>
      </c>
    </row>
    <row r="2491" spans="1:24" hidden="1" x14ac:dyDescent="0.35">
      <c r="B2491" t="s">
        <v>1092</v>
      </c>
      <c r="D2491" t="s">
        <v>3847</v>
      </c>
      <c r="S2491" t="s">
        <v>1092</v>
      </c>
      <c r="T2491" s="5">
        <v>7</v>
      </c>
      <c r="U2491" s="5">
        <v>29</v>
      </c>
      <c r="V2491">
        <v>2025</v>
      </c>
      <c r="W2491" t="str">
        <f t="shared" si="41"/>
        <v>SA_New_20257</v>
      </c>
      <c r="X2491" t="s">
        <v>1616</v>
      </c>
    </row>
    <row r="2492" spans="1:24" hidden="1" x14ac:dyDescent="0.35">
      <c r="B2492" t="s">
        <v>1092</v>
      </c>
      <c r="D2492" t="s">
        <v>3848</v>
      </c>
      <c r="S2492" t="s">
        <v>1092</v>
      </c>
      <c r="T2492" s="5">
        <v>7</v>
      </c>
      <c r="U2492" s="5">
        <v>29</v>
      </c>
      <c r="V2492">
        <v>2025</v>
      </c>
      <c r="W2492" t="str">
        <f t="shared" si="41"/>
        <v>SA_New_20257</v>
      </c>
      <c r="X2492" t="s">
        <v>1616</v>
      </c>
    </row>
    <row r="2493" spans="1:24" hidden="1" x14ac:dyDescent="0.35">
      <c r="A2493">
        <v>60</v>
      </c>
      <c r="B2493">
        <v>2000057437</v>
      </c>
      <c r="C2493" s="1">
        <v>45880</v>
      </c>
      <c r="D2493" t="s">
        <v>594</v>
      </c>
      <c r="E2493" t="s">
        <v>18</v>
      </c>
      <c r="F2493" t="s">
        <v>39</v>
      </c>
      <c r="G2493" t="s">
        <v>92</v>
      </c>
      <c r="H2493" t="s">
        <v>3849</v>
      </c>
      <c r="I2493" t="s">
        <v>41</v>
      </c>
      <c r="J2493">
        <v>0.86799999999999999</v>
      </c>
      <c r="K2493">
        <v>2.7</v>
      </c>
      <c r="L2493">
        <v>4</v>
      </c>
      <c r="M2493">
        <v>0.88</v>
      </c>
      <c r="N2493" t="s">
        <v>28</v>
      </c>
      <c r="O2493" s="1">
        <v>46610</v>
      </c>
      <c r="S2493" s="9" t="s">
        <v>915</v>
      </c>
      <c r="T2493" s="2" t="s">
        <v>940</v>
      </c>
      <c r="U2493" s="2" t="s">
        <v>945</v>
      </c>
      <c r="V2493" s="2" t="s">
        <v>1650</v>
      </c>
      <c r="W2493" t="str">
        <f t="shared" si="41"/>
        <v>2000057437_20258</v>
      </c>
      <c r="X2493" s="10" t="s">
        <v>1615</v>
      </c>
    </row>
    <row r="2494" spans="1:24" hidden="1" x14ac:dyDescent="0.35">
      <c r="A2494">
        <v>61</v>
      </c>
      <c r="B2494">
        <v>2000066182</v>
      </c>
      <c r="C2494" s="1">
        <v>45881</v>
      </c>
      <c r="D2494" t="s">
        <v>1574</v>
      </c>
      <c r="E2494" t="s">
        <v>18</v>
      </c>
      <c r="F2494" t="s">
        <v>39</v>
      </c>
      <c r="G2494" t="s">
        <v>20</v>
      </c>
      <c r="H2494" t="s">
        <v>1576</v>
      </c>
      <c r="I2494" t="s">
        <v>41</v>
      </c>
      <c r="J2494">
        <v>0.94699999999999995</v>
      </c>
      <c r="K2494">
        <v>2.2999999999999998</v>
      </c>
      <c r="L2494">
        <v>3</v>
      </c>
      <c r="M2494">
        <v>0.8</v>
      </c>
      <c r="N2494" t="s">
        <v>28</v>
      </c>
      <c r="O2494" s="1">
        <v>46611</v>
      </c>
      <c r="S2494" s="9" t="s">
        <v>915</v>
      </c>
      <c r="T2494" s="2" t="s">
        <v>940</v>
      </c>
      <c r="U2494" s="2" t="s">
        <v>949</v>
      </c>
      <c r="V2494" s="2" t="s">
        <v>1650</v>
      </c>
      <c r="W2494" t="str">
        <f t="shared" si="41"/>
        <v>2000066182_20258</v>
      </c>
      <c r="X2494" s="10" t="s">
        <v>1615</v>
      </c>
    </row>
    <row r="2495" spans="1:24" hidden="1" x14ac:dyDescent="0.35">
      <c r="A2495">
        <v>62</v>
      </c>
      <c r="B2495">
        <v>2000025615</v>
      </c>
      <c r="C2495" s="1">
        <v>45882</v>
      </c>
      <c r="D2495" t="s">
        <v>3850</v>
      </c>
      <c r="E2495" t="s">
        <v>18</v>
      </c>
      <c r="F2495" t="s">
        <v>148</v>
      </c>
      <c r="G2495" t="s">
        <v>238</v>
      </c>
      <c r="H2495" t="s">
        <v>597</v>
      </c>
      <c r="I2495" t="s">
        <v>148</v>
      </c>
      <c r="J2495">
        <v>1</v>
      </c>
      <c r="K2495">
        <v>3</v>
      </c>
      <c r="L2495">
        <v>0</v>
      </c>
      <c r="M2495">
        <v>0.78</v>
      </c>
      <c r="N2495" t="s">
        <v>368</v>
      </c>
      <c r="O2495" s="1">
        <v>46978</v>
      </c>
      <c r="S2495" s="9" t="s">
        <v>915</v>
      </c>
      <c r="T2495" s="2" t="s">
        <v>940</v>
      </c>
      <c r="U2495" s="2" t="s">
        <v>950</v>
      </c>
      <c r="V2495" s="2" t="s">
        <v>1650</v>
      </c>
      <c r="W2495" t="str">
        <f t="shared" si="41"/>
        <v>2000025615_20258</v>
      </c>
      <c r="X2495" s="10" t="s">
        <v>1615</v>
      </c>
    </row>
    <row r="2496" spans="1:24" hidden="1" x14ac:dyDescent="0.35">
      <c r="A2496">
        <v>63</v>
      </c>
      <c r="B2496">
        <v>2000058132</v>
      </c>
      <c r="C2496" s="1">
        <v>45882</v>
      </c>
      <c r="D2496" t="s">
        <v>600</v>
      </c>
      <c r="E2496" t="s">
        <v>18</v>
      </c>
      <c r="F2496" t="s">
        <v>39</v>
      </c>
      <c r="G2496" t="s">
        <v>3601</v>
      </c>
      <c r="H2496" t="s">
        <v>601</v>
      </c>
      <c r="I2496" t="s">
        <v>22</v>
      </c>
      <c r="J2496">
        <v>0.85499999999999998</v>
      </c>
      <c r="K2496">
        <v>2.6</v>
      </c>
      <c r="L2496">
        <v>7</v>
      </c>
      <c r="M2496">
        <v>0.68</v>
      </c>
      <c r="N2496" t="s">
        <v>28</v>
      </c>
      <c r="O2496" s="1">
        <v>46612</v>
      </c>
      <c r="Q2496" t="s">
        <v>3851</v>
      </c>
      <c r="S2496" s="9" t="s">
        <v>915</v>
      </c>
      <c r="T2496" s="2" t="s">
        <v>940</v>
      </c>
      <c r="U2496" s="2" t="s">
        <v>950</v>
      </c>
      <c r="V2496" s="2" t="s">
        <v>1650</v>
      </c>
      <c r="W2496" t="str">
        <f t="shared" ref="W2496:W2559" si="42">CONCATENATE(B2496,"_",V2496,T2496)</f>
        <v>2000058132_20258</v>
      </c>
      <c r="X2496" s="10" t="s">
        <v>1615</v>
      </c>
    </row>
    <row r="2497" spans="1:24" hidden="1" x14ac:dyDescent="0.35">
      <c r="A2497">
        <v>64</v>
      </c>
      <c r="B2497">
        <v>2000056705</v>
      </c>
      <c r="C2497" s="1">
        <v>45883</v>
      </c>
      <c r="D2497" t="s">
        <v>3852</v>
      </c>
      <c r="E2497" t="s">
        <v>18</v>
      </c>
      <c r="F2497" t="s">
        <v>39</v>
      </c>
      <c r="G2497" t="s">
        <v>168</v>
      </c>
      <c r="H2497" t="s">
        <v>291</v>
      </c>
      <c r="I2497" t="s">
        <v>41</v>
      </c>
      <c r="J2497">
        <v>0.83299999999999996</v>
      </c>
      <c r="K2497">
        <v>2.2999999999999998</v>
      </c>
      <c r="L2497">
        <v>4</v>
      </c>
      <c r="M2497">
        <v>0.76</v>
      </c>
      <c r="N2497" t="s">
        <v>28</v>
      </c>
      <c r="O2497" s="1">
        <v>46613</v>
      </c>
      <c r="S2497" s="9" t="s">
        <v>915</v>
      </c>
      <c r="T2497" s="2" t="s">
        <v>940</v>
      </c>
      <c r="U2497" s="2" t="s">
        <v>951</v>
      </c>
      <c r="V2497" s="2" t="s">
        <v>1650</v>
      </c>
      <c r="W2497" t="str">
        <f t="shared" si="42"/>
        <v>2000056705_20258</v>
      </c>
      <c r="X2497" s="10" t="s">
        <v>1615</v>
      </c>
    </row>
    <row r="2498" spans="1:24" hidden="1" x14ac:dyDescent="0.35">
      <c r="A2498">
        <v>65</v>
      </c>
      <c r="B2498">
        <v>2000065913</v>
      </c>
      <c r="C2498" s="1">
        <v>45883</v>
      </c>
      <c r="D2498" t="s">
        <v>606</v>
      </c>
      <c r="E2498" t="s">
        <v>18</v>
      </c>
      <c r="F2498" t="s">
        <v>148</v>
      </c>
      <c r="G2498" t="s">
        <v>245</v>
      </c>
      <c r="H2498" t="s">
        <v>607</v>
      </c>
      <c r="I2498" t="s">
        <v>148</v>
      </c>
      <c r="J2498">
        <v>1</v>
      </c>
      <c r="K2498">
        <v>3</v>
      </c>
      <c r="L2498">
        <v>0</v>
      </c>
      <c r="M2498">
        <v>0.79</v>
      </c>
      <c r="N2498" t="s">
        <v>368</v>
      </c>
      <c r="O2498" s="1">
        <v>46979</v>
      </c>
      <c r="S2498" s="9" t="s">
        <v>915</v>
      </c>
      <c r="T2498" s="2" t="s">
        <v>940</v>
      </c>
      <c r="U2498" s="2" t="s">
        <v>951</v>
      </c>
      <c r="V2498" s="2" t="s">
        <v>1650</v>
      </c>
      <c r="W2498" t="str">
        <f t="shared" si="42"/>
        <v>2000065913_20258</v>
      </c>
      <c r="X2498" s="10" t="s">
        <v>1615</v>
      </c>
    </row>
    <row r="2499" spans="1:24" hidden="1" x14ac:dyDescent="0.35">
      <c r="A2499">
        <v>66</v>
      </c>
      <c r="B2499">
        <v>2000058606</v>
      </c>
      <c r="C2499" s="1">
        <v>45891</v>
      </c>
      <c r="D2499" t="s">
        <v>3853</v>
      </c>
      <c r="E2499" t="s">
        <v>18</v>
      </c>
      <c r="F2499" t="s">
        <v>39</v>
      </c>
      <c r="G2499" t="s">
        <v>168</v>
      </c>
      <c r="H2499" t="s">
        <v>342</v>
      </c>
      <c r="I2499" t="s">
        <v>41</v>
      </c>
      <c r="J2499">
        <v>0.88200000000000001</v>
      </c>
      <c r="K2499">
        <v>2.6</v>
      </c>
      <c r="L2499">
        <v>2</v>
      </c>
      <c r="M2499">
        <v>0.78</v>
      </c>
      <c r="N2499" t="s">
        <v>28</v>
      </c>
      <c r="O2499" s="1">
        <v>46621</v>
      </c>
      <c r="S2499" s="9" t="s">
        <v>915</v>
      </c>
      <c r="T2499" s="2" t="s">
        <v>940</v>
      </c>
      <c r="U2499" s="2" t="s">
        <v>933</v>
      </c>
      <c r="V2499" s="2" t="s">
        <v>1650</v>
      </c>
      <c r="W2499" t="str">
        <f t="shared" si="42"/>
        <v>2000058606_20258</v>
      </c>
      <c r="X2499" s="10" t="s">
        <v>1615</v>
      </c>
    </row>
    <row r="2500" spans="1:24" hidden="1" x14ac:dyDescent="0.35">
      <c r="B2500">
        <v>2000055220</v>
      </c>
      <c r="C2500" s="12">
        <v>45873</v>
      </c>
      <c r="D2500" t="s">
        <v>2098</v>
      </c>
      <c r="E2500" s="11" t="s">
        <v>18</v>
      </c>
      <c r="F2500" s="11" t="s">
        <v>376</v>
      </c>
      <c r="G2500" s="11" t="s">
        <v>1759</v>
      </c>
      <c r="H2500" s="11" t="s">
        <v>3854</v>
      </c>
      <c r="I2500" t="s">
        <v>22</v>
      </c>
      <c r="J2500">
        <v>0.93799999999999994</v>
      </c>
      <c r="K2500">
        <v>3</v>
      </c>
      <c r="L2500">
        <v>0</v>
      </c>
      <c r="M2500">
        <v>0.81</v>
      </c>
      <c r="N2500" s="12" t="s">
        <v>2314</v>
      </c>
      <c r="O2500" s="12">
        <v>46969</v>
      </c>
      <c r="Q2500" t="s">
        <v>50</v>
      </c>
      <c r="R2500" s="11" t="s">
        <v>3719</v>
      </c>
      <c r="S2500" s="11" t="s">
        <v>915</v>
      </c>
      <c r="T2500" s="11">
        <v>8</v>
      </c>
      <c r="U2500" s="11">
        <v>4</v>
      </c>
      <c r="V2500" s="11">
        <v>2025</v>
      </c>
      <c r="W2500" s="11" t="str">
        <f t="shared" si="42"/>
        <v>2000055220_20258</v>
      </c>
      <c r="X2500" s="11" t="s">
        <v>1616</v>
      </c>
    </row>
    <row r="2501" spans="1:24" hidden="1" x14ac:dyDescent="0.35">
      <c r="B2501">
        <v>2000058983</v>
      </c>
      <c r="C2501" s="12">
        <v>45874</v>
      </c>
      <c r="D2501" t="s">
        <v>1879</v>
      </c>
      <c r="E2501" s="11" t="s">
        <v>18</v>
      </c>
      <c r="F2501" s="11" t="s">
        <v>43</v>
      </c>
      <c r="G2501" s="11" t="s">
        <v>1606</v>
      </c>
      <c r="H2501" s="11" t="s">
        <v>1880</v>
      </c>
      <c r="I2501" t="s">
        <v>22</v>
      </c>
      <c r="J2501">
        <v>0.98499999999999999</v>
      </c>
      <c r="K2501">
        <v>3</v>
      </c>
      <c r="L2501">
        <v>4</v>
      </c>
      <c r="M2501">
        <v>0.83</v>
      </c>
      <c r="N2501" s="12" t="s">
        <v>2314</v>
      </c>
      <c r="O2501" s="12">
        <v>46970</v>
      </c>
      <c r="P2501" t="s">
        <v>566</v>
      </c>
      <c r="Q2501" t="s">
        <v>3855</v>
      </c>
      <c r="R2501" s="11" t="s">
        <v>3719</v>
      </c>
      <c r="S2501" s="11" t="s">
        <v>915</v>
      </c>
      <c r="T2501" s="11">
        <v>8</v>
      </c>
      <c r="U2501" s="11">
        <v>5</v>
      </c>
      <c r="V2501" s="11">
        <v>2025</v>
      </c>
      <c r="W2501" s="11" t="str">
        <f t="shared" si="42"/>
        <v>2000058983_20258</v>
      </c>
      <c r="X2501" s="11" t="s">
        <v>1616</v>
      </c>
    </row>
    <row r="2502" spans="1:24" hidden="1" x14ac:dyDescent="0.35">
      <c r="B2502">
        <v>2000038211</v>
      </c>
      <c r="C2502" s="12">
        <v>45875</v>
      </c>
      <c r="D2502" t="s">
        <v>3165</v>
      </c>
      <c r="E2502" s="11" t="s">
        <v>18</v>
      </c>
      <c r="F2502" s="11" t="s">
        <v>43</v>
      </c>
      <c r="G2502" s="11" t="s">
        <v>1606</v>
      </c>
      <c r="H2502" s="11" t="s">
        <v>3166</v>
      </c>
      <c r="I2502" t="s">
        <v>22</v>
      </c>
      <c r="J2502">
        <v>0.97699999999999998</v>
      </c>
      <c r="K2502">
        <v>3</v>
      </c>
      <c r="L2502">
        <v>3</v>
      </c>
      <c r="M2502">
        <v>0.94</v>
      </c>
      <c r="N2502" s="12" t="s">
        <v>2314</v>
      </c>
      <c r="O2502" s="12">
        <v>46971</v>
      </c>
      <c r="P2502" t="s">
        <v>3856</v>
      </c>
      <c r="R2502" s="11" t="s">
        <v>3719</v>
      </c>
      <c r="S2502" s="11" t="s">
        <v>915</v>
      </c>
      <c r="T2502" s="11">
        <v>8</v>
      </c>
      <c r="U2502" s="11">
        <v>6</v>
      </c>
      <c r="V2502" s="11">
        <v>2025</v>
      </c>
      <c r="W2502" s="11" t="str">
        <f t="shared" si="42"/>
        <v>2000038211_20258</v>
      </c>
      <c r="X2502" s="11" t="s">
        <v>1616</v>
      </c>
    </row>
    <row r="2503" spans="1:24" hidden="1" x14ac:dyDescent="0.35">
      <c r="B2503">
        <v>2000070499</v>
      </c>
      <c r="C2503" s="12">
        <v>45876</v>
      </c>
      <c r="D2503" t="s">
        <v>3857</v>
      </c>
      <c r="E2503" s="11" t="s">
        <v>18</v>
      </c>
      <c r="F2503" s="11" t="s">
        <v>43</v>
      </c>
      <c r="G2503" s="11" t="s">
        <v>1606</v>
      </c>
      <c r="H2503" s="11" t="s">
        <v>3858</v>
      </c>
      <c r="I2503" t="s">
        <v>41</v>
      </c>
      <c r="J2503">
        <v>0.97499999999999998</v>
      </c>
      <c r="K2503">
        <v>3</v>
      </c>
      <c r="L2503">
        <v>1</v>
      </c>
      <c r="M2503">
        <v>0.82</v>
      </c>
      <c r="N2503" s="12" t="s">
        <v>2314</v>
      </c>
      <c r="O2503" s="12">
        <v>46972</v>
      </c>
      <c r="R2503" s="11" t="s">
        <v>3719</v>
      </c>
      <c r="S2503" s="11" t="s">
        <v>915</v>
      </c>
      <c r="T2503" s="11">
        <v>8</v>
      </c>
      <c r="U2503" s="11">
        <v>7</v>
      </c>
      <c r="V2503" s="11">
        <v>2025</v>
      </c>
      <c r="W2503" s="11" t="str">
        <f t="shared" si="42"/>
        <v>2000070499_20258</v>
      </c>
      <c r="X2503" s="11" t="s">
        <v>1616</v>
      </c>
    </row>
    <row r="2504" spans="1:24" hidden="1" x14ac:dyDescent="0.35">
      <c r="B2504">
        <v>2000058095</v>
      </c>
      <c r="C2504" s="12">
        <v>45877</v>
      </c>
      <c r="D2504" t="s">
        <v>3859</v>
      </c>
      <c r="E2504" s="11" t="s">
        <v>18</v>
      </c>
      <c r="F2504" s="11" t="s">
        <v>148</v>
      </c>
      <c r="G2504" s="11" t="s">
        <v>1603</v>
      </c>
      <c r="H2504" s="11" t="s">
        <v>3860</v>
      </c>
      <c r="I2504" t="s">
        <v>41</v>
      </c>
      <c r="J2504">
        <v>0.91</v>
      </c>
      <c r="K2504">
        <v>3</v>
      </c>
      <c r="L2504">
        <v>3</v>
      </c>
      <c r="M2504">
        <v>0.86</v>
      </c>
      <c r="N2504" s="12" t="s">
        <v>2314</v>
      </c>
      <c r="O2504" s="12">
        <v>46973</v>
      </c>
      <c r="R2504" s="11" t="s">
        <v>3719</v>
      </c>
      <c r="S2504" s="11" t="s">
        <v>915</v>
      </c>
      <c r="T2504" s="11">
        <v>8</v>
      </c>
      <c r="U2504" s="11">
        <v>8</v>
      </c>
      <c r="V2504" s="11">
        <v>2025</v>
      </c>
      <c r="W2504" s="11" t="str">
        <f t="shared" si="42"/>
        <v>2000058095_20258</v>
      </c>
      <c r="X2504" s="11" t="s">
        <v>1616</v>
      </c>
    </row>
    <row r="2505" spans="1:24" hidden="1" x14ac:dyDescent="0.35">
      <c r="B2505">
        <v>2000058276</v>
      </c>
      <c r="C2505" s="12">
        <v>45883</v>
      </c>
      <c r="D2505" t="s">
        <v>3862</v>
      </c>
      <c r="E2505" s="11" t="s">
        <v>18</v>
      </c>
      <c r="F2505" s="11" t="s">
        <v>1859</v>
      </c>
      <c r="G2505" s="11" t="s">
        <v>1606</v>
      </c>
      <c r="H2505" s="11" t="s">
        <v>2920</v>
      </c>
      <c r="I2505" t="s">
        <v>41</v>
      </c>
      <c r="J2505">
        <v>1</v>
      </c>
      <c r="K2505">
        <v>3</v>
      </c>
      <c r="L2505">
        <v>0</v>
      </c>
      <c r="M2505">
        <v>0.8</v>
      </c>
      <c r="N2505" s="12" t="s">
        <v>2314</v>
      </c>
      <c r="O2505" s="12">
        <v>46979</v>
      </c>
      <c r="R2505" s="11" t="s">
        <v>3719</v>
      </c>
      <c r="S2505" s="11" t="s">
        <v>915</v>
      </c>
      <c r="T2505" s="11">
        <v>8</v>
      </c>
      <c r="U2505" s="11">
        <v>14</v>
      </c>
      <c r="V2505" s="11">
        <v>2025</v>
      </c>
      <c r="W2505" s="11" t="str">
        <f t="shared" si="42"/>
        <v>2000058276_20258</v>
      </c>
      <c r="X2505" s="11" t="s">
        <v>1616</v>
      </c>
    </row>
    <row r="2506" spans="1:24" hidden="1" x14ac:dyDescent="0.35">
      <c r="B2506">
        <v>2000057730</v>
      </c>
      <c r="C2506" s="12">
        <v>45883</v>
      </c>
      <c r="D2506" t="s">
        <v>2919</v>
      </c>
      <c r="E2506" s="11" t="s">
        <v>18</v>
      </c>
      <c r="F2506" s="11" t="s">
        <v>1859</v>
      </c>
      <c r="G2506" s="11" t="s">
        <v>1606</v>
      </c>
      <c r="H2506" s="11" t="s">
        <v>2920</v>
      </c>
      <c r="I2506" t="s">
        <v>41</v>
      </c>
      <c r="J2506">
        <v>1</v>
      </c>
      <c r="K2506">
        <v>3</v>
      </c>
      <c r="L2506">
        <v>0</v>
      </c>
      <c r="M2506">
        <v>0.75</v>
      </c>
      <c r="N2506" s="12" t="s">
        <v>2314</v>
      </c>
      <c r="O2506" s="12">
        <v>46979</v>
      </c>
      <c r="R2506" s="11" t="s">
        <v>3719</v>
      </c>
      <c r="S2506" s="11" t="s">
        <v>915</v>
      </c>
      <c r="T2506" s="11">
        <v>8</v>
      </c>
      <c r="U2506" s="11">
        <v>14</v>
      </c>
      <c r="V2506" s="11">
        <v>2025</v>
      </c>
      <c r="W2506" s="11" t="str">
        <f t="shared" si="42"/>
        <v>2000057730_20258</v>
      </c>
      <c r="X2506" s="11" t="s">
        <v>1616</v>
      </c>
    </row>
    <row r="2507" spans="1:24" hidden="1" x14ac:dyDescent="0.35">
      <c r="B2507">
        <v>2000058025</v>
      </c>
      <c r="C2507" s="12">
        <v>45896</v>
      </c>
      <c r="D2507" t="s">
        <v>3863</v>
      </c>
      <c r="E2507" s="11" t="s">
        <v>18</v>
      </c>
      <c r="F2507" s="11" t="s">
        <v>39</v>
      </c>
      <c r="G2507" s="11" t="s">
        <v>1687</v>
      </c>
      <c r="H2507" s="11" t="s">
        <v>3864</v>
      </c>
      <c r="I2507" t="s">
        <v>22</v>
      </c>
      <c r="J2507">
        <v>0.93799999999999994</v>
      </c>
      <c r="K2507">
        <v>3</v>
      </c>
      <c r="L2507">
        <v>3</v>
      </c>
      <c r="M2507">
        <v>0.77</v>
      </c>
      <c r="N2507" s="12" t="s">
        <v>2314</v>
      </c>
      <c r="O2507" s="12">
        <v>46992</v>
      </c>
      <c r="R2507" s="11" t="s">
        <v>3719</v>
      </c>
      <c r="S2507" s="11" t="s">
        <v>915</v>
      </c>
      <c r="T2507" s="11">
        <v>8</v>
      </c>
      <c r="U2507" s="11">
        <v>27</v>
      </c>
      <c r="V2507" s="11">
        <v>2025</v>
      </c>
      <c r="W2507" s="11" t="str">
        <f t="shared" si="42"/>
        <v>2000058025_20258</v>
      </c>
      <c r="X2507" s="11" t="s">
        <v>1616</v>
      </c>
    </row>
    <row r="2508" spans="1:24" hidden="1" x14ac:dyDescent="0.35">
      <c r="B2508">
        <v>2000056448</v>
      </c>
      <c r="C2508" s="12">
        <v>45896</v>
      </c>
      <c r="D2508" t="s">
        <v>3865</v>
      </c>
      <c r="E2508" s="11" t="s">
        <v>18</v>
      </c>
      <c r="F2508" s="11" t="s">
        <v>376</v>
      </c>
      <c r="G2508" s="11" t="s">
        <v>1687</v>
      </c>
      <c r="H2508" s="11" t="s">
        <v>3866</v>
      </c>
      <c r="I2508" t="s">
        <v>41</v>
      </c>
      <c r="J2508">
        <v>0.91200000000000003</v>
      </c>
      <c r="K2508">
        <v>3</v>
      </c>
      <c r="L2508">
        <v>4</v>
      </c>
      <c r="M2508">
        <v>0.87</v>
      </c>
      <c r="N2508" s="12" t="s">
        <v>2314</v>
      </c>
      <c r="O2508" s="12">
        <v>46992</v>
      </c>
      <c r="R2508" s="11" t="s">
        <v>3719</v>
      </c>
      <c r="S2508" s="11" t="s">
        <v>915</v>
      </c>
      <c r="T2508" s="11">
        <v>8</v>
      </c>
      <c r="U2508" s="11">
        <v>27</v>
      </c>
      <c r="V2508" s="11">
        <v>2025</v>
      </c>
      <c r="W2508" s="11" t="str">
        <f t="shared" si="42"/>
        <v>2000056448_20258</v>
      </c>
      <c r="X2508" s="11" t="s">
        <v>1616</v>
      </c>
    </row>
    <row r="2509" spans="1:24" hidden="1" x14ac:dyDescent="0.35">
      <c r="B2509">
        <v>2000069027</v>
      </c>
      <c r="C2509" s="12">
        <v>45897</v>
      </c>
      <c r="D2509" t="s">
        <v>3867</v>
      </c>
      <c r="E2509" s="11" t="s">
        <v>18</v>
      </c>
      <c r="F2509" s="11" t="s">
        <v>19</v>
      </c>
      <c r="G2509" s="11" t="s">
        <v>1606</v>
      </c>
      <c r="H2509" s="11" t="s">
        <v>3868</v>
      </c>
      <c r="I2509" t="s">
        <v>22</v>
      </c>
      <c r="J2509">
        <v>0.96099999999999997</v>
      </c>
      <c r="K2509">
        <v>3</v>
      </c>
      <c r="L2509">
        <v>2</v>
      </c>
      <c r="M2509">
        <v>0.89</v>
      </c>
      <c r="N2509" s="12" t="s">
        <v>2314</v>
      </c>
      <c r="O2509" s="12">
        <v>46993</v>
      </c>
      <c r="R2509" s="11" t="s">
        <v>3719</v>
      </c>
      <c r="S2509" s="11" t="s">
        <v>915</v>
      </c>
      <c r="T2509" s="11">
        <v>8</v>
      </c>
      <c r="U2509" s="11">
        <v>28</v>
      </c>
      <c r="V2509" s="11">
        <v>2025</v>
      </c>
      <c r="W2509" s="11" t="str">
        <f t="shared" si="42"/>
        <v>2000069027_20258</v>
      </c>
      <c r="X2509" s="11" t="s">
        <v>1616</v>
      </c>
    </row>
    <row r="2510" spans="1:24" hidden="1" x14ac:dyDescent="0.35">
      <c r="B2510">
        <v>2000059126</v>
      </c>
      <c r="C2510" s="12">
        <v>45898</v>
      </c>
      <c r="D2510" t="s">
        <v>3869</v>
      </c>
      <c r="E2510" s="11" t="s">
        <v>18</v>
      </c>
      <c r="F2510" s="11" t="s">
        <v>39</v>
      </c>
      <c r="G2510" s="11" t="s">
        <v>1606</v>
      </c>
      <c r="H2510" s="11" t="s">
        <v>3870</v>
      </c>
      <c r="I2510" t="s">
        <v>41</v>
      </c>
      <c r="J2510">
        <v>1</v>
      </c>
      <c r="K2510">
        <v>3</v>
      </c>
      <c r="L2510">
        <v>0</v>
      </c>
      <c r="M2510">
        <v>0.75</v>
      </c>
      <c r="N2510" s="12" t="s">
        <v>2314</v>
      </c>
      <c r="O2510" s="12">
        <v>46994</v>
      </c>
      <c r="R2510" s="11" t="s">
        <v>3719</v>
      </c>
      <c r="S2510" s="11" t="s">
        <v>915</v>
      </c>
      <c r="T2510" s="11">
        <v>8</v>
      </c>
      <c r="U2510" s="11">
        <v>29</v>
      </c>
      <c r="V2510" s="11">
        <v>2025</v>
      </c>
      <c r="W2510" s="11" t="str">
        <f t="shared" si="42"/>
        <v>2000059126_20258</v>
      </c>
      <c r="X2510" s="11" t="s">
        <v>1616</v>
      </c>
    </row>
    <row r="2511" spans="1:24" hidden="1" x14ac:dyDescent="0.35">
      <c r="B2511" t="s">
        <v>1092</v>
      </c>
      <c r="C2511" s="12"/>
      <c r="D2511" t="s">
        <v>3843</v>
      </c>
      <c r="F2511" s="11"/>
      <c r="G2511" s="11"/>
      <c r="H2511" s="11"/>
      <c r="N2511" s="12"/>
      <c r="O2511" s="12"/>
      <c r="S2511" s="11" t="s">
        <v>1092</v>
      </c>
      <c r="T2511" s="11">
        <v>8</v>
      </c>
      <c r="U2511" s="11">
        <v>7</v>
      </c>
      <c r="V2511" s="11">
        <v>2025</v>
      </c>
      <c r="W2511" s="11" t="str">
        <f t="shared" si="42"/>
        <v>SA_New_20258</v>
      </c>
      <c r="X2511" s="11" t="s">
        <v>1616</v>
      </c>
    </row>
    <row r="2512" spans="1:24" hidden="1" x14ac:dyDescent="0.35">
      <c r="B2512" t="s">
        <v>1092</v>
      </c>
      <c r="C2512" s="12"/>
      <c r="D2512" t="s">
        <v>3871</v>
      </c>
      <c r="F2512" s="11"/>
      <c r="G2512" s="11"/>
      <c r="H2512" s="11"/>
      <c r="N2512" s="12"/>
      <c r="O2512" s="12"/>
      <c r="S2512" s="11" t="s">
        <v>1092</v>
      </c>
      <c r="T2512" s="11">
        <v>8</v>
      </c>
      <c r="U2512" s="11">
        <v>11</v>
      </c>
      <c r="V2512" s="11">
        <v>2025</v>
      </c>
      <c r="W2512" s="11" t="str">
        <f t="shared" si="42"/>
        <v>SA_New_20258</v>
      </c>
      <c r="X2512" s="11" t="s">
        <v>1616</v>
      </c>
    </row>
    <row r="2513" spans="1:24" hidden="1" x14ac:dyDescent="0.35">
      <c r="B2513" s="11" t="s">
        <v>1092</v>
      </c>
      <c r="C2513"/>
      <c r="D2513" t="s">
        <v>3872</v>
      </c>
      <c r="F2513" s="11"/>
      <c r="G2513" s="11"/>
      <c r="H2513" s="11"/>
      <c r="O2513"/>
      <c r="S2513" s="11" t="s">
        <v>1092</v>
      </c>
      <c r="T2513" s="11">
        <v>8</v>
      </c>
      <c r="U2513" s="11">
        <v>18</v>
      </c>
      <c r="V2513" s="11">
        <v>2025</v>
      </c>
      <c r="W2513" s="11" t="str">
        <f t="shared" si="42"/>
        <v>SA_New_20258</v>
      </c>
      <c r="X2513" s="11" t="s">
        <v>1616</v>
      </c>
    </row>
    <row r="2514" spans="1:24" hidden="1" x14ac:dyDescent="0.35">
      <c r="B2514" s="11" t="s">
        <v>1092</v>
      </c>
      <c r="C2514"/>
      <c r="D2514" t="s">
        <v>3873</v>
      </c>
      <c r="O2514"/>
      <c r="S2514" s="11" t="s">
        <v>1092</v>
      </c>
      <c r="T2514" s="11">
        <v>8</v>
      </c>
      <c r="U2514" s="11">
        <v>18</v>
      </c>
      <c r="V2514" s="11">
        <v>2025</v>
      </c>
      <c r="W2514" s="11" t="str">
        <f t="shared" si="42"/>
        <v>SA_New_20258</v>
      </c>
      <c r="X2514" s="11" t="s">
        <v>1616</v>
      </c>
    </row>
    <row r="2515" spans="1:24" hidden="1" x14ac:dyDescent="0.35">
      <c r="B2515" s="11" t="s">
        <v>1092</v>
      </c>
      <c r="C2515"/>
      <c r="D2515" t="s">
        <v>3874</v>
      </c>
      <c r="O2515"/>
      <c r="S2515" s="11" t="s">
        <v>1092</v>
      </c>
      <c r="T2515" s="11">
        <v>8</v>
      </c>
      <c r="U2515" s="11">
        <v>19</v>
      </c>
      <c r="V2515" s="11">
        <v>2025</v>
      </c>
      <c r="W2515" s="11" t="str">
        <f t="shared" si="42"/>
        <v>SA_New_20258</v>
      </c>
      <c r="X2515" s="11" t="s">
        <v>1616</v>
      </c>
    </row>
    <row r="2516" spans="1:24" hidden="1" x14ac:dyDescent="0.35">
      <c r="B2516" s="11" t="s">
        <v>1092</v>
      </c>
      <c r="C2516"/>
      <c r="D2516" t="s">
        <v>3875</v>
      </c>
      <c r="O2516"/>
      <c r="S2516" s="11" t="s">
        <v>1092</v>
      </c>
      <c r="T2516" s="11">
        <v>8</v>
      </c>
      <c r="U2516" s="11">
        <v>29</v>
      </c>
      <c r="V2516" s="11">
        <v>2025</v>
      </c>
      <c r="W2516" s="11" t="str">
        <f t="shared" si="42"/>
        <v>SA_New_20258</v>
      </c>
      <c r="X2516" s="11" t="s">
        <v>1616</v>
      </c>
    </row>
    <row r="2517" spans="1:24" hidden="1" x14ac:dyDescent="0.35">
      <c r="B2517" s="11" t="s">
        <v>1092</v>
      </c>
      <c r="C2517"/>
      <c r="D2517" t="s">
        <v>3876</v>
      </c>
      <c r="O2517"/>
      <c r="S2517" s="11" t="s">
        <v>1092</v>
      </c>
      <c r="T2517" s="11">
        <v>8</v>
      </c>
      <c r="U2517" s="11">
        <v>29</v>
      </c>
      <c r="V2517" s="11">
        <v>2025</v>
      </c>
      <c r="W2517" s="11" t="str">
        <f t="shared" si="42"/>
        <v>SA_New_20258</v>
      </c>
      <c r="X2517" s="11" t="s">
        <v>1616</v>
      </c>
    </row>
    <row r="2518" spans="1:24" hidden="1" x14ac:dyDescent="0.35">
      <c r="B2518" s="11" t="s">
        <v>1092</v>
      </c>
      <c r="C2518"/>
      <c r="D2518" t="s">
        <v>3877</v>
      </c>
      <c r="O2518"/>
      <c r="S2518" s="11" t="s">
        <v>1092</v>
      </c>
      <c r="T2518" s="11">
        <v>8</v>
      </c>
      <c r="U2518" s="11">
        <v>29</v>
      </c>
      <c r="V2518" s="11">
        <v>2025</v>
      </c>
      <c r="W2518" s="11" t="str">
        <f t="shared" si="42"/>
        <v>SA_New_20258</v>
      </c>
      <c r="X2518" s="11" t="s">
        <v>1616</v>
      </c>
    </row>
    <row r="2519" spans="1:24" hidden="1" x14ac:dyDescent="0.35">
      <c r="A2519">
        <v>9</v>
      </c>
      <c r="B2519" t="s">
        <v>3714</v>
      </c>
      <c r="C2519" s="1">
        <v>45895</v>
      </c>
      <c r="D2519" t="s">
        <v>3878</v>
      </c>
      <c r="E2519" t="s">
        <v>3466</v>
      </c>
      <c r="F2519" t="s">
        <v>26</v>
      </c>
      <c r="G2519" t="s">
        <v>3879</v>
      </c>
      <c r="J2519">
        <v>0.91700000000000004</v>
      </c>
      <c r="L2519">
        <v>0</v>
      </c>
      <c r="N2519" t="s">
        <v>23</v>
      </c>
      <c r="O2519" s="1">
        <v>46260</v>
      </c>
      <c r="S2519" t="s">
        <v>3714</v>
      </c>
      <c r="T2519" s="5">
        <v>8</v>
      </c>
      <c r="U2519" s="5">
        <v>26</v>
      </c>
      <c r="V2519">
        <v>2025</v>
      </c>
      <c r="W2519" t="str">
        <f t="shared" si="42"/>
        <v>Waste_20258</v>
      </c>
      <c r="X2519" t="s">
        <v>1615</v>
      </c>
    </row>
    <row r="2520" spans="1:24" hidden="1" x14ac:dyDescent="0.35">
      <c r="A2520">
        <v>67</v>
      </c>
      <c r="B2520">
        <v>2000055985</v>
      </c>
      <c r="C2520" s="1">
        <v>45930</v>
      </c>
      <c r="D2520" t="s">
        <v>3880</v>
      </c>
      <c r="E2520" t="s">
        <v>18</v>
      </c>
      <c r="F2520" t="s">
        <v>373</v>
      </c>
      <c r="G2520" t="s">
        <v>20</v>
      </c>
      <c r="H2520" t="s">
        <v>3881</v>
      </c>
      <c r="I2520" t="s">
        <v>41</v>
      </c>
      <c r="J2520">
        <v>1</v>
      </c>
      <c r="K2520">
        <v>3</v>
      </c>
      <c r="L2520">
        <v>1</v>
      </c>
      <c r="M2520">
        <v>0.89</v>
      </c>
      <c r="N2520" t="s">
        <v>368</v>
      </c>
      <c r="O2520" s="1">
        <v>47026</v>
      </c>
      <c r="S2520" s="9" t="s">
        <v>915</v>
      </c>
      <c r="T2520" s="2" t="s">
        <v>942</v>
      </c>
      <c r="U2520" s="2" t="s">
        <v>938</v>
      </c>
      <c r="V2520" s="2" t="s">
        <v>1650</v>
      </c>
      <c r="W2520" t="str">
        <f t="shared" si="42"/>
        <v>2000055985_20259</v>
      </c>
      <c r="X2520" s="10" t="s">
        <v>1615</v>
      </c>
    </row>
    <row r="2521" spans="1:24" hidden="1" x14ac:dyDescent="0.35">
      <c r="A2521">
        <v>68</v>
      </c>
      <c r="B2521">
        <v>2000058066</v>
      </c>
      <c r="C2521" s="1">
        <v>45931</v>
      </c>
      <c r="D2521" t="s">
        <v>3882</v>
      </c>
      <c r="E2521" t="s">
        <v>18</v>
      </c>
      <c r="F2521" t="s">
        <v>148</v>
      </c>
      <c r="G2521" t="s">
        <v>20</v>
      </c>
      <c r="H2521" t="s">
        <v>3883</v>
      </c>
      <c r="I2521" t="s">
        <v>148</v>
      </c>
      <c r="J2521">
        <v>0.94699999999999995</v>
      </c>
      <c r="K2521">
        <v>2.4500000000000002</v>
      </c>
      <c r="L2521">
        <v>2</v>
      </c>
      <c r="M2521">
        <v>0.69</v>
      </c>
      <c r="N2521" t="s">
        <v>28</v>
      </c>
      <c r="O2521" s="1">
        <v>46661</v>
      </c>
      <c r="S2521" s="9" t="s">
        <v>915</v>
      </c>
      <c r="T2521" s="2" t="s">
        <v>948</v>
      </c>
      <c r="U2521" s="2" t="s">
        <v>953</v>
      </c>
      <c r="V2521" s="2" t="s">
        <v>1650</v>
      </c>
      <c r="W2521" t="str">
        <f t="shared" si="42"/>
        <v>2000058066_202510</v>
      </c>
      <c r="X2521" s="10" t="s">
        <v>1615</v>
      </c>
    </row>
    <row r="2522" spans="1:24" hidden="1" x14ac:dyDescent="0.35">
      <c r="A2522">
        <v>69</v>
      </c>
      <c r="B2522">
        <v>2000040770</v>
      </c>
      <c r="C2522" s="1">
        <v>45931</v>
      </c>
      <c r="D2522" t="s">
        <v>3884</v>
      </c>
      <c r="E2522" t="s">
        <v>18</v>
      </c>
      <c r="F2522" t="s">
        <v>39</v>
      </c>
      <c r="G2522" t="s">
        <v>20</v>
      </c>
      <c r="H2522" t="s">
        <v>3885</v>
      </c>
      <c r="I2522" t="s">
        <v>41</v>
      </c>
      <c r="J2522">
        <v>0.94</v>
      </c>
      <c r="K2522">
        <v>3</v>
      </c>
      <c r="L2522">
        <v>2</v>
      </c>
      <c r="M2522">
        <v>0.86</v>
      </c>
      <c r="N2522" t="s">
        <v>368</v>
      </c>
      <c r="O2522" s="1">
        <v>47027</v>
      </c>
      <c r="S2522" s="9" t="s">
        <v>915</v>
      </c>
      <c r="T2522" s="2" t="s">
        <v>948</v>
      </c>
      <c r="U2522" s="2" t="s">
        <v>953</v>
      </c>
      <c r="V2522" s="2" t="s">
        <v>1650</v>
      </c>
      <c r="W2522" t="str">
        <f t="shared" si="42"/>
        <v>2000040770_202510</v>
      </c>
      <c r="X2522" s="10" t="s">
        <v>1615</v>
      </c>
    </row>
    <row r="2523" spans="1:24" hidden="1" x14ac:dyDescent="0.35">
      <c r="A2523">
        <v>70</v>
      </c>
      <c r="B2523">
        <v>2000058926</v>
      </c>
      <c r="C2523" s="1">
        <v>45933</v>
      </c>
      <c r="D2523" t="s">
        <v>3886</v>
      </c>
      <c r="E2523" t="s">
        <v>18</v>
      </c>
      <c r="F2523" t="s">
        <v>32</v>
      </c>
      <c r="G2523" t="s">
        <v>20</v>
      </c>
      <c r="H2523" t="s">
        <v>615</v>
      </c>
      <c r="I2523" t="s">
        <v>41</v>
      </c>
      <c r="J2523">
        <v>1</v>
      </c>
      <c r="K2523">
        <v>3</v>
      </c>
      <c r="L2523">
        <v>0</v>
      </c>
      <c r="M2523">
        <v>0.78</v>
      </c>
      <c r="N2523" t="s">
        <v>368</v>
      </c>
      <c r="O2523" s="1">
        <v>47029</v>
      </c>
      <c r="S2523" s="9" t="s">
        <v>915</v>
      </c>
      <c r="T2523" s="2" t="s">
        <v>948</v>
      </c>
      <c r="U2523" s="2" t="s">
        <v>941</v>
      </c>
      <c r="V2523" s="2" t="s">
        <v>1650</v>
      </c>
      <c r="W2523" t="str">
        <f t="shared" si="42"/>
        <v>2000058926_202510</v>
      </c>
      <c r="X2523" s="10" t="s">
        <v>1615</v>
      </c>
    </row>
    <row r="2524" spans="1:24" hidden="1" x14ac:dyDescent="0.35">
      <c r="A2524">
        <v>71</v>
      </c>
      <c r="B2524">
        <v>2000056710</v>
      </c>
      <c r="C2524" s="1">
        <v>45939</v>
      </c>
      <c r="D2524" t="s">
        <v>3887</v>
      </c>
      <c r="E2524" t="s">
        <v>18</v>
      </c>
      <c r="F2524" t="s">
        <v>32</v>
      </c>
      <c r="G2524" t="s">
        <v>92</v>
      </c>
      <c r="H2524" t="s">
        <v>3888</v>
      </c>
      <c r="I2524" t="s">
        <v>41</v>
      </c>
      <c r="J2524">
        <v>0.97</v>
      </c>
      <c r="K2524">
        <v>2.7</v>
      </c>
      <c r="L2524">
        <v>0</v>
      </c>
      <c r="M2524">
        <v>0.68</v>
      </c>
      <c r="N2524" t="s">
        <v>28</v>
      </c>
      <c r="O2524" s="1">
        <v>46669</v>
      </c>
      <c r="S2524" s="9" t="s">
        <v>915</v>
      </c>
      <c r="T2524" s="2" t="s">
        <v>948</v>
      </c>
      <c r="U2524" s="2" t="s">
        <v>942</v>
      </c>
      <c r="V2524" s="2" t="s">
        <v>1650</v>
      </c>
      <c r="W2524" t="str">
        <f t="shared" si="42"/>
        <v>2000056710_202510</v>
      </c>
      <c r="X2524" s="10" t="s">
        <v>1615</v>
      </c>
    </row>
    <row r="2525" spans="1:24" hidden="1" x14ac:dyDescent="0.35">
      <c r="A2525">
        <v>72</v>
      </c>
      <c r="B2525">
        <v>2000057677</v>
      </c>
      <c r="C2525" s="1">
        <v>45940</v>
      </c>
      <c r="D2525" t="s">
        <v>3889</v>
      </c>
      <c r="E2525" t="s">
        <v>18</v>
      </c>
      <c r="F2525" t="s">
        <v>39</v>
      </c>
      <c r="G2525" t="s">
        <v>20</v>
      </c>
      <c r="H2525" t="s">
        <v>3890</v>
      </c>
      <c r="I2525" t="s">
        <v>41</v>
      </c>
      <c r="J2525">
        <v>0.91</v>
      </c>
      <c r="K2525">
        <v>3</v>
      </c>
      <c r="L2525">
        <v>2</v>
      </c>
      <c r="M2525">
        <v>0.84</v>
      </c>
      <c r="N2525" t="s">
        <v>368</v>
      </c>
      <c r="O2525" s="1">
        <v>47036</v>
      </c>
      <c r="S2525" s="9" t="s">
        <v>915</v>
      </c>
      <c r="T2525" s="2" t="s">
        <v>948</v>
      </c>
      <c r="U2525" s="2" t="s">
        <v>948</v>
      </c>
      <c r="V2525" s="2" t="s">
        <v>1650</v>
      </c>
      <c r="W2525" t="str">
        <f t="shared" si="42"/>
        <v>2000057677_202510</v>
      </c>
      <c r="X2525" s="10" t="s">
        <v>1615</v>
      </c>
    </row>
    <row r="2526" spans="1:24" hidden="1" x14ac:dyDescent="0.35">
      <c r="A2526">
        <v>73</v>
      </c>
      <c r="B2526">
        <v>2000057655</v>
      </c>
      <c r="C2526" s="1">
        <v>45940</v>
      </c>
      <c r="D2526" t="s">
        <v>3891</v>
      </c>
      <c r="E2526" t="s">
        <v>18</v>
      </c>
      <c r="F2526" t="s">
        <v>39</v>
      </c>
      <c r="G2526" t="s">
        <v>20</v>
      </c>
      <c r="H2526" t="s">
        <v>3892</v>
      </c>
      <c r="I2526" t="s">
        <v>41</v>
      </c>
      <c r="J2526">
        <v>0.94</v>
      </c>
      <c r="K2526">
        <v>3</v>
      </c>
      <c r="L2526">
        <v>1</v>
      </c>
      <c r="M2526">
        <v>0.78</v>
      </c>
      <c r="N2526" t="s">
        <v>368</v>
      </c>
      <c r="O2526" s="1">
        <v>47036</v>
      </c>
      <c r="S2526" s="9" t="s">
        <v>915</v>
      </c>
      <c r="T2526" s="2" t="s">
        <v>948</v>
      </c>
      <c r="U2526" s="2" t="s">
        <v>948</v>
      </c>
      <c r="V2526" s="2" t="s">
        <v>1650</v>
      </c>
      <c r="W2526" t="str">
        <f t="shared" si="42"/>
        <v>2000057655_202510</v>
      </c>
      <c r="X2526" s="10" t="s">
        <v>1615</v>
      </c>
    </row>
    <row r="2527" spans="1:24" hidden="1" x14ac:dyDescent="0.35">
      <c r="A2527">
        <v>23</v>
      </c>
      <c r="B2527" t="s">
        <v>1092</v>
      </c>
      <c r="C2527" s="1">
        <v>45856.416956018518</v>
      </c>
      <c r="D2527" t="s">
        <v>3822</v>
      </c>
      <c r="F2527" t="s">
        <v>1974</v>
      </c>
      <c r="G2527" t="s">
        <v>20</v>
      </c>
      <c r="H2527" t="s">
        <v>3823</v>
      </c>
      <c r="I2527" t="s">
        <v>3824</v>
      </c>
      <c r="J2527">
        <f>100%-24.4%</f>
        <v>0.75600000000000001</v>
      </c>
      <c r="S2527" s="9" t="s">
        <v>1092</v>
      </c>
      <c r="T2527" s="2" t="s">
        <v>936</v>
      </c>
      <c r="U2527" s="2" t="s">
        <v>930</v>
      </c>
      <c r="V2527" s="2" t="s">
        <v>1650</v>
      </c>
      <c r="W2527" t="str">
        <f t="shared" si="42"/>
        <v>SA_New_20257</v>
      </c>
      <c r="X2527" s="10" t="s">
        <v>1615</v>
      </c>
    </row>
    <row r="2528" spans="1:24" hidden="1" x14ac:dyDescent="0.35">
      <c r="A2528">
        <v>24</v>
      </c>
      <c r="B2528" t="s">
        <v>1092</v>
      </c>
      <c r="C2528" s="1">
        <v>45868.672673611109</v>
      </c>
      <c r="D2528" t="s">
        <v>3893</v>
      </c>
      <c r="F2528" t="s">
        <v>1978</v>
      </c>
      <c r="G2528" t="s">
        <v>20</v>
      </c>
      <c r="H2528" t="s">
        <v>3894</v>
      </c>
      <c r="I2528" t="s">
        <v>3895</v>
      </c>
      <c r="J2528">
        <f>100%-18%</f>
        <v>0.82000000000000006</v>
      </c>
      <c r="S2528" s="9" t="s">
        <v>1092</v>
      </c>
      <c r="T2528" s="2" t="s">
        <v>936</v>
      </c>
      <c r="U2528" s="2" t="s">
        <v>938</v>
      </c>
      <c r="V2528" s="2" t="s">
        <v>1650</v>
      </c>
      <c r="W2528" t="str">
        <f t="shared" si="42"/>
        <v>SA_New_20257</v>
      </c>
      <c r="X2528" s="10" t="s">
        <v>1615</v>
      </c>
    </row>
    <row r="2529" spans="1:24" hidden="1" x14ac:dyDescent="0.35">
      <c r="A2529">
        <v>25</v>
      </c>
      <c r="B2529" t="s">
        <v>1092</v>
      </c>
      <c r="C2529" s="1">
        <v>45868.697013888886</v>
      </c>
      <c r="D2529" t="s">
        <v>3896</v>
      </c>
      <c r="F2529" t="s">
        <v>1974</v>
      </c>
      <c r="G2529" t="s">
        <v>20</v>
      </c>
      <c r="H2529" t="s">
        <v>3897</v>
      </c>
      <c r="I2529" t="s">
        <v>3895</v>
      </c>
      <c r="J2529">
        <f>100%-52.6%</f>
        <v>0.47399999999999998</v>
      </c>
      <c r="S2529" s="9" t="s">
        <v>1092</v>
      </c>
      <c r="T2529" s="2" t="s">
        <v>936</v>
      </c>
      <c r="U2529" s="2" t="s">
        <v>938</v>
      </c>
      <c r="V2529" s="2" t="s">
        <v>1650</v>
      </c>
      <c r="W2529" t="str">
        <f t="shared" si="42"/>
        <v>SA_New_20257</v>
      </c>
      <c r="X2529" s="10" t="s">
        <v>1615</v>
      </c>
    </row>
    <row r="2530" spans="1:24" hidden="1" x14ac:dyDescent="0.35">
      <c r="A2530">
        <v>26</v>
      </c>
      <c r="B2530" t="s">
        <v>1092</v>
      </c>
      <c r="C2530" s="1">
        <v>45896.714444444442</v>
      </c>
      <c r="D2530" t="s">
        <v>3898</v>
      </c>
      <c r="F2530" t="s">
        <v>1974</v>
      </c>
      <c r="G2530" t="s">
        <v>20</v>
      </c>
      <c r="H2530" t="s">
        <v>3899</v>
      </c>
      <c r="I2530" t="s">
        <v>3900</v>
      </c>
      <c r="J2530">
        <f>100%-16.3%</f>
        <v>0.83699999999999997</v>
      </c>
      <c r="S2530" s="9" t="s">
        <v>1092</v>
      </c>
      <c r="T2530" s="2" t="s">
        <v>940</v>
      </c>
      <c r="U2530" s="2" t="s">
        <v>925</v>
      </c>
      <c r="V2530" s="2" t="s">
        <v>1650</v>
      </c>
      <c r="W2530" t="str">
        <f t="shared" si="42"/>
        <v>SA_New_20258</v>
      </c>
      <c r="X2530" s="10" t="s">
        <v>1615</v>
      </c>
    </row>
    <row r="2531" spans="1:24" hidden="1" x14ac:dyDescent="0.35">
      <c r="A2531">
        <v>27</v>
      </c>
      <c r="B2531" t="s">
        <v>1092</v>
      </c>
      <c r="C2531" s="1">
        <v>45908.712256944447</v>
      </c>
      <c r="D2531" t="s">
        <v>3901</v>
      </c>
      <c r="F2531" t="s">
        <v>1985</v>
      </c>
      <c r="G2531" t="s">
        <v>92</v>
      </c>
      <c r="H2531" t="s">
        <v>3902</v>
      </c>
      <c r="I2531" t="s">
        <v>1993</v>
      </c>
      <c r="J2531">
        <f>100%-25.5%</f>
        <v>0.745</v>
      </c>
      <c r="S2531" s="9" t="s">
        <v>1092</v>
      </c>
      <c r="T2531" s="2" t="s">
        <v>942</v>
      </c>
      <c r="U2531" s="2" t="s">
        <v>940</v>
      </c>
      <c r="V2531" s="2" t="s">
        <v>1650</v>
      </c>
      <c r="W2531" t="str">
        <f t="shared" si="42"/>
        <v>SA_New_20259</v>
      </c>
      <c r="X2531" s="10" t="s">
        <v>1615</v>
      </c>
    </row>
    <row r="2532" spans="1:24" hidden="1" x14ac:dyDescent="0.35">
      <c r="A2532">
        <v>28</v>
      </c>
      <c r="B2532" t="s">
        <v>1092</v>
      </c>
      <c r="C2532" s="1">
        <v>45910.686168981483</v>
      </c>
      <c r="D2532" t="s">
        <v>3903</v>
      </c>
      <c r="F2532" t="s">
        <v>1985</v>
      </c>
      <c r="G2532" t="s">
        <v>92</v>
      </c>
      <c r="H2532" t="s">
        <v>3904</v>
      </c>
      <c r="I2532" t="s">
        <v>1993</v>
      </c>
      <c r="J2532">
        <f>100%-60.4%</f>
        <v>0.39600000000000002</v>
      </c>
      <c r="S2532" s="9" t="s">
        <v>1092</v>
      </c>
      <c r="T2532" s="2" t="s">
        <v>942</v>
      </c>
      <c r="U2532" s="2" t="s">
        <v>948</v>
      </c>
      <c r="V2532" s="2" t="s">
        <v>1650</v>
      </c>
      <c r="W2532" t="str">
        <f t="shared" si="42"/>
        <v>SA_New_20259</v>
      </c>
      <c r="X2532" s="10" t="s">
        <v>1615</v>
      </c>
    </row>
    <row r="2533" spans="1:24" hidden="1" x14ac:dyDescent="0.35">
      <c r="A2533">
        <v>29</v>
      </c>
      <c r="B2533" t="s">
        <v>1092</v>
      </c>
      <c r="C2533" s="1">
        <v>45915</v>
      </c>
      <c r="D2533" t="s">
        <v>3905</v>
      </c>
      <c r="F2533" t="s">
        <v>1974</v>
      </c>
      <c r="G2533" t="s">
        <v>20</v>
      </c>
      <c r="H2533" t="s">
        <v>3906</v>
      </c>
      <c r="I2533" t="s">
        <v>3907</v>
      </c>
      <c r="J2533">
        <f>100%-21.7%</f>
        <v>0.78300000000000003</v>
      </c>
      <c r="S2533" s="9" t="s">
        <v>1092</v>
      </c>
      <c r="T2533" s="2" t="s">
        <v>942</v>
      </c>
      <c r="U2533" s="2" t="s">
        <v>943</v>
      </c>
      <c r="V2533" s="2" t="s">
        <v>1650</v>
      </c>
      <c r="W2533" t="str">
        <f t="shared" si="42"/>
        <v>SA_New_20259</v>
      </c>
      <c r="X2533" s="10" t="s">
        <v>1615</v>
      </c>
    </row>
    <row r="2534" spans="1:24" hidden="1" x14ac:dyDescent="0.35">
      <c r="A2534">
        <v>30</v>
      </c>
      <c r="B2534" t="s">
        <v>1092</v>
      </c>
      <c r="C2534" s="1">
        <v>45915</v>
      </c>
      <c r="D2534" t="s">
        <v>3908</v>
      </c>
      <c r="F2534" t="s">
        <v>1974</v>
      </c>
      <c r="G2534" t="s">
        <v>20</v>
      </c>
      <c r="H2534" t="s">
        <v>3909</v>
      </c>
      <c r="I2534" t="s">
        <v>3910</v>
      </c>
      <c r="J2534">
        <f>100%-22.4%</f>
        <v>0.77600000000000002</v>
      </c>
      <c r="S2534" s="9" t="s">
        <v>1092</v>
      </c>
      <c r="T2534" s="2" t="s">
        <v>942</v>
      </c>
      <c r="U2534" s="2" t="s">
        <v>943</v>
      </c>
      <c r="V2534" s="2" t="s">
        <v>1650</v>
      </c>
      <c r="W2534" t="str">
        <f t="shared" si="42"/>
        <v>SA_New_20259</v>
      </c>
      <c r="X2534" s="10" t="s">
        <v>1615</v>
      </c>
    </row>
    <row r="2535" spans="1:24" hidden="1" x14ac:dyDescent="0.35">
      <c r="A2535">
        <v>31</v>
      </c>
      <c r="B2535" t="s">
        <v>1092</v>
      </c>
      <c r="C2535" s="1">
        <v>45915</v>
      </c>
      <c r="D2535" t="s">
        <v>3911</v>
      </c>
      <c r="F2535" t="s">
        <v>1974</v>
      </c>
      <c r="G2535" t="s">
        <v>1277</v>
      </c>
      <c r="H2535" t="s">
        <v>3912</v>
      </c>
      <c r="I2535" t="s">
        <v>3913</v>
      </c>
      <c r="J2535">
        <f>100%-46.1%</f>
        <v>0.53899999999999992</v>
      </c>
      <c r="S2535" s="9" t="s">
        <v>1092</v>
      </c>
      <c r="T2535" s="2" t="s">
        <v>942</v>
      </c>
      <c r="U2535" s="2" t="s">
        <v>943</v>
      </c>
      <c r="V2535" s="2" t="s">
        <v>1650</v>
      </c>
      <c r="W2535" t="str">
        <f t="shared" si="42"/>
        <v>SA_New_20259</v>
      </c>
      <c r="X2535" s="10" t="s">
        <v>1615</v>
      </c>
    </row>
    <row r="2536" spans="1:24" hidden="1" x14ac:dyDescent="0.35">
      <c r="A2536">
        <v>32</v>
      </c>
      <c r="B2536" t="s">
        <v>1092</v>
      </c>
      <c r="C2536" s="1">
        <v>45917</v>
      </c>
      <c r="D2536" t="s">
        <v>3914</v>
      </c>
      <c r="F2536" t="s">
        <v>1981</v>
      </c>
      <c r="G2536" t="s">
        <v>20</v>
      </c>
      <c r="H2536" t="s">
        <v>3915</v>
      </c>
      <c r="I2536" t="s">
        <v>1983</v>
      </c>
      <c r="J2536">
        <f>100%-12.5%</f>
        <v>0.875</v>
      </c>
      <c r="S2536" s="9" t="s">
        <v>1092</v>
      </c>
      <c r="T2536" s="2" t="s">
        <v>942</v>
      </c>
      <c r="U2536" s="2" t="s">
        <v>929</v>
      </c>
      <c r="V2536" s="2" t="s">
        <v>1650</v>
      </c>
      <c r="W2536" t="str">
        <f t="shared" si="42"/>
        <v>SA_New_20259</v>
      </c>
      <c r="X2536" s="10" t="s">
        <v>1615</v>
      </c>
    </row>
    <row r="2537" spans="1:24" hidden="1" x14ac:dyDescent="0.35">
      <c r="A2537">
        <v>33</v>
      </c>
      <c r="B2537" t="s">
        <v>1092</v>
      </c>
      <c r="C2537" s="1">
        <v>45923</v>
      </c>
      <c r="D2537" t="s">
        <v>3916</v>
      </c>
      <c r="F2537" t="s">
        <v>1974</v>
      </c>
      <c r="G2537" t="s">
        <v>20</v>
      </c>
      <c r="H2537" t="s">
        <v>3917</v>
      </c>
      <c r="I2537" t="s">
        <v>1976</v>
      </c>
      <c r="J2537">
        <f>100%-41.9%</f>
        <v>0.58099999999999996</v>
      </c>
      <c r="S2537" s="9" t="s">
        <v>1092</v>
      </c>
      <c r="T2537" s="2" t="s">
        <v>942</v>
      </c>
      <c r="U2537" s="2" t="s">
        <v>934</v>
      </c>
      <c r="V2537" s="2" t="s">
        <v>1650</v>
      </c>
      <c r="W2537" t="str">
        <f t="shared" si="42"/>
        <v>SA_New_20259</v>
      </c>
      <c r="X2537" s="10" t="s">
        <v>1615</v>
      </c>
    </row>
    <row r="2538" spans="1:24" hidden="1" x14ac:dyDescent="0.35">
      <c r="A2538">
        <v>34</v>
      </c>
      <c r="B2538" t="s">
        <v>1092</v>
      </c>
      <c r="C2538" s="1">
        <v>45925</v>
      </c>
      <c r="D2538" t="s">
        <v>3918</v>
      </c>
      <c r="F2538" t="s">
        <v>2079</v>
      </c>
      <c r="G2538" t="s">
        <v>92</v>
      </c>
      <c r="H2538" t="s">
        <v>3919</v>
      </c>
      <c r="I2538" t="s">
        <v>3920</v>
      </c>
      <c r="J2538">
        <f>100%-16.1%</f>
        <v>0.83899999999999997</v>
      </c>
      <c r="S2538" s="9" t="s">
        <v>1092</v>
      </c>
      <c r="T2538" s="2" t="s">
        <v>942</v>
      </c>
      <c r="U2538" s="2" t="s">
        <v>922</v>
      </c>
      <c r="V2538" s="2" t="s">
        <v>1650</v>
      </c>
      <c r="W2538" t="str">
        <f t="shared" si="42"/>
        <v>SA_New_20259</v>
      </c>
      <c r="X2538" s="10" t="s">
        <v>1615</v>
      </c>
    </row>
    <row r="2539" spans="1:24" hidden="1" x14ac:dyDescent="0.35">
      <c r="A2539">
        <v>35</v>
      </c>
      <c r="B2539" t="s">
        <v>1092</v>
      </c>
      <c r="C2539" s="1">
        <v>45932</v>
      </c>
      <c r="D2539" t="s">
        <v>3921</v>
      </c>
      <c r="F2539" t="s">
        <v>1974</v>
      </c>
      <c r="G2539" t="s">
        <v>20</v>
      </c>
      <c r="H2539" t="s">
        <v>3922</v>
      </c>
      <c r="I2539" t="s">
        <v>3923</v>
      </c>
      <c r="J2539">
        <f>100%-35.1%</f>
        <v>0.64900000000000002</v>
      </c>
      <c r="S2539" s="9" t="s">
        <v>1092</v>
      </c>
      <c r="T2539" s="2" t="s">
        <v>948</v>
      </c>
      <c r="U2539" s="2" t="s">
        <v>921</v>
      </c>
      <c r="V2539" s="2" t="s">
        <v>1650</v>
      </c>
      <c r="W2539" t="str">
        <f t="shared" si="42"/>
        <v>SA_New_202510</v>
      </c>
      <c r="X2539" s="10" t="s">
        <v>1615</v>
      </c>
    </row>
    <row r="2540" spans="1:24" hidden="1" x14ac:dyDescent="0.35">
      <c r="A2540">
        <v>36</v>
      </c>
      <c r="B2540" t="s">
        <v>1092</v>
      </c>
      <c r="C2540" s="1">
        <v>45932</v>
      </c>
      <c r="D2540" t="s">
        <v>3924</v>
      </c>
      <c r="F2540" t="s">
        <v>1974</v>
      </c>
      <c r="G2540" t="s">
        <v>20</v>
      </c>
      <c r="H2540" t="s">
        <v>3925</v>
      </c>
      <c r="I2540" t="s">
        <v>3926</v>
      </c>
      <c r="J2540">
        <f>100%-21.9%</f>
        <v>0.78100000000000003</v>
      </c>
      <c r="S2540" s="9" t="s">
        <v>1092</v>
      </c>
      <c r="T2540" s="2" t="s">
        <v>948</v>
      </c>
      <c r="U2540" s="2" t="s">
        <v>921</v>
      </c>
      <c r="V2540" s="2" t="s">
        <v>1650</v>
      </c>
      <c r="W2540" t="str">
        <f t="shared" si="42"/>
        <v>SA_New_202510</v>
      </c>
      <c r="X2540" s="10" t="s">
        <v>1615</v>
      </c>
    </row>
    <row r="2541" spans="1:24" hidden="1" x14ac:dyDescent="0.35">
      <c r="A2541">
        <v>37</v>
      </c>
      <c r="B2541" t="s">
        <v>1092</v>
      </c>
      <c r="C2541" s="1">
        <v>45937</v>
      </c>
      <c r="D2541" t="s">
        <v>3927</v>
      </c>
      <c r="F2541" t="s">
        <v>1981</v>
      </c>
      <c r="G2541" t="s">
        <v>26</v>
      </c>
      <c r="H2541" t="s">
        <v>3928</v>
      </c>
      <c r="I2541" t="s">
        <v>1983</v>
      </c>
      <c r="J2541">
        <f>100%-16.9%</f>
        <v>0.83099999999999996</v>
      </c>
      <c r="S2541" s="9" t="s">
        <v>1092</v>
      </c>
      <c r="T2541" s="2" t="s">
        <v>948</v>
      </c>
      <c r="U2541" s="2" t="s">
        <v>936</v>
      </c>
      <c r="V2541" s="2" t="s">
        <v>1650</v>
      </c>
      <c r="W2541" t="str">
        <f t="shared" si="42"/>
        <v>SA_New_202510</v>
      </c>
      <c r="X2541" s="10" t="s">
        <v>1615</v>
      </c>
    </row>
    <row r="2542" spans="1:24" hidden="1" x14ac:dyDescent="0.35">
      <c r="A2542">
        <v>38</v>
      </c>
      <c r="B2542" t="s">
        <v>1092</v>
      </c>
      <c r="C2542" s="1">
        <v>45937</v>
      </c>
      <c r="D2542" t="s">
        <v>3929</v>
      </c>
      <c r="F2542" t="s">
        <v>1981</v>
      </c>
      <c r="G2542" t="s">
        <v>20</v>
      </c>
      <c r="H2542" t="s">
        <v>3930</v>
      </c>
      <c r="I2542" t="s">
        <v>1993</v>
      </c>
      <c r="J2542">
        <f>100%-60.2%</f>
        <v>0.39800000000000002</v>
      </c>
      <c r="S2542" s="9" t="s">
        <v>1092</v>
      </c>
      <c r="T2542" s="2" t="s">
        <v>948</v>
      </c>
      <c r="U2542" s="2" t="s">
        <v>936</v>
      </c>
      <c r="V2542" s="2" t="s">
        <v>1650</v>
      </c>
      <c r="W2542" t="str">
        <f t="shared" si="42"/>
        <v>SA_New_202510</v>
      </c>
      <c r="X2542" s="10" t="s">
        <v>1615</v>
      </c>
    </row>
    <row r="2543" spans="1:24" hidden="1" x14ac:dyDescent="0.35">
      <c r="B2543">
        <v>2000058922</v>
      </c>
      <c r="C2543" s="12">
        <v>45905</v>
      </c>
      <c r="D2543" t="s">
        <v>3931</v>
      </c>
      <c r="E2543" s="11" t="s">
        <v>18</v>
      </c>
      <c r="F2543" s="11" t="s">
        <v>1701</v>
      </c>
      <c r="G2543" t="s">
        <v>1609</v>
      </c>
      <c r="H2543" t="s">
        <v>3932</v>
      </c>
      <c r="I2543" t="s">
        <v>41</v>
      </c>
      <c r="J2543">
        <v>1</v>
      </c>
      <c r="K2543">
        <v>3</v>
      </c>
      <c r="L2543">
        <v>0</v>
      </c>
      <c r="M2543">
        <v>0.75</v>
      </c>
      <c r="N2543" t="s">
        <v>2314</v>
      </c>
      <c r="O2543" s="12">
        <v>47001</v>
      </c>
      <c r="R2543" s="11" t="s">
        <v>3719</v>
      </c>
      <c r="S2543" s="11" t="s">
        <v>915</v>
      </c>
      <c r="T2543" s="11">
        <v>9</v>
      </c>
      <c r="U2543" s="11">
        <v>5</v>
      </c>
      <c r="V2543" s="11">
        <v>2025</v>
      </c>
      <c r="W2543" s="11" t="str">
        <f t="shared" si="42"/>
        <v>2000058922_20259</v>
      </c>
      <c r="X2543" s="11" t="s">
        <v>1616</v>
      </c>
    </row>
    <row r="2544" spans="1:24" hidden="1" x14ac:dyDescent="0.35">
      <c r="B2544">
        <v>2000057079</v>
      </c>
      <c r="C2544" s="12">
        <v>45909</v>
      </c>
      <c r="D2544" t="s">
        <v>3933</v>
      </c>
      <c r="E2544" s="11" t="s">
        <v>18</v>
      </c>
      <c r="F2544" s="11" t="s">
        <v>43</v>
      </c>
      <c r="G2544" t="s">
        <v>1820</v>
      </c>
      <c r="H2544" t="s">
        <v>2771</v>
      </c>
      <c r="I2544" t="s">
        <v>41</v>
      </c>
      <c r="J2544">
        <v>0.875</v>
      </c>
      <c r="K2544">
        <v>3</v>
      </c>
      <c r="L2544">
        <v>4</v>
      </c>
      <c r="M2544">
        <v>0.71</v>
      </c>
      <c r="N2544" t="s">
        <v>2310</v>
      </c>
      <c r="O2544" s="12">
        <v>46639</v>
      </c>
      <c r="R2544" s="11" t="s">
        <v>3719</v>
      </c>
      <c r="S2544" s="11" t="s">
        <v>915</v>
      </c>
      <c r="T2544" s="11">
        <v>9</v>
      </c>
      <c r="U2544" s="11">
        <v>9</v>
      </c>
      <c r="V2544" s="11">
        <v>2025</v>
      </c>
      <c r="W2544" s="11" t="str">
        <f t="shared" si="42"/>
        <v>2000057079_20259</v>
      </c>
      <c r="X2544" s="11" t="s">
        <v>1616</v>
      </c>
    </row>
    <row r="2545" spans="2:24" ht="58" hidden="1" x14ac:dyDescent="0.35">
      <c r="B2545">
        <v>2000045857</v>
      </c>
      <c r="C2545" s="12">
        <v>45910</v>
      </c>
      <c r="D2545" t="s">
        <v>2679</v>
      </c>
      <c r="E2545" s="11" t="s">
        <v>18</v>
      </c>
      <c r="F2545" s="11" t="s">
        <v>1859</v>
      </c>
      <c r="G2545" t="s">
        <v>1606</v>
      </c>
      <c r="H2545" t="s">
        <v>2680</v>
      </c>
      <c r="I2545" t="s">
        <v>22</v>
      </c>
      <c r="J2545">
        <v>0.96699999999999997</v>
      </c>
      <c r="K2545">
        <v>3</v>
      </c>
      <c r="L2545">
        <v>1</v>
      </c>
      <c r="M2545">
        <v>0.9</v>
      </c>
      <c r="N2545" t="s">
        <v>2314</v>
      </c>
      <c r="O2545" s="12">
        <v>47006</v>
      </c>
      <c r="Q2545" s="7" t="s">
        <v>3934</v>
      </c>
      <c r="R2545" s="11" t="s">
        <v>3719</v>
      </c>
      <c r="S2545" s="11" t="s">
        <v>915</v>
      </c>
      <c r="T2545" s="11">
        <v>9</v>
      </c>
      <c r="U2545" s="11">
        <v>10</v>
      </c>
      <c r="V2545" s="11">
        <v>2025</v>
      </c>
      <c r="W2545" s="11" t="str">
        <f t="shared" si="42"/>
        <v>2000045857_20259</v>
      </c>
      <c r="X2545" s="11" t="s">
        <v>1616</v>
      </c>
    </row>
    <row r="2546" spans="2:24" hidden="1" x14ac:dyDescent="0.35">
      <c r="B2546">
        <v>2000056427</v>
      </c>
      <c r="C2546" s="12">
        <v>45915</v>
      </c>
      <c r="D2546" t="s">
        <v>3935</v>
      </c>
      <c r="E2546" s="11" t="s">
        <v>18</v>
      </c>
      <c r="F2546" s="11" t="s">
        <v>52</v>
      </c>
      <c r="G2546" t="s">
        <v>1606</v>
      </c>
      <c r="H2546" t="s">
        <v>3936</v>
      </c>
      <c r="I2546" t="s">
        <v>41</v>
      </c>
      <c r="J2546">
        <v>0.97099999999999997</v>
      </c>
      <c r="K2546">
        <v>3</v>
      </c>
      <c r="L2546">
        <v>1</v>
      </c>
      <c r="M2546">
        <v>0.79</v>
      </c>
      <c r="N2546" t="s">
        <v>2314</v>
      </c>
      <c r="O2546" s="12">
        <v>47011</v>
      </c>
      <c r="R2546" s="11" t="s">
        <v>3719</v>
      </c>
      <c r="S2546" s="11" t="s">
        <v>915</v>
      </c>
      <c r="T2546" s="11">
        <v>9</v>
      </c>
      <c r="U2546" s="11">
        <v>15</v>
      </c>
      <c r="V2546" s="11">
        <v>2025</v>
      </c>
      <c r="W2546" s="11" t="str">
        <f t="shared" si="42"/>
        <v>2000056427_20259</v>
      </c>
      <c r="X2546" s="11" t="s">
        <v>1616</v>
      </c>
    </row>
    <row r="2547" spans="2:24" hidden="1" x14ac:dyDescent="0.35">
      <c r="B2547">
        <v>2000063245</v>
      </c>
      <c r="C2547" s="12">
        <v>45915</v>
      </c>
      <c r="D2547" t="s">
        <v>3937</v>
      </c>
      <c r="E2547" s="11" t="s">
        <v>18</v>
      </c>
      <c r="F2547" s="11" t="s">
        <v>376</v>
      </c>
      <c r="G2547" t="s">
        <v>1606</v>
      </c>
      <c r="H2547" t="s">
        <v>3938</v>
      </c>
      <c r="I2547" t="s">
        <v>41</v>
      </c>
      <c r="J2547">
        <v>1</v>
      </c>
      <c r="K2547">
        <v>3</v>
      </c>
      <c r="L2547">
        <v>0</v>
      </c>
      <c r="M2547">
        <v>0.73</v>
      </c>
      <c r="N2547" t="s">
        <v>2314</v>
      </c>
      <c r="O2547" s="12">
        <v>47011</v>
      </c>
      <c r="R2547" s="11" t="s">
        <v>3719</v>
      </c>
      <c r="S2547" s="11" t="s">
        <v>915</v>
      </c>
      <c r="T2547" s="11">
        <v>9</v>
      </c>
      <c r="U2547" s="11">
        <v>15</v>
      </c>
      <c r="V2547" s="11">
        <v>2025</v>
      </c>
      <c r="W2547" s="11" t="str">
        <f t="shared" si="42"/>
        <v>2000063245_20259</v>
      </c>
      <c r="X2547" s="11" t="s">
        <v>1616</v>
      </c>
    </row>
    <row r="2548" spans="2:24" ht="58" hidden="1" x14ac:dyDescent="0.35">
      <c r="B2548">
        <v>2000056594</v>
      </c>
      <c r="C2548" s="12">
        <v>45917</v>
      </c>
      <c r="D2548" t="s">
        <v>3939</v>
      </c>
      <c r="E2548" s="11" t="s">
        <v>18</v>
      </c>
      <c r="F2548" s="11" t="s">
        <v>43</v>
      </c>
      <c r="G2548" t="s">
        <v>1609</v>
      </c>
      <c r="H2548" t="s">
        <v>3224</v>
      </c>
      <c r="I2548" t="s">
        <v>22</v>
      </c>
      <c r="J2548">
        <v>0.97599999999999998</v>
      </c>
      <c r="K2548">
        <v>3</v>
      </c>
      <c r="L2548">
        <v>0</v>
      </c>
      <c r="M2548">
        <v>0.76</v>
      </c>
      <c r="N2548" t="s">
        <v>2314</v>
      </c>
      <c r="O2548" s="12">
        <v>47013</v>
      </c>
      <c r="P2548" s="7" t="s">
        <v>1970</v>
      </c>
      <c r="R2548" s="11" t="s">
        <v>3719</v>
      </c>
      <c r="S2548" s="11" t="s">
        <v>915</v>
      </c>
      <c r="T2548" s="11">
        <v>9</v>
      </c>
      <c r="U2548" s="11">
        <v>17</v>
      </c>
      <c r="V2548" s="11">
        <v>2025</v>
      </c>
      <c r="W2548" s="11" t="str">
        <f t="shared" si="42"/>
        <v>2000056594_20259</v>
      </c>
      <c r="X2548" s="11" t="s">
        <v>1616</v>
      </c>
    </row>
    <row r="2549" spans="2:24" hidden="1" x14ac:dyDescent="0.35">
      <c r="B2549">
        <v>2000055935</v>
      </c>
      <c r="C2549" s="12">
        <v>45918</v>
      </c>
      <c r="D2549" t="s">
        <v>2573</v>
      </c>
      <c r="E2549" s="11" t="s">
        <v>18</v>
      </c>
      <c r="F2549" s="11" t="s">
        <v>1859</v>
      </c>
      <c r="G2549" t="s">
        <v>1609</v>
      </c>
      <c r="H2549" t="s">
        <v>2574</v>
      </c>
      <c r="I2549" t="s">
        <v>22</v>
      </c>
      <c r="J2549">
        <v>0.98899999999999999</v>
      </c>
      <c r="K2549">
        <v>3</v>
      </c>
      <c r="L2549">
        <v>1</v>
      </c>
      <c r="M2549">
        <v>0.95</v>
      </c>
      <c r="N2549" t="s">
        <v>2314</v>
      </c>
      <c r="O2549" s="12">
        <v>47014</v>
      </c>
      <c r="R2549" s="11" t="s">
        <v>3719</v>
      </c>
      <c r="S2549" s="11" t="s">
        <v>915</v>
      </c>
      <c r="T2549" s="11">
        <v>9</v>
      </c>
      <c r="U2549" s="11">
        <v>18</v>
      </c>
      <c r="V2549" s="11">
        <v>2025</v>
      </c>
      <c r="W2549" s="11" t="str">
        <f t="shared" si="42"/>
        <v>2000055935_20259</v>
      </c>
      <c r="X2549" s="11" t="s">
        <v>1616</v>
      </c>
    </row>
    <row r="2550" spans="2:24" ht="58" hidden="1" x14ac:dyDescent="0.35">
      <c r="B2550">
        <v>2000057867</v>
      </c>
      <c r="C2550" s="12">
        <v>45919</v>
      </c>
      <c r="D2550" t="s">
        <v>3235</v>
      </c>
      <c r="E2550" s="11" t="s">
        <v>18</v>
      </c>
      <c r="F2550" s="11" t="s">
        <v>19</v>
      </c>
      <c r="G2550" t="s">
        <v>1606</v>
      </c>
      <c r="H2550" t="s">
        <v>3236</v>
      </c>
      <c r="I2550" t="s">
        <v>22</v>
      </c>
      <c r="J2550">
        <v>0.99</v>
      </c>
      <c r="K2550">
        <v>3</v>
      </c>
      <c r="L2550">
        <v>1</v>
      </c>
      <c r="M2550">
        <v>0.96</v>
      </c>
      <c r="N2550" t="s">
        <v>2314</v>
      </c>
      <c r="O2550" s="12">
        <v>47015</v>
      </c>
      <c r="Q2550" s="7" t="s">
        <v>3940</v>
      </c>
      <c r="R2550" s="11" t="s">
        <v>3719</v>
      </c>
      <c r="S2550" s="11" t="s">
        <v>915</v>
      </c>
      <c r="T2550" s="11">
        <v>9</v>
      </c>
      <c r="U2550" s="11">
        <v>19</v>
      </c>
      <c r="V2550" s="11">
        <v>2025</v>
      </c>
      <c r="W2550" s="11" t="str">
        <f t="shared" si="42"/>
        <v>2000057867_20259</v>
      </c>
      <c r="X2550" s="11" t="s">
        <v>1616</v>
      </c>
    </row>
    <row r="2551" spans="2:24" hidden="1" x14ac:dyDescent="0.35">
      <c r="B2551">
        <v>2000055153</v>
      </c>
      <c r="C2551" s="12">
        <v>45923</v>
      </c>
      <c r="D2551" t="s">
        <v>3941</v>
      </c>
      <c r="E2551" s="11" t="s">
        <v>18</v>
      </c>
      <c r="F2551" s="11" t="s">
        <v>39</v>
      </c>
      <c r="G2551" t="s">
        <v>1606</v>
      </c>
      <c r="H2551" t="s">
        <v>3942</v>
      </c>
      <c r="I2551" t="s">
        <v>41</v>
      </c>
      <c r="J2551">
        <v>1</v>
      </c>
      <c r="K2551">
        <v>3</v>
      </c>
      <c r="L2551">
        <v>0</v>
      </c>
      <c r="M2551">
        <v>0.92</v>
      </c>
      <c r="N2551" t="s">
        <v>2314</v>
      </c>
      <c r="O2551" s="12">
        <v>47019</v>
      </c>
      <c r="R2551" s="11" t="s">
        <v>3719</v>
      </c>
      <c r="S2551" s="11" t="s">
        <v>915</v>
      </c>
      <c r="T2551" s="11">
        <v>9</v>
      </c>
      <c r="U2551" s="11">
        <v>23</v>
      </c>
      <c r="V2551" s="11">
        <v>2025</v>
      </c>
      <c r="W2551" s="11" t="str">
        <f t="shared" si="42"/>
        <v>2000055153_20259</v>
      </c>
      <c r="X2551" s="11" t="s">
        <v>1616</v>
      </c>
    </row>
    <row r="2552" spans="2:24" hidden="1" x14ac:dyDescent="0.35">
      <c r="B2552">
        <v>2000062783</v>
      </c>
      <c r="C2552" s="12">
        <v>45924</v>
      </c>
      <c r="D2552" t="s">
        <v>3943</v>
      </c>
      <c r="E2552" s="11" t="s">
        <v>18</v>
      </c>
      <c r="F2552" s="11" t="s">
        <v>376</v>
      </c>
      <c r="G2552" t="s">
        <v>1606</v>
      </c>
      <c r="H2552" t="s">
        <v>3944</v>
      </c>
      <c r="I2552" t="s">
        <v>41</v>
      </c>
      <c r="J2552">
        <v>1</v>
      </c>
      <c r="K2552">
        <v>3</v>
      </c>
      <c r="L2552">
        <v>0</v>
      </c>
      <c r="M2552">
        <v>0.83</v>
      </c>
      <c r="N2552" t="s">
        <v>2314</v>
      </c>
      <c r="O2552" s="12">
        <v>47020</v>
      </c>
      <c r="R2552" s="11" t="s">
        <v>3719</v>
      </c>
      <c r="S2552" s="11" t="s">
        <v>915</v>
      </c>
      <c r="T2552" s="11">
        <v>9</v>
      </c>
      <c r="U2552" s="11">
        <v>24</v>
      </c>
      <c r="V2552" s="11">
        <v>2025</v>
      </c>
      <c r="W2552" s="11" t="str">
        <f t="shared" si="42"/>
        <v>2000062783_20259</v>
      </c>
      <c r="X2552" s="11" t="s">
        <v>1616</v>
      </c>
    </row>
    <row r="2553" spans="2:24" hidden="1" x14ac:dyDescent="0.35">
      <c r="B2553">
        <v>2000044192</v>
      </c>
      <c r="C2553" s="12">
        <v>45924</v>
      </c>
      <c r="D2553" t="s">
        <v>3945</v>
      </c>
      <c r="E2553" s="11" t="s">
        <v>18</v>
      </c>
      <c r="F2553" s="11" t="s">
        <v>1859</v>
      </c>
      <c r="G2553" t="s">
        <v>1609</v>
      </c>
      <c r="H2553" t="s">
        <v>3153</v>
      </c>
      <c r="I2553" t="s">
        <v>41</v>
      </c>
      <c r="J2553">
        <v>1</v>
      </c>
      <c r="K2553">
        <v>3</v>
      </c>
      <c r="L2553">
        <v>0</v>
      </c>
      <c r="M2553">
        <v>0.7</v>
      </c>
      <c r="N2553" t="s">
        <v>2314</v>
      </c>
      <c r="O2553" s="12">
        <v>47020</v>
      </c>
      <c r="R2553" s="11" t="s">
        <v>3719</v>
      </c>
      <c r="S2553" s="11" t="s">
        <v>915</v>
      </c>
      <c r="T2553" s="11">
        <v>9</v>
      </c>
      <c r="U2553" s="11">
        <v>24</v>
      </c>
      <c r="V2553" s="11">
        <v>2025</v>
      </c>
      <c r="W2553" s="11" t="str">
        <f t="shared" si="42"/>
        <v>2000044192_20259</v>
      </c>
      <c r="X2553" s="11" t="s">
        <v>1616</v>
      </c>
    </row>
    <row r="2554" spans="2:24" hidden="1" x14ac:dyDescent="0.35">
      <c r="B2554" s="11">
        <v>2000056703</v>
      </c>
      <c r="C2554" s="12">
        <v>45925</v>
      </c>
      <c r="D2554" t="s">
        <v>2701</v>
      </c>
      <c r="E2554" s="11" t="s">
        <v>18</v>
      </c>
      <c r="F2554" s="11" t="s">
        <v>43</v>
      </c>
      <c r="G2554" t="s">
        <v>1606</v>
      </c>
      <c r="H2554" t="s">
        <v>2703</v>
      </c>
      <c r="I2554" t="s">
        <v>22</v>
      </c>
      <c r="J2554">
        <v>1</v>
      </c>
      <c r="K2554">
        <v>3</v>
      </c>
      <c r="L2554">
        <v>0</v>
      </c>
      <c r="M2554">
        <v>0.84</v>
      </c>
      <c r="N2554" t="s">
        <v>2314</v>
      </c>
      <c r="O2554" s="12">
        <v>47021</v>
      </c>
      <c r="R2554" s="11" t="s">
        <v>3719</v>
      </c>
      <c r="S2554" s="11" t="s">
        <v>915</v>
      </c>
      <c r="T2554" s="11">
        <v>9</v>
      </c>
      <c r="U2554" s="11">
        <v>25</v>
      </c>
      <c r="V2554" s="11">
        <v>2025</v>
      </c>
      <c r="W2554" s="11" t="str">
        <f t="shared" si="42"/>
        <v>2000056703_20259</v>
      </c>
      <c r="X2554" s="11" t="s">
        <v>1616</v>
      </c>
    </row>
    <row r="2555" spans="2:24" hidden="1" x14ac:dyDescent="0.35">
      <c r="B2555">
        <v>2000058026</v>
      </c>
      <c r="C2555" s="12">
        <v>45929</v>
      </c>
      <c r="D2555" t="s">
        <v>3946</v>
      </c>
      <c r="E2555" s="11" t="s">
        <v>18</v>
      </c>
      <c r="F2555" t="s">
        <v>376</v>
      </c>
      <c r="G2555" t="s">
        <v>1820</v>
      </c>
      <c r="H2555" t="s">
        <v>2988</v>
      </c>
      <c r="I2555" t="s">
        <v>22</v>
      </c>
      <c r="J2555">
        <v>1</v>
      </c>
      <c r="K2555">
        <v>3</v>
      </c>
      <c r="L2555">
        <v>0</v>
      </c>
      <c r="M2555">
        <v>0.67</v>
      </c>
      <c r="N2555" t="s">
        <v>2314</v>
      </c>
      <c r="O2555" s="12">
        <v>47025</v>
      </c>
      <c r="R2555" s="11" t="s">
        <v>3719</v>
      </c>
      <c r="S2555" s="11" t="s">
        <v>915</v>
      </c>
      <c r="T2555" s="11">
        <v>9</v>
      </c>
      <c r="U2555" s="11">
        <v>29</v>
      </c>
      <c r="V2555" s="11">
        <v>2025</v>
      </c>
      <c r="W2555" s="11" t="str">
        <f t="shared" si="42"/>
        <v>2000058026_20259</v>
      </c>
      <c r="X2555" s="11" t="s">
        <v>1616</v>
      </c>
    </row>
    <row r="2556" spans="2:24" hidden="1" x14ac:dyDescent="0.35">
      <c r="B2556">
        <v>2000058123</v>
      </c>
      <c r="C2556" s="12">
        <v>45930</v>
      </c>
      <c r="D2556" t="s">
        <v>3947</v>
      </c>
      <c r="E2556" s="11" t="s">
        <v>18</v>
      </c>
      <c r="F2556" t="s">
        <v>52</v>
      </c>
      <c r="G2556" t="s">
        <v>1687</v>
      </c>
      <c r="H2556" t="s">
        <v>3948</v>
      </c>
      <c r="I2556" t="s">
        <v>41</v>
      </c>
      <c r="J2556">
        <v>0.94399999999999995</v>
      </c>
      <c r="K2556">
        <v>3</v>
      </c>
      <c r="L2556">
        <v>1</v>
      </c>
      <c r="M2556">
        <v>0.85</v>
      </c>
      <c r="N2556" t="s">
        <v>2314</v>
      </c>
      <c r="O2556" s="12">
        <v>47026</v>
      </c>
      <c r="R2556" s="11" t="s">
        <v>3719</v>
      </c>
      <c r="S2556" s="11" t="s">
        <v>915</v>
      </c>
      <c r="T2556" s="11">
        <v>9</v>
      </c>
      <c r="U2556" s="11">
        <v>30</v>
      </c>
      <c r="V2556" s="11">
        <v>2025</v>
      </c>
      <c r="W2556" s="11" t="str">
        <f t="shared" si="42"/>
        <v>2000058123_20259</v>
      </c>
      <c r="X2556" s="11" t="s">
        <v>1616</v>
      </c>
    </row>
    <row r="2557" spans="2:24" hidden="1" x14ac:dyDescent="0.35">
      <c r="B2557">
        <v>2000058191</v>
      </c>
      <c r="C2557" s="12">
        <v>45931</v>
      </c>
      <c r="D2557" t="s">
        <v>3949</v>
      </c>
      <c r="E2557" s="11" t="s">
        <v>18</v>
      </c>
      <c r="F2557" t="s">
        <v>148</v>
      </c>
      <c r="G2557" t="s">
        <v>1603</v>
      </c>
      <c r="H2557" t="s">
        <v>3950</v>
      </c>
      <c r="I2557" t="s">
        <v>148</v>
      </c>
      <c r="J2557">
        <v>0.92300000000000004</v>
      </c>
      <c r="K2557">
        <v>3</v>
      </c>
      <c r="L2557">
        <v>3</v>
      </c>
      <c r="M2557">
        <v>0.9</v>
      </c>
      <c r="N2557" t="s">
        <v>2314</v>
      </c>
      <c r="O2557" s="12">
        <v>47027</v>
      </c>
      <c r="R2557" s="11" t="s">
        <v>3719</v>
      </c>
      <c r="S2557" s="11" t="s">
        <v>915</v>
      </c>
      <c r="T2557" s="11">
        <v>10</v>
      </c>
      <c r="U2557" s="11">
        <v>1</v>
      </c>
      <c r="V2557" s="11">
        <v>2025</v>
      </c>
      <c r="W2557" s="11" t="str">
        <f t="shared" si="42"/>
        <v>2000058191_202510</v>
      </c>
      <c r="X2557" s="11" t="s">
        <v>1616</v>
      </c>
    </row>
    <row r="2558" spans="2:24" hidden="1" x14ac:dyDescent="0.35">
      <c r="B2558">
        <v>2000058852</v>
      </c>
      <c r="C2558" s="12">
        <v>45933</v>
      </c>
      <c r="D2558" t="s">
        <v>3951</v>
      </c>
      <c r="E2558" s="11" t="s">
        <v>18</v>
      </c>
      <c r="F2558" t="s">
        <v>39</v>
      </c>
      <c r="G2558" t="s">
        <v>1606</v>
      </c>
      <c r="H2558" t="s">
        <v>3952</v>
      </c>
      <c r="I2558" t="s">
        <v>41</v>
      </c>
      <c r="J2558">
        <v>1</v>
      </c>
      <c r="K2558">
        <v>3</v>
      </c>
      <c r="L2558">
        <v>1</v>
      </c>
      <c r="M2558">
        <v>0.67</v>
      </c>
      <c r="N2558" t="s">
        <v>2314</v>
      </c>
      <c r="O2558" s="12">
        <v>47029</v>
      </c>
      <c r="R2558" s="11" t="s">
        <v>3719</v>
      </c>
      <c r="S2558" s="11" t="s">
        <v>915</v>
      </c>
      <c r="T2558" s="11">
        <v>10</v>
      </c>
      <c r="U2558" s="11">
        <v>3</v>
      </c>
      <c r="V2558" s="11">
        <v>2025</v>
      </c>
      <c r="W2558" s="11" t="str">
        <f t="shared" si="42"/>
        <v>2000058852_202510</v>
      </c>
      <c r="X2558" s="11" t="s">
        <v>1616</v>
      </c>
    </row>
    <row r="2559" spans="2:24" hidden="1" x14ac:dyDescent="0.35">
      <c r="B2559">
        <v>2000058165</v>
      </c>
      <c r="C2559" s="12">
        <v>45936</v>
      </c>
      <c r="D2559" t="s">
        <v>3953</v>
      </c>
      <c r="E2559" s="11" t="s">
        <v>18</v>
      </c>
      <c r="F2559" t="s">
        <v>39</v>
      </c>
      <c r="G2559" t="s">
        <v>1606</v>
      </c>
      <c r="H2559" t="s">
        <v>3954</v>
      </c>
      <c r="I2559" t="s">
        <v>22</v>
      </c>
      <c r="J2559">
        <v>1</v>
      </c>
      <c r="K2559">
        <v>3</v>
      </c>
      <c r="L2559">
        <v>0</v>
      </c>
      <c r="M2559">
        <v>0.89</v>
      </c>
      <c r="N2559" t="s">
        <v>2314</v>
      </c>
      <c r="O2559" s="12">
        <v>47032</v>
      </c>
      <c r="R2559" s="11" t="s">
        <v>3719</v>
      </c>
      <c r="S2559" s="11" t="s">
        <v>915</v>
      </c>
      <c r="T2559" s="11">
        <v>10</v>
      </c>
      <c r="U2559" s="11">
        <v>6</v>
      </c>
      <c r="V2559" s="11">
        <v>2025</v>
      </c>
      <c r="W2559" s="11" t="str">
        <f t="shared" si="42"/>
        <v>2000058165_202510</v>
      </c>
      <c r="X2559" s="11" t="s">
        <v>1616</v>
      </c>
    </row>
    <row r="2560" spans="2:24" hidden="1" x14ac:dyDescent="0.35">
      <c r="B2560">
        <v>2000056767</v>
      </c>
      <c r="C2560" s="12">
        <v>45937</v>
      </c>
      <c r="D2560" t="s">
        <v>3955</v>
      </c>
      <c r="E2560" s="11" t="s">
        <v>18</v>
      </c>
      <c r="F2560" t="s">
        <v>376</v>
      </c>
      <c r="G2560" t="s">
        <v>1606</v>
      </c>
      <c r="H2560" t="s">
        <v>3956</v>
      </c>
      <c r="I2560" t="s">
        <v>41</v>
      </c>
      <c r="J2560">
        <v>0.92900000000000005</v>
      </c>
      <c r="K2560">
        <v>3</v>
      </c>
      <c r="L2560">
        <v>2</v>
      </c>
      <c r="M2560">
        <v>0.9</v>
      </c>
      <c r="N2560" t="s">
        <v>2314</v>
      </c>
      <c r="O2560" s="12">
        <v>47033</v>
      </c>
      <c r="R2560" s="11" t="s">
        <v>3719</v>
      </c>
      <c r="S2560" s="11" t="s">
        <v>915</v>
      </c>
      <c r="T2560" s="11">
        <v>10</v>
      </c>
      <c r="U2560" s="11">
        <v>7</v>
      </c>
      <c r="V2560" s="11">
        <v>2025</v>
      </c>
      <c r="W2560" s="11" t="str">
        <f t="shared" ref="W2560:W2623" si="43">CONCATENATE(B2560,"_",V2560,T2560)</f>
        <v>2000056767_202510</v>
      </c>
      <c r="X2560" s="11" t="s">
        <v>1616</v>
      </c>
    </row>
    <row r="2561" spans="2:24" hidden="1" x14ac:dyDescent="0.35">
      <c r="B2561">
        <v>2000056792</v>
      </c>
      <c r="C2561" s="12">
        <v>45938</v>
      </c>
      <c r="D2561" t="s">
        <v>3957</v>
      </c>
      <c r="E2561" s="11" t="s">
        <v>18</v>
      </c>
      <c r="F2561" t="s">
        <v>39</v>
      </c>
      <c r="G2561" t="s">
        <v>1606</v>
      </c>
      <c r="H2561" t="s">
        <v>3958</v>
      </c>
      <c r="I2561" t="s">
        <v>22</v>
      </c>
      <c r="J2561">
        <v>0.96</v>
      </c>
      <c r="K2561">
        <v>3</v>
      </c>
      <c r="L2561">
        <v>1</v>
      </c>
      <c r="M2561">
        <v>0.91</v>
      </c>
      <c r="N2561" t="s">
        <v>2314</v>
      </c>
      <c r="O2561" s="12">
        <v>47034</v>
      </c>
      <c r="R2561" s="11" t="s">
        <v>3719</v>
      </c>
      <c r="S2561" s="11" t="s">
        <v>915</v>
      </c>
      <c r="T2561" s="11">
        <v>10</v>
      </c>
      <c r="U2561" s="11">
        <v>8</v>
      </c>
      <c r="V2561" s="11">
        <v>2025</v>
      </c>
      <c r="W2561" s="11" t="str">
        <f t="shared" si="43"/>
        <v>2000056792_202510</v>
      </c>
      <c r="X2561" s="11" t="s">
        <v>1616</v>
      </c>
    </row>
    <row r="2562" spans="2:24" hidden="1" x14ac:dyDescent="0.35">
      <c r="B2562">
        <v>2000061495</v>
      </c>
      <c r="C2562" s="12">
        <v>45938</v>
      </c>
      <c r="D2562" t="s">
        <v>3959</v>
      </c>
      <c r="E2562" s="11" t="s">
        <v>18</v>
      </c>
      <c r="F2562" t="s">
        <v>39</v>
      </c>
      <c r="G2562" t="s">
        <v>1606</v>
      </c>
      <c r="H2562" t="s">
        <v>3960</v>
      </c>
      <c r="I2562" t="s">
        <v>41</v>
      </c>
      <c r="J2562">
        <v>1</v>
      </c>
      <c r="K2562">
        <v>3</v>
      </c>
      <c r="L2562">
        <v>1</v>
      </c>
      <c r="M2562">
        <v>0.88</v>
      </c>
      <c r="N2562" t="s">
        <v>2314</v>
      </c>
      <c r="O2562" s="12">
        <v>47034</v>
      </c>
      <c r="R2562" s="11" t="s">
        <v>3719</v>
      </c>
      <c r="S2562" s="11" t="s">
        <v>915</v>
      </c>
      <c r="T2562" s="11">
        <v>10</v>
      </c>
      <c r="U2562" s="11">
        <v>8</v>
      </c>
      <c r="V2562" s="11">
        <v>2025</v>
      </c>
      <c r="W2562" s="11" t="str">
        <f t="shared" si="43"/>
        <v>2000061495_202510</v>
      </c>
      <c r="X2562" s="11" t="s">
        <v>1616</v>
      </c>
    </row>
    <row r="2563" spans="2:24" hidden="1" x14ac:dyDescent="0.35">
      <c r="B2563">
        <v>2000056636</v>
      </c>
      <c r="C2563" s="12">
        <v>45939</v>
      </c>
      <c r="D2563" t="s">
        <v>3961</v>
      </c>
      <c r="E2563" s="11" t="s">
        <v>18</v>
      </c>
      <c r="F2563" t="s">
        <v>52</v>
      </c>
      <c r="G2563" t="s">
        <v>1606</v>
      </c>
      <c r="H2563" t="s">
        <v>3962</v>
      </c>
      <c r="I2563" t="s">
        <v>41</v>
      </c>
      <c r="J2563">
        <v>1</v>
      </c>
      <c r="K2563">
        <v>3</v>
      </c>
      <c r="L2563">
        <v>0</v>
      </c>
      <c r="M2563">
        <v>0.9</v>
      </c>
      <c r="N2563" t="s">
        <v>2314</v>
      </c>
      <c r="O2563" s="12">
        <v>47035</v>
      </c>
      <c r="R2563" s="11" t="s">
        <v>3719</v>
      </c>
      <c r="S2563" s="11" t="s">
        <v>915</v>
      </c>
      <c r="T2563" s="11">
        <v>10</v>
      </c>
      <c r="U2563" s="11">
        <v>9</v>
      </c>
      <c r="V2563" s="11">
        <v>2025</v>
      </c>
      <c r="W2563" s="11" t="str">
        <f t="shared" si="43"/>
        <v>2000056636_202510</v>
      </c>
      <c r="X2563" s="11" t="s">
        <v>1616</v>
      </c>
    </row>
    <row r="2564" spans="2:24" ht="43.5" hidden="1" x14ac:dyDescent="0.35">
      <c r="B2564">
        <v>2000055438</v>
      </c>
      <c r="C2564" s="12">
        <v>45940</v>
      </c>
      <c r="D2564" t="s">
        <v>3963</v>
      </c>
      <c r="E2564" s="11" t="s">
        <v>18</v>
      </c>
      <c r="F2564" s="11" t="s">
        <v>43</v>
      </c>
      <c r="G2564" t="s">
        <v>1606</v>
      </c>
      <c r="H2564" t="s">
        <v>3964</v>
      </c>
      <c r="I2564" t="s">
        <v>41</v>
      </c>
      <c r="J2564">
        <v>0.94199999999999995</v>
      </c>
      <c r="K2564">
        <v>3</v>
      </c>
      <c r="L2564">
        <v>3</v>
      </c>
      <c r="M2564">
        <v>0.95</v>
      </c>
      <c r="N2564" t="s">
        <v>2314</v>
      </c>
      <c r="O2564" s="12">
        <v>47036</v>
      </c>
      <c r="P2564" s="7" t="s">
        <v>165</v>
      </c>
      <c r="Q2564" s="7" t="s">
        <v>3965</v>
      </c>
      <c r="R2564" s="11" t="s">
        <v>3719</v>
      </c>
      <c r="S2564" s="11" t="s">
        <v>915</v>
      </c>
      <c r="T2564" s="11">
        <v>10</v>
      </c>
      <c r="U2564" s="11">
        <v>10</v>
      </c>
      <c r="V2564" s="11">
        <v>2025</v>
      </c>
      <c r="W2564" s="11" t="str">
        <f t="shared" si="43"/>
        <v>2000055438_202510</v>
      </c>
      <c r="X2564" s="11" t="s">
        <v>1616</v>
      </c>
    </row>
    <row r="2565" spans="2:24" hidden="1" x14ac:dyDescent="0.35">
      <c r="B2565" t="s">
        <v>1092</v>
      </c>
      <c r="C2565"/>
      <c r="D2565" t="s">
        <v>3877</v>
      </c>
      <c r="O2565"/>
      <c r="S2565" s="11" t="s">
        <v>1092</v>
      </c>
      <c r="T2565" s="11">
        <v>9</v>
      </c>
      <c r="U2565" s="11">
        <v>9</v>
      </c>
      <c r="V2565" s="11">
        <v>2025</v>
      </c>
      <c r="W2565" s="11" t="str">
        <f t="shared" si="43"/>
        <v>SA_New_20259</v>
      </c>
      <c r="X2565" s="11" t="s">
        <v>1616</v>
      </c>
    </row>
    <row r="2566" spans="2:24" hidden="1" x14ac:dyDescent="0.35">
      <c r="B2566" t="s">
        <v>1092</v>
      </c>
      <c r="C2566"/>
      <c r="D2566" t="s">
        <v>3966</v>
      </c>
      <c r="O2566"/>
      <c r="S2566" s="11" t="s">
        <v>1092</v>
      </c>
      <c r="T2566" s="11">
        <v>9</v>
      </c>
      <c r="U2566" s="11">
        <v>9</v>
      </c>
      <c r="V2566" s="11">
        <v>2025</v>
      </c>
      <c r="W2566" s="11" t="str">
        <f t="shared" si="43"/>
        <v>SA_New_20259</v>
      </c>
      <c r="X2566" s="11" t="s">
        <v>1616</v>
      </c>
    </row>
    <row r="2567" spans="2:24" hidden="1" x14ac:dyDescent="0.35">
      <c r="B2567" t="s">
        <v>1092</v>
      </c>
      <c r="C2567"/>
      <c r="D2567" t="s">
        <v>3967</v>
      </c>
      <c r="O2567"/>
      <c r="S2567" s="11" t="s">
        <v>1092</v>
      </c>
      <c r="T2567" s="11">
        <v>9</v>
      </c>
      <c r="U2567" s="11">
        <v>9</v>
      </c>
      <c r="V2567" s="11">
        <v>2025</v>
      </c>
      <c r="W2567" s="11" t="str">
        <f t="shared" si="43"/>
        <v>SA_New_20259</v>
      </c>
      <c r="X2567" s="11" t="s">
        <v>1616</v>
      </c>
    </row>
    <row r="2568" spans="2:24" hidden="1" x14ac:dyDescent="0.35">
      <c r="B2568" t="s">
        <v>1092</v>
      </c>
      <c r="C2568"/>
      <c r="D2568" t="s">
        <v>3968</v>
      </c>
      <c r="O2568"/>
      <c r="S2568" s="11" t="s">
        <v>1092</v>
      </c>
      <c r="T2568" s="11">
        <v>9</v>
      </c>
      <c r="U2568" s="11">
        <v>9</v>
      </c>
      <c r="V2568" s="11">
        <v>2025</v>
      </c>
      <c r="W2568" s="11" t="str">
        <f t="shared" si="43"/>
        <v>SA_New_20259</v>
      </c>
      <c r="X2568" s="11" t="s">
        <v>1616</v>
      </c>
    </row>
    <row r="2569" spans="2:24" hidden="1" x14ac:dyDescent="0.35">
      <c r="B2569" t="s">
        <v>1092</v>
      </c>
      <c r="C2569"/>
      <c r="D2569" t="s">
        <v>3877</v>
      </c>
      <c r="O2569"/>
      <c r="S2569" s="11" t="s">
        <v>1092</v>
      </c>
      <c r="T2569" s="11">
        <v>9</v>
      </c>
      <c r="U2569" s="11">
        <v>9</v>
      </c>
      <c r="V2569" s="11">
        <v>2025</v>
      </c>
      <c r="W2569" s="11" t="str">
        <f t="shared" si="43"/>
        <v>SA_New_20259</v>
      </c>
      <c r="X2569" s="11" t="s">
        <v>1616</v>
      </c>
    </row>
    <row r="2570" spans="2:24" hidden="1" x14ac:dyDescent="0.35">
      <c r="B2570" t="s">
        <v>1092</v>
      </c>
      <c r="C2570"/>
      <c r="D2570" t="s">
        <v>3966</v>
      </c>
      <c r="O2570"/>
      <c r="S2570" s="11" t="s">
        <v>1092</v>
      </c>
      <c r="T2570" s="11">
        <v>9</v>
      </c>
      <c r="U2570" s="11">
        <v>9</v>
      </c>
      <c r="V2570" s="11">
        <v>2025</v>
      </c>
      <c r="W2570" s="11" t="str">
        <f t="shared" si="43"/>
        <v>SA_New_20259</v>
      </c>
      <c r="X2570" s="11" t="s">
        <v>1616</v>
      </c>
    </row>
    <row r="2571" spans="2:24" hidden="1" x14ac:dyDescent="0.35">
      <c r="B2571" t="s">
        <v>1092</v>
      </c>
      <c r="C2571"/>
      <c r="D2571" t="s">
        <v>3967</v>
      </c>
      <c r="O2571"/>
      <c r="S2571" s="11" t="s">
        <v>1092</v>
      </c>
      <c r="T2571" s="11">
        <v>9</v>
      </c>
      <c r="U2571" s="11">
        <v>9</v>
      </c>
      <c r="V2571" s="11">
        <v>2025</v>
      </c>
      <c r="W2571" s="11" t="str">
        <f t="shared" si="43"/>
        <v>SA_New_20259</v>
      </c>
      <c r="X2571" s="11" t="s">
        <v>1616</v>
      </c>
    </row>
    <row r="2572" spans="2:24" hidden="1" x14ac:dyDescent="0.35">
      <c r="B2572" t="s">
        <v>1092</v>
      </c>
      <c r="C2572"/>
      <c r="D2572" t="s">
        <v>3968</v>
      </c>
      <c r="O2572"/>
      <c r="S2572" s="11" t="s">
        <v>1092</v>
      </c>
      <c r="T2572" s="11">
        <v>9</v>
      </c>
      <c r="U2572" s="11">
        <v>9</v>
      </c>
      <c r="V2572" s="11">
        <v>2025</v>
      </c>
      <c r="W2572" s="11" t="str">
        <f t="shared" si="43"/>
        <v>SA_New_20259</v>
      </c>
      <c r="X2572" s="11" t="s">
        <v>1616</v>
      </c>
    </row>
    <row r="2573" spans="2:24" hidden="1" x14ac:dyDescent="0.35">
      <c r="B2573">
        <v>2000056183</v>
      </c>
      <c r="C2573" s="12">
        <v>45944</v>
      </c>
      <c r="D2573" t="s">
        <v>3969</v>
      </c>
      <c r="E2573" s="11" t="s">
        <v>18</v>
      </c>
      <c r="F2573" t="s">
        <v>39</v>
      </c>
      <c r="G2573" t="s">
        <v>1606</v>
      </c>
      <c r="H2573" t="s">
        <v>3970</v>
      </c>
      <c r="I2573" t="s">
        <v>41</v>
      </c>
      <c r="J2573">
        <v>1</v>
      </c>
      <c r="K2573">
        <v>3</v>
      </c>
      <c r="L2573">
        <v>2</v>
      </c>
      <c r="M2573">
        <v>0.75</v>
      </c>
      <c r="N2573" t="s">
        <v>2314</v>
      </c>
      <c r="O2573" s="12">
        <v>47040</v>
      </c>
      <c r="R2573" s="11" t="s">
        <v>3719</v>
      </c>
      <c r="S2573" s="11" t="s">
        <v>915</v>
      </c>
      <c r="T2573" s="11">
        <v>10</v>
      </c>
      <c r="U2573" s="11">
        <v>14</v>
      </c>
      <c r="V2573" s="11">
        <v>2025</v>
      </c>
      <c r="W2573" s="11" t="str">
        <f t="shared" si="43"/>
        <v>2000056183_202510</v>
      </c>
      <c r="X2573" s="11" t="s">
        <v>1616</v>
      </c>
    </row>
    <row r="2574" spans="2:24" hidden="1" x14ac:dyDescent="0.35">
      <c r="B2574">
        <v>2000057914</v>
      </c>
      <c r="C2574" s="12">
        <v>45945</v>
      </c>
      <c r="D2574" t="s">
        <v>3971</v>
      </c>
      <c r="E2574" s="11" t="s">
        <v>18</v>
      </c>
      <c r="F2574" t="s">
        <v>376</v>
      </c>
      <c r="G2574" t="s">
        <v>1606</v>
      </c>
      <c r="H2574" t="s">
        <v>2966</v>
      </c>
      <c r="I2574" t="s">
        <v>22</v>
      </c>
      <c r="J2574">
        <v>0.95799999999999996</v>
      </c>
      <c r="K2574">
        <v>3</v>
      </c>
      <c r="L2574">
        <v>3</v>
      </c>
      <c r="M2574">
        <v>0.77</v>
      </c>
      <c r="N2574" t="s">
        <v>2314</v>
      </c>
      <c r="O2574" s="12">
        <v>47041</v>
      </c>
      <c r="R2574" s="11" t="s">
        <v>3719</v>
      </c>
      <c r="S2574" s="11" t="s">
        <v>915</v>
      </c>
      <c r="T2574" s="11">
        <v>10</v>
      </c>
      <c r="U2574" s="11">
        <v>15</v>
      </c>
      <c r="V2574" s="11">
        <v>2025</v>
      </c>
      <c r="W2574" s="11" t="str">
        <f t="shared" si="43"/>
        <v>2000057914_202510</v>
      </c>
      <c r="X2574" s="11" t="s">
        <v>1616</v>
      </c>
    </row>
    <row r="2575" spans="2:24" hidden="1" x14ac:dyDescent="0.35">
      <c r="B2575">
        <v>2000058977</v>
      </c>
      <c r="C2575" s="12">
        <v>45945</v>
      </c>
      <c r="D2575" t="s">
        <v>3972</v>
      </c>
      <c r="E2575" s="11" t="s">
        <v>18</v>
      </c>
      <c r="F2575" t="s">
        <v>148</v>
      </c>
      <c r="G2575" t="s">
        <v>1606</v>
      </c>
      <c r="H2575" t="s">
        <v>3973</v>
      </c>
      <c r="I2575" t="s">
        <v>148</v>
      </c>
      <c r="J2575">
        <v>1</v>
      </c>
      <c r="K2575">
        <v>3</v>
      </c>
      <c r="L2575">
        <v>1</v>
      </c>
      <c r="M2575">
        <v>0.91</v>
      </c>
      <c r="N2575" t="s">
        <v>2314</v>
      </c>
      <c r="O2575" s="12">
        <v>47041</v>
      </c>
      <c r="Q2575" t="s">
        <v>50</v>
      </c>
      <c r="R2575" s="11" t="s">
        <v>3719</v>
      </c>
      <c r="S2575" s="11" t="s">
        <v>915</v>
      </c>
      <c r="T2575" s="11">
        <v>10</v>
      </c>
      <c r="U2575" s="11">
        <v>15</v>
      </c>
      <c r="V2575" s="11">
        <v>2025</v>
      </c>
      <c r="W2575" s="11" t="str">
        <f t="shared" si="43"/>
        <v>2000058977_202510</v>
      </c>
      <c r="X2575" s="11" t="s">
        <v>1616</v>
      </c>
    </row>
    <row r="2576" spans="2:24" hidden="1" x14ac:dyDescent="0.35">
      <c r="B2576">
        <v>2000056169</v>
      </c>
      <c r="C2576" s="12">
        <v>45947</v>
      </c>
      <c r="D2576" t="s">
        <v>3974</v>
      </c>
      <c r="E2576" s="11" t="s">
        <v>18</v>
      </c>
      <c r="F2576" t="s">
        <v>39</v>
      </c>
      <c r="G2576" t="s">
        <v>1603</v>
      </c>
      <c r="H2576" t="s">
        <v>3975</v>
      </c>
      <c r="I2576" t="s">
        <v>41</v>
      </c>
      <c r="J2576">
        <v>0.82</v>
      </c>
      <c r="K2576">
        <v>2.4</v>
      </c>
      <c r="L2576">
        <v>7</v>
      </c>
      <c r="M2576">
        <v>0.91</v>
      </c>
      <c r="N2576" t="s">
        <v>2310</v>
      </c>
      <c r="O2576" s="12">
        <v>46677</v>
      </c>
      <c r="R2576" s="11" t="s">
        <v>3719</v>
      </c>
      <c r="S2576" s="11" t="s">
        <v>915</v>
      </c>
      <c r="T2576" s="11">
        <v>10</v>
      </c>
      <c r="U2576" s="11">
        <v>17</v>
      </c>
      <c r="V2576" s="11">
        <v>2025</v>
      </c>
      <c r="W2576" s="11" t="str">
        <f t="shared" si="43"/>
        <v>2000056169_202510</v>
      </c>
      <c r="X2576" s="11" t="s">
        <v>1616</v>
      </c>
    </row>
    <row r="2577" spans="1:24" hidden="1" x14ac:dyDescent="0.35">
      <c r="B2577">
        <v>2000055459</v>
      </c>
      <c r="C2577" s="12">
        <v>45951</v>
      </c>
      <c r="D2577" t="s">
        <v>2501</v>
      </c>
      <c r="E2577" s="11" t="s">
        <v>18</v>
      </c>
      <c r="F2577" t="s">
        <v>376</v>
      </c>
      <c r="G2577" t="s">
        <v>1606</v>
      </c>
      <c r="H2577" t="s">
        <v>3976</v>
      </c>
      <c r="I2577" t="s">
        <v>41</v>
      </c>
      <c r="J2577">
        <v>0.9</v>
      </c>
      <c r="K2577">
        <v>3</v>
      </c>
      <c r="L2577">
        <v>3</v>
      </c>
      <c r="M2577">
        <v>0.9</v>
      </c>
      <c r="N2577" t="s">
        <v>3977</v>
      </c>
      <c r="O2577" s="12">
        <v>47047</v>
      </c>
      <c r="R2577" s="11" t="s">
        <v>3719</v>
      </c>
      <c r="S2577" s="11" t="s">
        <v>915</v>
      </c>
      <c r="T2577" s="11">
        <v>10</v>
      </c>
      <c r="U2577" s="11">
        <v>21</v>
      </c>
      <c r="V2577" s="11">
        <v>2025</v>
      </c>
      <c r="W2577" s="11" t="str">
        <f t="shared" si="43"/>
        <v>2000055459_202510</v>
      </c>
      <c r="X2577" s="11" t="s">
        <v>1616</v>
      </c>
    </row>
    <row r="2578" spans="1:24" hidden="1" x14ac:dyDescent="0.35">
      <c r="B2578">
        <v>2000056255</v>
      </c>
      <c r="C2578" s="12">
        <v>45952</v>
      </c>
      <c r="D2578" t="s">
        <v>3978</v>
      </c>
      <c r="E2578" s="11" t="s">
        <v>18</v>
      </c>
      <c r="F2578" t="s">
        <v>43</v>
      </c>
      <c r="G2578" t="s">
        <v>1606</v>
      </c>
      <c r="H2578" t="s">
        <v>3979</v>
      </c>
      <c r="I2578" t="s">
        <v>41</v>
      </c>
      <c r="J2578">
        <v>0.96899999999999997</v>
      </c>
      <c r="K2578">
        <v>3</v>
      </c>
      <c r="L2578">
        <v>0</v>
      </c>
      <c r="M2578">
        <v>0.95</v>
      </c>
      <c r="N2578" t="s">
        <v>3977</v>
      </c>
      <c r="O2578" s="12">
        <v>47048</v>
      </c>
      <c r="P2578" t="s">
        <v>165</v>
      </c>
      <c r="R2578" s="11" t="s">
        <v>3719</v>
      </c>
      <c r="S2578" s="11" t="s">
        <v>915</v>
      </c>
      <c r="T2578" s="11">
        <v>10</v>
      </c>
      <c r="U2578" s="11">
        <v>22</v>
      </c>
      <c r="V2578" s="11">
        <v>2025</v>
      </c>
      <c r="W2578" s="11" t="str">
        <f t="shared" si="43"/>
        <v>2000056255_202510</v>
      </c>
      <c r="X2578" s="11" t="s">
        <v>1616</v>
      </c>
    </row>
    <row r="2579" spans="1:24" hidden="1" x14ac:dyDescent="0.35">
      <c r="B2579">
        <v>2000062236</v>
      </c>
      <c r="C2579" s="12">
        <v>45953</v>
      </c>
      <c r="D2579" t="s">
        <v>3980</v>
      </c>
      <c r="E2579" s="11" t="s">
        <v>18</v>
      </c>
      <c r="F2579" t="s">
        <v>43</v>
      </c>
      <c r="G2579" t="s">
        <v>43</v>
      </c>
      <c r="H2579" t="s">
        <v>3981</v>
      </c>
      <c r="I2579" t="s">
        <v>22</v>
      </c>
      <c r="J2579">
        <v>1</v>
      </c>
      <c r="K2579">
        <v>3</v>
      </c>
      <c r="L2579">
        <v>0</v>
      </c>
      <c r="M2579">
        <v>0.93</v>
      </c>
      <c r="N2579" t="s">
        <v>3977</v>
      </c>
      <c r="O2579" s="12">
        <v>47049</v>
      </c>
      <c r="P2579" t="s">
        <v>3982</v>
      </c>
      <c r="Q2579" t="s">
        <v>3855</v>
      </c>
      <c r="R2579" s="11" t="s">
        <v>3719</v>
      </c>
      <c r="S2579" s="11" t="s">
        <v>915</v>
      </c>
      <c r="T2579" s="11">
        <v>10</v>
      </c>
      <c r="U2579" s="11">
        <v>23</v>
      </c>
      <c r="V2579" s="11">
        <v>2025</v>
      </c>
      <c r="W2579" s="11" t="str">
        <f t="shared" si="43"/>
        <v>2000062236_202510</v>
      </c>
      <c r="X2579" s="11" t="s">
        <v>1616</v>
      </c>
    </row>
    <row r="2580" spans="1:24" hidden="1" x14ac:dyDescent="0.35">
      <c r="B2580">
        <v>2000042893</v>
      </c>
      <c r="C2580" s="12">
        <v>45954</v>
      </c>
      <c r="D2580" t="s">
        <v>3983</v>
      </c>
      <c r="E2580" s="11" t="s">
        <v>18</v>
      </c>
      <c r="F2580" t="s">
        <v>1701</v>
      </c>
      <c r="G2580" t="s">
        <v>1820</v>
      </c>
      <c r="H2580" t="s">
        <v>3984</v>
      </c>
      <c r="I2580" t="s">
        <v>22</v>
      </c>
      <c r="J2580">
        <v>1</v>
      </c>
      <c r="K2580">
        <v>3</v>
      </c>
      <c r="L2580">
        <v>0</v>
      </c>
      <c r="M2580">
        <v>0.92</v>
      </c>
      <c r="N2580" t="s">
        <v>3977</v>
      </c>
      <c r="O2580" s="12">
        <v>47050</v>
      </c>
      <c r="Q2580" t="s">
        <v>3985</v>
      </c>
      <c r="R2580" s="11" t="s">
        <v>3719</v>
      </c>
      <c r="S2580" s="11" t="s">
        <v>915</v>
      </c>
      <c r="T2580" s="11">
        <v>10</v>
      </c>
      <c r="U2580" s="11">
        <v>24</v>
      </c>
      <c r="V2580" s="11">
        <v>2025</v>
      </c>
      <c r="W2580" s="11" t="str">
        <f t="shared" si="43"/>
        <v>2000042893_202510</v>
      </c>
      <c r="X2580" s="11" t="s">
        <v>1616</v>
      </c>
    </row>
    <row r="2581" spans="1:24" hidden="1" x14ac:dyDescent="0.35">
      <c r="B2581">
        <v>2000055891</v>
      </c>
      <c r="C2581" s="12">
        <v>45968</v>
      </c>
      <c r="D2581" t="s">
        <v>3986</v>
      </c>
      <c r="E2581" s="11" t="s">
        <v>18</v>
      </c>
      <c r="F2581" t="s">
        <v>376</v>
      </c>
      <c r="G2581" t="s">
        <v>1606</v>
      </c>
      <c r="H2581" t="s">
        <v>3987</v>
      </c>
      <c r="I2581" t="s">
        <v>41</v>
      </c>
      <c r="J2581">
        <v>0.91300000000000003</v>
      </c>
      <c r="K2581">
        <v>3</v>
      </c>
      <c r="L2581">
        <v>4</v>
      </c>
      <c r="M2581">
        <v>0.76</v>
      </c>
      <c r="N2581" t="s">
        <v>3977</v>
      </c>
      <c r="O2581" s="12">
        <v>47064</v>
      </c>
      <c r="R2581" s="11" t="s">
        <v>3719</v>
      </c>
      <c r="S2581" s="11" t="s">
        <v>915</v>
      </c>
      <c r="T2581" s="11">
        <v>11</v>
      </c>
      <c r="U2581" s="11">
        <v>7</v>
      </c>
      <c r="V2581" s="11">
        <v>2025</v>
      </c>
      <c r="W2581" s="11" t="str">
        <f t="shared" si="43"/>
        <v>2000055891_202511</v>
      </c>
      <c r="X2581" s="11" t="s">
        <v>1616</v>
      </c>
    </row>
    <row r="2582" spans="1:24" hidden="1" x14ac:dyDescent="0.35">
      <c r="B2582" t="s">
        <v>1092</v>
      </c>
      <c r="C2582" s="12">
        <v>45950</v>
      </c>
      <c r="D2582" t="s">
        <v>3988</v>
      </c>
      <c r="O2582"/>
      <c r="S2582" s="11" t="s">
        <v>1092</v>
      </c>
      <c r="T2582" s="11">
        <v>10</v>
      </c>
      <c r="U2582" s="11">
        <v>20</v>
      </c>
      <c r="V2582" s="11">
        <v>2025</v>
      </c>
      <c r="W2582" s="11" t="str">
        <f t="shared" si="43"/>
        <v>SA_New_202510</v>
      </c>
      <c r="X2582" s="11" t="s">
        <v>1616</v>
      </c>
    </row>
    <row r="2583" spans="1:24" hidden="1" x14ac:dyDescent="0.35">
      <c r="B2583" t="s">
        <v>1092</v>
      </c>
      <c r="C2583" s="12">
        <v>45959</v>
      </c>
      <c r="D2583" t="s">
        <v>3989</v>
      </c>
      <c r="O2583"/>
      <c r="S2583" s="11" t="s">
        <v>1092</v>
      </c>
      <c r="T2583" s="11">
        <v>10</v>
      </c>
      <c r="U2583" s="11">
        <v>29</v>
      </c>
      <c r="V2583" s="11">
        <v>2025</v>
      </c>
      <c r="W2583" s="11" t="str">
        <f t="shared" si="43"/>
        <v>SA_New_202510</v>
      </c>
      <c r="X2583" s="11" t="s">
        <v>1616</v>
      </c>
    </row>
    <row r="2584" spans="1:24" hidden="1" x14ac:dyDescent="0.35">
      <c r="B2584" t="s">
        <v>1092</v>
      </c>
      <c r="C2584" s="12">
        <v>45959</v>
      </c>
      <c r="D2584" t="s">
        <v>3990</v>
      </c>
      <c r="O2584"/>
      <c r="S2584" s="11" t="s">
        <v>1092</v>
      </c>
      <c r="T2584" s="11">
        <v>10</v>
      </c>
      <c r="U2584" s="11">
        <v>29</v>
      </c>
      <c r="V2584" s="11">
        <v>2025</v>
      </c>
      <c r="W2584" s="11" t="str">
        <f t="shared" si="43"/>
        <v>SA_New_202510</v>
      </c>
      <c r="X2584" s="11" t="s">
        <v>1616</v>
      </c>
    </row>
    <row r="2585" spans="1:24" hidden="1" x14ac:dyDescent="0.35">
      <c r="A2585">
        <v>74</v>
      </c>
      <c r="B2585">
        <v>2000057484</v>
      </c>
      <c r="C2585" s="1">
        <v>45943</v>
      </c>
      <c r="D2585" t="s">
        <v>3991</v>
      </c>
      <c r="E2585" t="s">
        <v>18</v>
      </c>
      <c r="F2585" t="s">
        <v>19</v>
      </c>
      <c r="G2585" t="s">
        <v>20</v>
      </c>
      <c r="H2585" t="s">
        <v>3992</v>
      </c>
      <c r="I2585" t="s">
        <v>22</v>
      </c>
      <c r="J2585">
        <v>0.94</v>
      </c>
      <c r="K2585">
        <v>2.6</v>
      </c>
      <c r="L2585">
        <v>2</v>
      </c>
      <c r="M2585">
        <v>0.79</v>
      </c>
      <c r="N2585" t="s">
        <v>28</v>
      </c>
      <c r="O2585" s="1">
        <v>46673</v>
      </c>
      <c r="Q2585" t="s">
        <v>881</v>
      </c>
      <c r="S2585" s="9" t="s">
        <v>915</v>
      </c>
      <c r="T2585" s="2" t="s">
        <v>948</v>
      </c>
      <c r="U2585" s="2" t="s">
        <v>950</v>
      </c>
      <c r="V2585" s="2" t="s">
        <v>1650</v>
      </c>
      <c r="W2585" t="str">
        <f t="shared" si="43"/>
        <v>2000057484_202510</v>
      </c>
      <c r="X2585" s="10" t="s">
        <v>1615</v>
      </c>
    </row>
    <row r="2586" spans="1:24" hidden="1" x14ac:dyDescent="0.35">
      <c r="A2586">
        <v>75</v>
      </c>
      <c r="B2586">
        <v>2000062065</v>
      </c>
      <c r="C2586" s="1">
        <v>45944</v>
      </c>
      <c r="D2586" t="s">
        <v>616</v>
      </c>
      <c r="E2586" t="s">
        <v>18</v>
      </c>
      <c r="F2586" t="s">
        <v>473</v>
      </c>
      <c r="G2586" t="s">
        <v>20</v>
      </c>
      <c r="H2586" t="s">
        <v>3993</v>
      </c>
      <c r="I2586" t="s">
        <v>22</v>
      </c>
      <c r="J2586">
        <v>0.93</v>
      </c>
      <c r="K2586">
        <v>3</v>
      </c>
      <c r="L2586">
        <v>2</v>
      </c>
      <c r="M2586">
        <v>0.91</v>
      </c>
      <c r="N2586" t="s">
        <v>368</v>
      </c>
      <c r="O2586" s="1">
        <v>47039</v>
      </c>
      <c r="Q2586" t="s">
        <v>323</v>
      </c>
      <c r="S2586" s="9" t="s">
        <v>915</v>
      </c>
      <c r="T2586" s="2" t="s">
        <v>948</v>
      </c>
      <c r="U2586" s="2" t="s">
        <v>951</v>
      </c>
      <c r="V2586" s="2" t="s">
        <v>1650</v>
      </c>
      <c r="W2586" t="str">
        <f t="shared" si="43"/>
        <v>2000062065_202510</v>
      </c>
      <c r="X2586" s="10" t="s">
        <v>1615</v>
      </c>
    </row>
    <row r="2587" spans="1:24" hidden="1" x14ac:dyDescent="0.35">
      <c r="A2587" s="11">
        <f t="shared" ref="A2587" si="44">A2586+1</f>
        <v>76</v>
      </c>
      <c r="B2587">
        <v>2000057017</v>
      </c>
      <c r="C2587" s="12">
        <v>45880</v>
      </c>
      <c r="D2587" t="s">
        <v>3861</v>
      </c>
      <c r="E2587" s="11" t="s">
        <v>18</v>
      </c>
      <c r="F2587" s="11" t="s">
        <v>52</v>
      </c>
      <c r="G2587" s="11" t="s">
        <v>1606</v>
      </c>
      <c r="H2587" s="11" t="s">
        <v>2763</v>
      </c>
      <c r="I2587" t="s">
        <v>41</v>
      </c>
      <c r="J2587">
        <v>1</v>
      </c>
      <c r="K2587">
        <v>3</v>
      </c>
      <c r="L2587">
        <v>2</v>
      </c>
      <c r="M2587">
        <v>0.76</v>
      </c>
      <c r="N2587" s="12" t="s">
        <v>2310</v>
      </c>
      <c r="O2587" s="12">
        <v>46610</v>
      </c>
      <c r="R2587" s="11" t="s">
        <v>3719</v>
      </c>
      <c r="S2587" s="11" t="s">
        <v>915</v>
      </c>
      <c r="T2587" s="11">
        <v>8</v>
      </c>
      <c r="U2587" s="11">
        <v>11</v>
      </c>
      <c r="V2587" s="11">
        <v>2025</v>
      </c>
      <c r="W2587" s="11" t="str">
        <f t="shared" si="43"/>
        <v>2000057017_20258</v>
      </c>
      <c r="X2587" s="11" t="s">
        <v>1616</v>
      </c>
    </row>
    <row r="2588" spans="1:24" hidden="1" x14ac:dyDescent="0.35">
      <c r="B2588">
        <v>2000056551</v>
      </c>
      <c r="C2588" s="1">
        <v>45773</v>
      </c>
      <c r="D2588" t="s">
        <v>3994</v>
      </c>
      <c r="E2588" t="s">
        <v>18</v>
      </c>
      <c r="F2588" t="s">
        <v>376</v>
      </c>
      <c r="G2588" t="s">
        <v>1915</v>
      </c>
      <c r="H2588" t="s">
        <v>3995</v>
      </c>
      <c r="I2588" t="s">
        <v>22</v>
      </c>
      <c r="J2588">
        <v>0.96699999999999997</v>
      </c>
      <c r="K2588">
        <v>3</v>
      </c>
      <c r="L2588">
        <v>1</v>
      </c>
      <c r="M2588">
        <v>0.83</v>
      </c>
      <c r="N2588" t="s">
        <v>2314</v>
      </c>
      <c r="O2588" s="1">
        <v>46869</v>
      </c>
      <c r="S2588" s="11" t="s">
        <v>915</v>
      </c>
      <c r="T2588" s="6" t="s">
        <v>946</v>
      </c>
      <c r="U2588" s="6" t="s">
        <v>924</v>
      </c>
      <c r="V2588" s="2" t="s">
        <v>1650</v>
      </c>
      <c r="W2588" s="11" t="str">
        <f t="shared" si="43"/>
        <v>2000056551_20254</v>
      </c>
      <c r="X2588" s="11" t="s">
        <v>1616</v>
      </c>
    </row>
    <row r="2589" spans="1:24" hidden="1" x14ac:dyDescent="0.35">
      <c r="B2589">
        <v>2000055972</v>
      </c>
      <c r="C2589" s="1">
        <v>45775</v>
      </c>
      <c r="D2589" t="s">
        <v>3996</v>
      </c>
      <c r="E2589" t="s">
        <v>18</v>
      </c>
      <c r="F2589" t="s">
        <v>19</v>
      </c>
      <c r="G2589" t="s">
        <v>3997</v>
      </c>
      <c r="H2589" t="s">
        <v>2579</v>
      </c>
      <c r="I2589" t="s">
        <v>22</v>
      </c>
      <c r="J2589">
        <v>1</v>
      </c>
      <c r="K2589">
        <v>3</v>
      </c>
      <c r="L2589">
        <v>0</v>
      </c>
      <c r="M2589">
        <v>0.94</v>
      </c>
      <c r="N2589" t="s">
        <v>2314</v>
      </c>
      <c r="O2589" s="1">
        <v>46871</v>
      </c>
      <c r="S2589" s="11" t="s">
        <v>915</v>
      </c>
      <c r="T2589" s="6" t="s">
        <v>946</v>
      </c>
      <c r="U2589" s="6" t="s">
        <v>926</v>
      </c>
      <c r="V2589" s="2" t="s">
        <v>1650</v>
      </c>
      <c r="W2589" s="11" t="str">
        <f t="shared" si="43"/>
        <v>2000055972_20254</v>
      </c>
      <c r="X2589" s="11" t="s">
        <v>1616</v>
      </c>
    </row>
    <row r="2590" spans="1:24" hidden="1" x14ac:dyDescent="0.35">
      <c r="B2590">
        <v>2000065671</v>
      </c>
      <c r="C2590" s="1">
        <v>45786</v>
      </c>
      <c r="D2590" t="s">
        <v>3998</v>
      </c>
      <c r="E2590" t="s">
        <v>18</v>
      </c>
      <c r="F2590" t="s">
        <v>148</v>
      </c>
      <c r="G2590" t="s">
        <v>3999</v>
      </c>
      <c r="H2590" t="s">
        <v>4000</v>
      </c>
      <c r="I2590" t="s">
        <v>22</v>
      </c>
      <c r="J2590">
        <v>1</v>
      </c>
      <c r="K2590">
        <v>3</v>
      </c>
      <c r="L2590">
        <v>0</v>
      </c>
      <c r="M2590">
        <v>0.87</v>
      </c>
      <c r="N2590" t="s">
        <v>2314</v>
      </c>
      <c r="O2590" s="1">
        <v>46882</v>
      </c>
      <c r="Q2590" t="s">
        <v>50</v>
      </c>
      <c r="S2590" s="11" t="s">
        <v>915</v>
      </c>
      <c r="T2590" s="6" t="s">
        <v>947</v>
      </c>
      <c r="U2590" s="6" t="s">
        <v>942</v>
      </c>
      <c r="V2590" s="2" t="s">
        <v>1650</v>
      </c>
      <c r="W2590" s="11" t="str">
        <f t="shared" si="43"/>
        <v>2000065671_20255</v>
      </c>
      <c r="X2590" s="11" t="s">
        <v>1616</v>
      </c>
    </row>
    <row r="2591" spans="1:24" hidden="1" x14ac:dyDescent="0.35">
      <c r="A2591">
        <v>76</v>
      </c>
      <c r="B2591">
        <v>2000058530</v>
      </c>
      <c r="C2591" s="1">
        <v>45987</v>
      </c>
      <c r="D2591" t="s">
        <v>468</v>
      </c>
      <c r="E2591" t="s">
        <v>18</v>
      </c>
      <c r="F2591" t="s">
        <v>19</v>
      </c>
      <c r="G2591" t="s">
        <v>20</v>
      </c>
      <c r="H2591" t="s">
        <v>4002</v>
      </c>
      <c r="I2591" t="s">
        <v>22</v>
      </c>
      <c r="J2591">
        <v>0.98</v>
      </c>
      <c r="K2591">
        <v>2.6</v>
      </c>
      <c r="L2591">
        <v>2</v>
      </c>
      <c r="M2591">
        <v>0.83</v>
      </c>
      <c r="N2591" t="s">
        <v>28</v>
      </c>
      <c r="O2591" s="1">
        <v>46716</v>
      </c>
      <c r="P2591" t="s">
        <v>470</v>
      </c>
      <c r="S2591" s="11" t="s">
        <v>915</v>
      </c>
      <c r="T2591" s="6" t="s">
        <v>945</v>
      </c>
      <c r="U2591" s="6" t="s">
        <v>924</v>
      </c>
      <c r="V2591" s="2" t="s">
        <v>1650</v>
      </c>
      <c r="W2591" s="11" t="str">
        <f t="shared" si="43"/>
        <v>2000058530_202511</v>
      </c>
      <c r="X2591" s="11" t="s">
        <v>1615</v>
      </c>
    </row>
    <row r="2592" spans="1:24" hidden="1" x14ac:dyDescent="0.35">
      <c r="A2592">
        <v>77</v>
      </c>
      <c r="B2592">
        <v>2000056180</v>
      </c>
      <c r="C2592" s="1">
        <v>45999</v>
      </c>
      <c r="D2592" t="s">
        <v>630</v>
      </c>
      <c r="E2592" t="s">
        <v>18</v>
      </c>
      <c r="F2592" t="s">
        <v>39</v>
      </c>
      <c r="G2592" t="s">
        <v>20</v>
      </c>
      <c r="H2592" t="s">
        <v>631</v>
      </c>
      <c r="I2592" t="s">
        <v>41</v>
      </c>
      <c r="J2592">
        <v>0.82</v>
      </c>
      <c r="K2592">
        <v>3</v>
      </c>
      <c r="L2592">
        <v>3</v>
      </c>
      <c r="M2592">
        <v>0.91</v>
      </c>
      <c r="N2592" t="s">
        <v>28</v>
      </c>
      <c r="O2592" s="1">
        <v>46729</v>
      </c>
      <c r="S2592" s="11" t="s">
        <v>915</v>
      </c>
      <c r="T2592" s="6" t="s">
        <v>949</v>
      </c>
      <c r="U2592" s="6" t="s">
        <v>940</v>
      </c>
      <c r="V2592" s="2" t="s">
        <v>1650</v>
      </c>
      <c r="W2592" s="11" t="str">
        <f t="shared" si="43"/>
        <v>2000056180_202512</v>
      </c>
      <c r="X2592" s="11" t="s">
        <v>1615</v>
      </c>
    </row>
    <row r="2593" spans="1:24" hidden="1" x14ac:dyDescent="0.35">
      <c r="A2593">
        <v>78</v>
      </c>
      <c r="B2593">
        <v>2000004028</v>
      </c>
      <c r="C2593" s="1">
        <v>46000</v>
      </c>
      <c r="D2593" t="s">
        <v>655</v>
      </c>
      <c r="E2593" t="s">
        <v>18</v>
      </c>
      <c r="F2593" t="s">
        <v>148</v>
      </c>
      <c r="G2593" t="s">
        <v>20</v>
      </c>
      <c r="H2593" t="s">
        <v>4003</v>
      </c>
      <c r="I2593" t="s">
        <v>148</v>
      </c>
      <c r="J2593">
        <v>0.92500000000000004</v>
      </c>
      <c r="K2593">
        <v>2.75</v>
      </c>
      <c r="L2593">
        <v>3</v>
      </c>
      <c r="M2593">
        <v>0.7</v>
      </c>
      <c r="N2593" t="s">
        <v>28</v>
      </c>
      <c r="O2593" s="1">
        <v>46730</v>
      </c>
      <c r="S2593" s="11" t="s">
        <v>915</v>
      </c>
      <c r="T2593" s="6" t="s">
        <v>949</v>
      </c>
      <c r="U2593" s="6" t="s">
        <v>942</v>
      </c>
      <c r="V2593" s="2" t="s">
        <v>1650</v>
      </c>
      <c r="W2593" s="11" t="str">
        <f t="shared" si="43"/>
        <v>2000004028_202512</v>
      </c>
      <c r="X2593" s="11" t="s">
        <v>1615</v>
      </c>
    </row>
    <row r="2594" spans="1:24" hidden="1" x14ac:dyDescent="0.35">
      <c r="A2594">
        <v>79</v>
      </c>
      <c r="B2594">
        <v>2000050020</v>
      </c>
      <c r="C2594" s="1">
        <v>46006</v>
      </c>
      <c r="D2594" t="s">
        <v>4001</v>
      </c>
      <c r="E2594" t="s">
        <v>18</v>
      </c>
      <c r="F2594" t="s">
        <v>52</v>
      </c>
      <c r="G2594" t="s">
        <v>20</v>
      </c>
      <c r="H2594" t="s">
        <v>4004</v>
      </c>
      <c r="I2594" t="s">
        <v>41</v>
      </c>
      <c r="J2594">
        <v>0.94</v>
      </c>
      <c r="K2594">
        <v>2.7</v>
      </c>
      <c r="L2594">
        <v>2</v>
      </c>
      <c r="M2594">
        <v>0.74</v>
      </c>
      <c r="N2594" t="s">
        <v>28</v>
      </c>
      <c r="O2594" s="1">
        <v>46736</v>
      </c>
      <c r="S2594" s="11" t="s">
        <v>915</v>
      </c>
      <c r="T2594" s="6" t="s">
        <v>949</v>
      </c>
      <c r="U2594" s="6" t="s">
        <v>943</v>
      </c>
      <c r="V2594" s="2" t="s">
        <v>1650</v>
      </c>
      <c r="W2594" s="11" t="str">
        <f t="shared" si="43"/>
        <v>2000050020_202512</v>
      </c>
      <c r="X2594" s="11" t="s">
        <v>1615</v>
      </c>
    </row>
    <row r="2595" spans="1:24" hidden="1" x14ac:dyDescent="0.35">
      <c r="A2595">
        <v>80</v>
      </c>
      <c r="B2595">
        <v>2000033841</v>
      </c>
      <c r="C2595" s="1">
        <v>46007</v>
      </c>
      <c r="D2595" t="s">
        <v>647</v>
      </c>
      <c r="E2595" t="s">
        <v>18</v>
      </c>
      <c r="F2595" t="s">
        <v>19</v>
      </c>
      <c r="G2595" t="s">
        <v>20</v>
      </c>
      <c r="H2595" t="s">
        <v>4005</v>
      </c>
      <c r="I2595" t="s">
        <v>22</v>
      </c>
      <c r="J2595">
        <v>0.99</v>
      </c>
      <c r="K2595">
        <v>3</v>
      </c>
      <c r="L2595">
        <v>0</v>
      </c>
      <c r="M2595">
        <v>0.83</v>
      </c>
      <c r="N2595" t="s">
        <v>368</v>
      </c>
      <c r="O2595" s="1">
        <v>47103</v>
      </c>
      <c r="Q2595" t="s">
        <v>881</v>
      </c>
      <c r="S2595" s="11" t="s">
        <v>915</v>
      </c>
      <c r="T2595" s="6" t="s">
        <v>949</v>
      </c>
      <c r="U2595" s="6" t="s">
        <v>928</v>
      </c>
      <c r="V2595" s="2" t="s">
        <v>1650</v>
      </c>
      <c r="W2595" s="11" t="str">
        <f t="shared" si="43"/>
        <v>2000033841_202512</v>
      </c>
      <c r="X2595" s="11" t="s">
        <v>1615</v>
      </c>
    </row>
    <row r="2596" spans="1:24" hidden="1" x14ac:dyDescent="0.35">
      <c r="A2596">
        <v>4</v>
      </c>
      <c r="B2596" t="s">
        <v>726</v>
      </c>
      <c r="C2596" s="1">
        <v>45975</v>
      </c>
      <c r="D2596" t="s">
        <v>4006</v>
      </c>
      <c r="E2596" t="s">
        <v>18</v>
      </c>
      <c r="F2596" t="s">
        <v>19</v>
      </c>
      <c r="G2596" t="s">
        <v>20</v>
      </c>
      <c r="H2596" t="s">
        <v>4007</v>
      </c>
      <c r="I2596" t="s">
        <v>22</v>
      </c>
      <c r="J2596">
        <v>0.9</v>
      </c>
      <c r="K2596">
        <v>0.82</v>
      </c>
      <c r="P2596" t="s">
        <v>470</v>
      </c>
      <c r="Q2596" t="s">
        <v>323</v>
      </c>
      <c r="S2596" s="11" t="s">
        <v>726</v>
      </c>
      <c r="T2596" s="6" t="s">
        <v>945</v>
      </c>
      <c r="U2596" s="6" t="s">
        <v>951</v>
      </c>
      <c r="V2596" s="2" t="s">
        <v>1650</v>
      </c>
      <c r="W2596" s="11" t="str">
        <f t="shared" si="43"/>
        <v>New_202511</v>
      </c>
      <c r="X2596" s="11" t="s">
        <v>1615</v>
      </c>
    </row>
    <row r="2597" spans="1:24" hidden="1" x14ac:dyDescent="0.35">
      <c r="A2597">
        <v>5</v>
      </c>
      <c r="B2597" t="s">
        <v>726</v>
      </c>
      <c r="C2597" s="1">
        <v>46016</v>
      </c>
      <c r="D2597" t="s">
        <v>4008</v>
      </c>
      <c r="E2597" t="s">
        <v>18</v>
      </c>
      <c r="F2597" t="s">
        <v>43</v>
      </c>
      <c r="G2597" t="s">
        <v>168</v>
      </c>
      <c r="H2597" t="s">
        <v>4009</v>
      </c>
      <c r="I2597" t="s">
        <v>22</v>
      </c>
      <c r="J2597">
        <v>0.98</v>
      </c>
      <c r="K2597">
        <v>0.89</v>
      </c>
      <c r="R2597" t="s">
        <v>4010</v>
      </c>
      <c r="S2597" s="11" t="s">
        <v>726</v>
      </c>
      <c r="T2597" s="6" t="s">
        <v>949</v>
      </c>
      <c r="U2597" s="6" t="s">
        <v>922</v>
      </c>
      <c r="V2597" s="2" t="s">
        <v>1650</v>
      </c>
      <c r="W2597" s="11" t="str">
        <f t="shared" si="43"/>
        <v>New_202512</v>
      </c>
      <c r="X2597" s="11" t="s">
        <v>1615</v>
      </c>
    </row>
    <row r="2598" spans="1:24" hidden="1" x14ac:dyDescent="0.35">
      <c r="B2598" t="s">
        <v>1092</v>
      </c>
      <c r="C2598" s="1">
        <v>45937</v>
      </c>
      <c r="D2598" t="s">
        <v>3929</v>
      </c>
      <c r="E2598" t="s">
        <v>18</v>
      </c>
      <c r="F2598" t="s">
        <v>1981</v>
      </c>
      <c r="G2598" t="s">
        <v>20</v>
      </c>
      <c r="H2598" t="s">
        <v>3930</v>
      </c>
      <c r="I2598" t="s">
        <v>1993</v>
      </c>
      <c r="J2598">
        <f>100%-60.2%</f>
        <v>0.39800000000000002</v>
      </c>
      <c r="R2598" t="s">
        <v>4013</v>
      </c>
      <c r="S2598" s="11" t="s">
        <v>1092</v>
      </c>
      <c r="T2598" s="6" t="s">
        <v>948</v>
      </c>
      <c r="U2598" s="6" t="s">
        <v>936</v>
      </c>
      <c r="V2598" s="2" t="s">
        <v>1650</v>
      </c>
      <c r="W2598" s="11" t="str">
        <f t="shared" si="43"/>
        <v>SA_New_202510</v>
      </c>
      <c r="X2598" s="11" t="s">
        <v>1615</v>
      </c>
    </row>
    <row r="2599" spans="1:24" hidden="1" x14ac:dyDescent="0.35">
      <c r="B2599" t="s">
        <v>1092</v>
      </c>
      <c r="C2599" s="1">
        <v>45960.82230324074</v>
      </c>
      <c r="D2599" t="s">
        <v>4011</v>
      </c>
      <c r="E2599" t="s">
        <v>18</v>
      </c>
      <c r="F2599" t="s">
        <v>1974</v>
      </c>
      <c r="G2599" t="s">
        <v>1277</v>
      </c>
      <c r="H2599" t="s">
        <v>4012</v>
      </c>
      <c r="I2599" t="s">
        <v>1976</v>
      </c>
      <c r="J2599">
        <f>100%-21.3%</f>
        <v>0.78700000000000003</v>
      </c>
      <c r="R2599" t="s">
        <v>4016</v>
      </c>
      <c r="S2599" s="11" t="s">
        <v>1092</v>
      </c>
      <c r="T2599" s="6" t="s">
        <v>948</v>
      </c>
      <c r="U2599" s="6" t="s">
        <v>938</v>
      </c>
      <c r="V2599" s="2" t="s">
        <v>4151</v>
      </c>
      <c r="W2599" s="11" t="str">
        <f t="shared" si="43"/>
        <v>SA_New_202610</v>
      </c>
      <c r="X2599" s="11" t="s">
        <v>1615</v>
      </c>
    </row>
    <row r="2600" spans="1:24" hidden="1" x14ac:dyDescent="0.35">
      <c r="B2600" t="s">
        <v>1092</v>
      </c>
      <c r="C2600" s="1">
        <v>45985.402233796296</v>
      </c>
      <c r="D2600" t="s">
        <v>4014</v>
      </c>
      <c r="E2600" t="s">
        <v>18</v>
      </c>
      <c r="F2600" t="s">
        <v>1981</v>
      </c>
      <c r="G2600" t="s">
        <v>1277</v>
      </c>
      <c r="H2600" t="s">
        <v>4015</v>
      </c>
      <c r="I2600" t="s">
        <v>1983</v>
      </c>
      <c r="J2600">
        <f>100%-28.9%</f>
        <v>0.71100000000000008</v>
      </c>
      <c r="R2600" t="s">
        <v>4016</v>
      </c>
      <c r="S2600" s="11" t="s">
        <v>1092</v>
      </c>
      <c r="T2600" s="6" t="s">
        <v>945</v>
      </c>
      <c r="U2600" s="6" t="s">
        <v>935</v>
      </c>
      <c r="V2600" s="2" t="s">
        <v>4152</v>
      </c>
      <c r="W2600" s="11" t="str">
        <f t="shared" si="43"/>
        <v>SA_New_202711</v>
      </c>
      <c r="X2600" s="11" t="s">
        <v>1615</v>
      </c>
    </row>
    <row r="2601" spans="1:24" hidden="1" x14ac:dyDescent="0.35">
      <c r="B2601" t="s">
        <v>1092</v>
      </c>
      <c r="C2601" s="1">
        <v>45987.403113425928</v>
      </c>
      <c r="D2601" t="s">
        <v>4017</v>
      </c>
      <c r="E2601" t="s">
        <v>18</v>
      </c>
      <c r="F2601" t="s">
        <v>2079</v>
      </c>
      <c r="G2601" t="s">
        <v>4018</v>
      </c>
      <c r="H2601" t="s">
        <v>4019</v>
      </c>
      <c r="I2601" t="s">
        <v>1993</v>
      </c>
      <c r="J2601">
        <f>100%-31%</f>
        <v>0.69</v>
      </c>
      <c r="R2601" t="s">
        <v>4013</v>
      </c>
      <c r="S2601" s="11" t="s">
        <v>1092</v>
      </c>
      <c r="T2601" s="6" t="s">
        <v>945</v>
      </c>
      <c r="U2601" s="6" t="s">
        <v>924</v>
      </c>
      <c r="V2601" s="2" t="s">
        <v>4153</v>
      </c>
      <c r="W2601" s="11" t="str">
        <f t="shared" si="43"/>
        <v>SA_New_202811</v>
      </c>
      <c r="X2601" s="11" t="s">
        <v>1615</v>
      </c>
    </row>
    <row r="2602" spans="1:24" hidden="1" x14ac:dyDescent="0.35">
      <c r="B2602" t="s">
        <v>1092</v>
      </c>
      <c r="C2602" s="1">
        <v>45987.670555555553</v>
      </c>
      <c r="D2602" t="s">
        <v>3918</v>
      </c>
      <c r="E2602" t="s">
        <v>18</v>
      </c>
      <c r="F2602" t="s">
        <v>2079</v>
      </c>
      <c r="G2602" t="s">
        <v>92</v>
      </c>
      <c r="H2602" t="s">
        <v>4020</v>
      </c>
      <c r="I2602" t="s">
        <v>1989</v>
      </c>
      <c r="J2602">
        <f>100%-17.5%</f>
        <v>0.82499999999999996</v>
      </c>
      <c r="R2602" t="s">
        <v>4016</v>
      </c>
      <c r="S2602" s="11" t="s">
        <v>1092</v>
      </c>
      <c r="T2602" s="6" t="s">
        <v>945</v>
      </c>
      <c r="U2602" s="6" t="s">
        <v>924</v>
      </c>
      <c r="V2602" s="2" t="s">
        <v>4154</v>
      </c>
      <c r="W2602" s="11" t="str">
        <f t="shared" si="43"/>
        <v>SA_New_202911</v>
      </c>
      <c r="X2602" s="11" t="s">
        <v>1615</v>
      </c>
    </row>
    <row r="2603" spans="1:24" hidden="1" x14ac:dyDescent="0.35">
      <c r="B2603" t="s">
        <v>1092</v>
      </c>
      <c r="C2603" s="1">
        <v>45988.475069444445</v>
      </c>
      <c r="D2603" t="s">
        <v>4021</v>
      </c>
      <c r="E2603" t="s">
        <v>18</v>
      </c>
      <c r="F2603" t="s">
        <v>2079</v>
      </c>
      <c r="G2603" t="s">
        <v>396</v>
      </c>
      <c r="H2603" t="s">
        <v>4022</v>
      </c>
      <c r="I2603" t="s">
        <v>1993</v>
      </c>
      <c r="J2603">
        <f>100%-36.4%</f>
        <v>0.63600000000000001</v>
      </c>
      <c r="R2603" t="s">
        <v>4013</v>
      </c>
      <c r="S2603" s="11" t="s">
        <v>1092</v>
      </c>
      <c r="T2603" s="6" t="s">
        <v>945</v>
      </c>
      <c r="U2603" s="6" t="s">
        <v>925</v>
      </c>
      <c r="V2603" s="2" t="s">
        <v>4155</v>
      </c>
      <c r="W2603" s="11" t="str">
        <f t="shared" si="43"/>
        <v>SA_New_203011</v>
      </c>
      <c r="X2603" s="11" t="s">
        <v>1615</v>
      </c>
    </row>
    <row r="2604" spans="1:24" hidden="1" x14ac:dyDescent="0.35">
      <c r="B2604" t="s">
        <v>1092</v>
      </c>
      <c r="C2604" s="1">
        <v>46016</v>
      </c>
      <c r="D2604" t="s">
        <v>4023</v>
      </c>
      <c r="E2604" t="s">
        <v>18</v>
      </c>
      <c r="F2604" t="s">
        <v>1978</v>
      </c>
      <c r="G2604" t="s">
        <v>20</v>
      </c>
      <c r="H2604" t="s">
        <v>4024</v>
      </c>
      <c r="I2604" t="s">
        <v>1983</v>
      </c>
      <c r="J2604">
        <v>0.873</v>
      </c>
      <c r="R2604" t="s">
        <v>4013</v>
      </c>
      <c r="S2604" s="11" t="s">
        <v>1092</v>
      </c>
      <c r="T2604" s="6" t="s">
        <v>949</v>
      </c>
      <c r="U2604" s="6" t="s">
        <v>922</v>
      </c>
      <c r="V2604" s="2" t="s">
        <v>4156</v>
      </c>
      <c r="W2604" s="11" t="str">
        <f t="shared" si="43"/>
        <v>SA_New_203112</v>
      </c>
      <c r="X2604" s="11" t="s">
        <v>1615</v>
      </c>
    </row>
    <row r="2605" spans="1:24" hidden="1" x14ac:dyDescent="0.35">
      <c r="B2605" t="s">
        <v>1092</v>
      </c>
      <c r="C2605" s="1">
        <v>46017</v>
      </c>
      <c r="D2605" t="s">
        <v>3637</v>
      </c>
      <c r="E2605" t="s">
        <v>18</v>
      </c>
      <c r="F2605" t="s">
        <v>1974</v>
      </c>
      <c r="G2605" t="s">
        <v>20</v>
      </c>
      <c r="H2605" t="s">
        <v>4025</v>
      </c>
      <c r="I2605" t="s">
        <v>1993</v>
      </c>
      <c r="J2605">
        <v>0.754</v>
      </c>
      <c r="R2605" t="s">
        <v>4013</v>
      </c>
      <c r="S2605" s="11" t="s">
        <v>1092</v>
      </c>
      <c r="T2605" s="6" t="s">
        <v>949</v>
      </c>
      <c r="U2605" s="6" t="s">
        <v>924</v>
      </c>
      <c r="V2605" s="2" t="s">
        <v>4157</v>
      </c>
      <c r="W2605" s="11" t="str">
        <f t="shared" si="43"/>
        <v>SA_New_203212</v>
      </c>
      <c r="X2605" s="11" t="s">
        <v>1615</v>
      </c>
    </row>
    <row r="2606" spans="1:24" hidden="1" x14ac:dyDescent="0.35">
      <c r="C2606" s="1">
        <v>45689</v>
      </c>
      <c r="D2606" t="s">
        <v>4026</v>
      </c>
      <c r="E2606" t="s">
        <v>18</v>
      </c>
      <c r="F2606" t="s">
        <v>1991</v>
      </c>
      <c r="G2606" t="s">
        <v>20</v>
      </c>
      <c r="H2606" t="s">
        <v>4027</v>
      </c>
      <c r="I2606" t="s">
        <v>1993</v>
      </c>
      <c r="J2606">
        <f>100%-12.5%</f>
        <v>0.875</v>
      </c>
      <c r="R2606" t="s">
        <v>4016</v>
      </c>
      <c r="S2606" s="11" t="s">
        <v>1061</v>
      </c>
      <c r="T2606" s="6" t="s">
        <v>921</v>
      </c>
      <c r="U2606" s="6" t="s">
        <v>953</v>
      </c>
      <c r="V2606" s="2" t="s">
        <v>4158</v>
      </c>
      <c r="W2606" s="11" t="str">
        <f t="shared" si="43"/>
        <v>_20332</v>
      </c>
      <c r="X2606" s="11" t="s">
        <v>1615</v>
      </c>
    </row>
    <row r="2607" spans="1:24" hidden="1" x14ac:dyDescent="0.35">
      <c r="C2607" s="1">
        <v>45671</v>
      </c>
      <c r="D2607" t="s">
        <v>4028</v>
      </c>
      <c r="E2607" t="s">
        <v>18</v>
      </c>
      <c r="F2607" t="s">
        <v>1991</v>
      </c>
      <c r="G2607" t="s">
        <v>73</v>
      </c>
      <c r="H2607" t="s">
        <v>4029</v>
      </c>
      <c r="I2607" t="s">
        <v>4030</v>
      </c>
      <c r="J2607">
        <f>100%-25.5%</f>
        <v>0.745</v>
      </c>
      <c r="R2607" t="s">
        <v>4013</v>
      </c>
      <c r="S2607" s="11" t="s">
        <v>1061</v>
      </c>
      <c r="T2607" s="6" t="s">
        <v>953</v>
      </c>
      <c r="U2607" s="6" t="s">
        <v>951</v>
      </c>
      <c r="V2607" s="2" t="s">
        <v>1650</v>
      </c>
      <c r="W2607" s="11" t="str">
        <f t="shared" si="43"/>
        <v>_20251</v>
      </c>
      <c r="X2607" s="11" t="s">
        <v>1615</v>
      </c>
    </row>
    <row r="2608" spans="1:24" hidden="1" x14ac:dyDescent="0.35">
      <c r="C2608" s="1">
        <v>45673</v>
      </c>
      <c r="D2608" t="s">
        <v>4031</v>
      </c>
      <c r="E2608" t="s">
        <v>18</v>
      </c>
      <c r="F2608" t="s">
        <v>2079</v>
      </c>
      <c r="G2608" t="s">
        <v>116</v>
      </c>
      <c r="H2608" t="s">
        <v>4032</v>
      </c>
      <c r="I2608" t="s">
        <v>4033</v>
      </c>
      <c r="J2608">
        <f>100%-14.8%</f>
        <v>0.85199999999999998</v>
      </c>
      <c r="R2608" t="s">
        <v>4016</v>
      </c>
      <c r="S2608" s="11" t="s">
        <v>1061</v>
      </c>
      <c r="T2608" s="6" t="s">
        <v>953</v>
      </c>
      <c r="U2608" s="6" t="s">
        <v>928</v>
      </c>
      <c r="V2608" s="2" t="s">
        <v>1650</v>
      </c>
      <c r="W2608" s="11" t="str">
        <f t="shared" si="43"/>
        <v>_20251</v>
      </c>
      <c r="X2608" s="11" t="s">
        <v>1615</v>
      </c>
    </row>
    <row r="2609" spans="3:24" hidden="1" x14ac:dyDescent="0.35">
      <c r="C2609" s="1">
        <v>45679</v>
      </c>
      <c r="D2609" t="s">
        <v>4034</v>
      </c>
      <c r="E2609" t="s">
        <v>18</v>
      </c>
      <c r="F2609" t="s">
        <v>2070</v>
      </c>
      <c r="G2609" t="s">
        <v>20</v>
      </c>
      <c r="H2609" t="s">
        <v>4035</v>
      </c>
      <c r="I2609" t="s">
        <v>1993</v>
      </c>
      <c r="J2609">
        <f>100%-27%</f>
        <v>0.73</v>
      </c>
      <c r="R2609" t="s">
        <v>4013</v>
      </c>
      <c r="S2609" s="11" t="s">
        <v>1061</v>
      </c>
      <c r="T2609" s="6" t="s">
        <v>953</v>
      </c>
      <c r="U2609" s="6" t="s">
        <v>933</v>
      </c>
      <c r="V2609" s="2" t="s">
        <v>1650</v>
      </c>
      <c r="W2609" s="11" t="str">
        <f t="shared" si="43"/>
        <v>_20251</v>
      </c>
      <c r="X2609" s="11" t="s">
        <v>1615</v>
      </c>
    </row>
    <row r="2610" spans="3:24" hidden="1" x14ac:dyDescent="0.35">
      <c r="C2610" s="1">
        <v>45699</v>
      </c>
      <c r="D2610" t="s">
        <v>4036</v>
      </c>
      <c r="E2610" t="s">
        <v>18</v>
      </c>
      <c r="F2610" t="s">
        <v>2070</v>
      </c>
      <c r="G2610" t="s">
        <v>20</v>
      </c>
      <c r="H2610" t="s">
        <v>4037</v>
      </c>
      <c r="I2610" t="s">
        <v>1993</v>
      </c>
      <c r="J2610">
        <f>100%-17.4%</f>
        <v>0.82600000000000007</v>
      </c>
      <c r="R2610" t="s">
        <v>4013</v>
      </c>
      <c r="S2610" s="11" t="s">
        <v>1061</v>
      </c>
      <c r="T2610" s="6" t="s">
        <v>921</v>
      </c>
      <c r="U2610" s="6" t="s">
        <v>945</v>
      </c>
      <c r="V2610" s="2" t="s">
        <v>1650</v>
      </c>
      <c r="W2610" s="11" t="str">
        <f t="shared" si="43"/>
        <v>_20252</v>
      </c>
      <c r="X2610" s="11" t="s">
        <v>1615</v>
      </c>
    </row>
    <row r="2611" spans="3:24" hidden="1" x14ac:dyDescent="0.35">
      <c r="C2611" s="1">
        <v>45762</v>
      </c>
      <c r="D2611" t="s">
        <v>1081</v>
      </c>
      <c r="E2611" t="s">
        <v>18</v>
      </c>
      <c r="F2611" t="s">
        <v>1981</v>
      </c>
      <c r="G2611" t="s">
        <v>168</v>
      </c>
      <c r="H2611" t="s">
        <v>4038</v>
      </c>
      <c r="I2611" t="s">
        <v>4039</v>
      </c>
      <c r="J2611">
        <f>100%-24.4%</f>
        <v>0.75600000000000001</v>
      </c>
      <c r="R2611" t="s">
        <v>4013</v>
      </c>
      <c r="S2611" s="11" t="s">
        <v>1061</v>
      </c>
      <c r="T2611" s="6" t="s">
        <v>946</v>
      </c>
      <c r="U2611" s="6" t="s">
        <v>943</v>
      </c>
      <c r="V2611" s="2" t="s">
        <v>1650</v>
      </c>
      <c r="W2611" s="11" t="str">
        <f t="shared" si="43"/>
        <v>_20254</v>
      </c>
      <c r="X2611" s="11" t="s">
        <v>1615</v>
      </c>
    </row>
    <row r="2612" spans="3:24" hidden="1" x14ac:dyDescent="0.35">
      <c r="C2612" s="1">
        <v>45762</v>
      </c>
      <c r="D2612" t="s">
        <v>4040</v>
      </c>
      <c r="E2612" t="s">
        <v>18</v>
      </c>
      <c r="F2612" t="s">
        <v>1981</v>
      </c>
      <c r="G2612" t="s">
        <v>238</v>
      </c>
      <c r="H2612" t="s">
        <v>4041</v>
      </c>
      <c r="I2612" t="s">
        <v>4042</v>
      </c>
      <c r="J2612">
        <f>100%-10.8%</f>
        <v>0.89200000000000002</v>
      </c>
      <c r="R2612" t="s">
        <v>4016</v>
      </c>
      <c r="S2612" s="11" t="s">
        <v>1061</v>
      </c>
      <c r="T2612" s="6" t="s">
        <v>946</v>
      </c>
      <c r="U2612" s="6" t="s">
        <v>943</v>
      </c>
      <c r="V2612" s="2" t="s">
        <v>1650</v>
      </c>
      <c r="W2612" s="11" t="str">
        <f t="shared" si="43"/>
        <v>_20254</v>
      </c>
      <c r="X2612" s="11" t="s">
        <v>1615</v>
      </c>
    </row>
    <row r="2613" spans="3:24" hidden="1" x14ac:dyDescent="0.35">
      <c r="C2613" s="1">
        <v>45762</v>
      </c>
      <c r="D2613" t="s">
        <v>4043</v>
      </c>
      <c r="E2613" t="s">
        <v>18</v>
      </c>
      <c r="F2613" t="s">
        <v>1981</v>
      </c>
      <c r="G2613" t="s">
        <v>168</v>
      </c>
      <c r="H2613" t="s">
        <v>4044</v>
      </c>
      <c r="I2613" t="s">
        <v>4045</v>
      </c>
      <c r="J2613">
        <f>100%-36.7%</f>
        <v>0.63300000000000001</v>
      </c>
      <c r="R2613" t="s">
        <v>4013</v>
      </c>
      <c r="S2613" s="11" t="s">
        <v>1061</v>
      </c>
      <c r="T2613" s="6" t="s">
        <v>946</v>
      </c>
      <c r="U2613" s="6" t="s">
        <v>943</v>
      </c>
      <c r="V2613" s="2" t="s">
        <v>1650</v>
      </c>
      <c r="W2613" s="11" t="str">
        <f t="shared" si="43"/>
        <v>_20254</v>
      </c>
      <c r="X2613" s="11" t="s">
        <v>1615</v>
      </c>
    </row>
    <row r="2614" spans="3:24" hidden="1" x14ac:dyDescent="0.35">
      <c r="C2614" s="1">
        <v>45762</v>
      </c>
      <c r="D2614" t="s">
        <v>1117</v>
      </c>
      <c r="E2614" t="s">
        <v>18</v>
      </c>
      <c r="F2614" t="s">
        <v>1991</v>
      </c>
      <c r="G2614" t="s">
        <v>553</v>
      </c>
      <c r="H2614" t="s">
        <v>4046</v>
      </c>
      <c r="I2614" t="s">
        <v>4047</v>
      </c>
      <c r="J2614">
        <f>100%-18.9%</f>
        <v>0.81100000000000005</v>
      </c>
      <c r="R2614" t="s">
        <v>4013</v>
      </c>
      <c r="S2614" s="11" t="s">
        <v>1061</v>
      </c>
      <c r="T2614" s="6" t="s">
        <v>946</v>
      </c>
      <c r="U2614" s="6" t="s">
        <v>943</v>
      </c>
      <c r="V2614" s="2" t="s">
        <v>1650</v>
      </c>
      <c r="W2614" s="11" t="str">
        <f t="shared" si="43"/>
        <v>_20254</v>
      </c>
      <c r="X2614" s="11" t="s">
        <v>1615</v>
      </c>
    </row>
    <row r="2615" spans="3:24" hidden="1" x14ac:dyDescent="0.35">
      <c r="C2615" s="1">
        <v>45764</v>
      </c>
      <c r="D2615" t="s">
        <v>4048</v>
      </c>
      <c r="E2615" t="s">
        <v>18</v>
      </c>
      <c r="F2615" t="s">
        <v>4049</v>
      </c>
      <c r="G2615" t="s">
        <v>238</v>
      </c>
      <c r="H2615" t="s">
        <v>4050</v>
      </c>
      <c r="I2615" t="s">
        <v>4051</v>
      </c>
      <c r="J2615">
        <f>100%-16%</f>
        <v>0.84</v>
      </c>
      <c r="R2615" t="s">
        <v>4013</v>
      </c>
      <c r="S2615" s="11" t="s">
        <v>1061</v>
      </c>
      <c r="T2615" s="6" t="s">
        <v>946</v>
      </c>
      <c r="U2615" s="6" t="s">
        <v>929</v>
      </c>
      <c r="V2615" s="2" t="s">
        <v>1650</v>
      </c>
      <c r="W2615" s="11" t="str">
        <f t="shared" si="43"/>
        <v>_20254</v>
      </c>
      <c r="X2615" s="11" t="s">
        <v>1615</v>
      </c>
    </row>
    <row r="2616" spans="3:24" hidden="1" x14ac:dyDescent="0.35">
      <c r="C2616" s="1">
        <v>45767</v>
      </c>
      <c r="D2616" t="s">
        <v>4052</v>
      </c>
      <c r="E2616" t="s">
        <v>18</v>
      </c>
      <c r="F2616" t="s">
        <v>1978</v>
      </c>
      <c r="G2616" t="s">
        <v>168</v>
      </c>
      <c r="H2616" t="s">
        <v>4053</v>
      </c>
      <c r="I2616" t="s">
        <v>4054</v>
      </c>
      <c r="J2616">
        <f>100%-23.3%</f>
        <v>0.76700000000000002</v>
      </c>
      <c r="R2616" t="s">
        <v>4016</v>
      </c>
      <c r="S2616" s="11" t="s">
        <v>1061</v>
      </c>
      <c r="T2616" s="6" t="s">
        <v>946</v>
      </c>
      <c r="U2616" s="6" t="s">
        <v>932</v>
      </c>
      <c r="V2616" s="2" t="s">
        <v>1650</v>
      </c>
      <c r="W2616" s="11" t="str">
        <f t="shared" si="43"/>
        <v>_20254</v>
      </c>
      <c r="X2616" s="11" t="s">
        <v>1615</v>
      </c>
    </row>
    <row r="2617" spans="3:24" hidden="1" x14ac:dyDescent="0.35">
      <c r="C2617" s="1">
        <v>45769</v>
      </c>
      <c r="D2617" t="s">
        <v>4055</v>
      </c>
      <c r="E2617" t="s">
        <v>18</v>
      </c>
      <c r="F2617" t="s">
        <v>1991</v>
      </c>
      <c r="G2617" t="s">
        <v>238</v>
      </c>
      <c r="H2617" t="s">
        <v>4056</v>
      </c>
      <c r="I2617" t="s">
        <v>4057</v>
      </c>
      <c r="J2617">
        <f>100%-34.4%</f>
        <v>0.65600000000000003</v>
      </c>
      <c r="R2617" t="s">
        <v>4013</v>
      </c>
      <c r="S2617" s="11" t="s">
        <v>1061</v>
      </c>
      <c r="T2617" s="6" t="s">
        <v>946</v>
      </c>
      <c r="U2617" s="6" t="s">
        <v>933</v>
      </c>
      <c r="V2617" s="2" t="s">
        <v>1650</v>
      </c>
      <c r="W2617" s="11" t="str">
        <f t="shared" si="43"/>
        <v>_20254</v>
      </c>
      <c r="X2617" s="11" t="s">
        <v>1615</v>
      </c>
    </row>
    <row r="2618" spans="3:24" hidden="1" x14ac:dyDescent="0.35">
      <c r="C2618" s="1">
        <v>45769</v>
      </c>
      <c r="D2618" t="s">
        <v>4058</v>
      </c>
      <c r="E2618" t="s">
        <v>18</v>
      </c>
      <c r="F2618" t="s">
        <v>1991</v>
      </c>
      <c r="G2618" t="s">
        <v>163</v>
      </c>
      <c r="H2618" t="s">
        <v>4059</v>
      </c>
      <c r="I2618" t="s">
        <v>4060</v>
      </c>
      <c r="J2618">
        <f>100%-23.6%</f>
        <v>0.76400000000000001</v>
      </c>
      <c r="R2618" t="s">
        <v>4016</v>
      </c>
      <c r="S2618" s="11" t="s">
        <v>1061</v>
      </c>
      <c r="T2618" s="6" t="s">
        <v>946</v>
      </c>
      <c r="U2618" s="6" t="s">
        <v>933</v>
      </c>
      <c r="V2618" s="2" t="s">
        <v>1650</v>
      </c>
      <c r="W2618" s="11" t="str">
        <f t="shared" si="43"/>
        <v>_20254</v>
      </c>
      <c r="X2618" s="11" t="s">
        <v>1615</v>
      </c>
    </row>
    <row r="2619" spans="3:24" hidden="1" x14ac:dyDescent="0.35">
      <c r="C2619" s="1">
        <v>45771</v>
      </c>
      <c r="D2619" t="s">
        <v>4061</v>
      </c>
      <c r="E2619" t="s">
        <v>18</v>
      </c>
      <c r="F2619" t="s">
        <v>1991</v>
      </c>
      <c r="G2619" t="s">
        <v>163</v>
      </c>
      <c r="H2619" t="s">
        <v>4062</v>
      </c>
      <c r="I2619" t="s">
        <v>4063</v>
      </c>
      <c r="J2619">
        <f>100%-46.5%</f>
        <v>0.53499999999999992</v>
      </c>
      <c r="R2619" t="s">
        <v>4013</v>
      </c>
      <c r="S2619" s="11" t="s">
        <v>1061</v>
      </c>
      <c r="T2619" s="6" t="s">
        <v>946</v>
      </c>
      <c r="U2619" s="6" t="s">
        <v>935</v>
      </c>
      <c r="V2619" s="2" t="s">
        <v>1650</v>
      </c>
      <c r="W2619" s="11" t="str">
        <f t="shared" si="43"/>
        <v>_20254</v>
      </c>
      <c r="X2619" s="11" t="s">
        <v>1615</v>
      </c>
    </row>
    <row r="2620" spans="3:24" hidden="1" x14ac:dyDescent="0.35">
      <c r="C2620" s="1">
        <v>45775</v>
      </c>
      <c r="D2620" t="s">
        <v>4064</v>
      </c>
      <c r="E2620" t="s">
        <v>18</v>
      </c>
      <c r="F2620" t="s">
        <v>4049</v>
      </c>
      <c r="G2620" t="s">
        <v>149</v>
      </c>
      <c r="H2620" t="s">
        <v>4065</v>
      </c>
      <c r="I2620" t="s">
        <v>4066</v>
      </c>
      <c r="J2620">
        <f>100%-21%</f>
        <v>0.79</v>
      </c>
      <c r="R2620" t="s">
        <v>4016</v>
      </c>
      <c r="S2620" s="11" t="s">
        <v>1061</v>
      </c>
      <c r="T2620" s="6" t="s">
        <v>946</v>
      </c>
      <c r="U2620" s="6" t="s">
        <v>926</v>
      </c>
      <c r="V2620" s="2" t="s">
        <v>1650</v>
      </c>
      <c r="W2620" s="11" t="str">
        <f t="shared" si="43"/>
        <v>_20254</v>
      </c>
      <c r="X2620" s="11" t="s">
        <v>1615</v>
      </c>
    </row>
    <row r="2621" spans="3:24" hidden="1" x14ac:dyDescent="0.35">
      <c r="C2621" s="1">
        <v>45775</v>
      </c>
      <c r="D2621" t="s">
        <v>602</v>
      </c>
      <c r="E2621" t="s">
        <v>18</v>
      </c>
      <c r="F2621" t="s">
        <v>1978</v>
      </c>
      <c r="G2621" t="s">
        <v>168</v>
      </c>
      <c r="H2621" t="s">
        <v>4067</v>
      </c>
      <c r="I2621" t="s">
        <v>4068</v>
      </c>
      <c r="J2621">
        <f>100%-33.3%</f>
        <v>0.66700000000000004</v>
      </c>
      <c r="R2621" t="s">
        <v>4016</v>
      </c>
      <c r="S2621" s="11" t="s">
        <v>1061</v>
      </c>
      <c r="T2621" s="6" t="s">
        <v>946</v>
      </c>
      <c r="U2621" s="6" t="s">
        <v>926</v>
      </c>
      <c r="V2621" s="2" t="s">
        <v>1650</v>
      </c>
      <c r="W2621" s="11" t="str">
        <f t="shared" si="43"/>
        <v>_20254</v>
      </c>
      <c r="X2621" s="11" t="s">
        <v>1615</v>
      </c>
    </row>
    <row r="2622" spans="3:24" hidden="1" x14ac:dyDescent="0.35">
      <c r="C2622" s="1">
        <v>45775</v>
      </c>
      <c r="D2622" t="s">
        <v>4069</v>
      </c>
      <c r="E2622" t="s">
        <v>18</v>
      </c>
      <c r="F2622" t="s">
        <v>1978</v>
      </c>
      <c r="G2622" t="s">
        <v>168</v>
      </c>
      <c r="H2622" t="s">
        <v>4070</v>
      </c>
      <c r="I2622" t="s">
        <v>4071</v>
      </c>
      <c r="J2622">
        <f>100%-33%</f>
        <v>0.66999999999999993</v>
      </c>
      <c r="R2622" t="s">
        <v>4016</v>
      </c>
      <c r="S2622" s="11" t="s">
        <v>1061</v>
      </c>
      <c r="T2622" s="6" t="s">
        <v>946</v>
      </c>
      <c r="U2622" s="6" t="s">
        <v>926</v>
      </c>
      <c r="V2622" s="2" t="s">
        <v>1650</v>
      </c>
      <c r="W2622" s="11" t="str">
        <f t="shared" si="43"/>
        <v>_20254</v>
      </c>
      <c r="X2622" s="11" t="s">
        <v>1615</v>
      </c>
    </row>
    <row r="2623" spans="3:24" hidden="1" x14ac:dyDescent="0.35">
      <c r="C2623" s="1">
        <v>45775</v>
      </c>
      <c r="D2623" t="s">
        <v>4072</v>
      </c>
      <c r="E2623" t="s">
        <v>18</v>
      </c>
      <c r="F2623" t="s">
        <v>1991</v>
      </c>
      <c r="G2623" t="s">
        <v>20</v>
      </c>
      <c r="H2623" t="s">
        <v>4073</v>
      </c>
      <c r="I2623" t="s">
        <v>4074</v>
      </c>
      <c r="J2623">
        <f>100%-37.2%</f>
        <v>0.62799999999999989</v>
      </c>
      <c r="R2623" t="s">
        <v>4013</v>
      </c>
      <c r="S2623" s="11" t="s">
        <v>1061</v>
      </c>
      <c r="T2623" s="6" t="s">
        <v>946</v>
      </c>
      <c r="U2623" s="6" t="s">
        <v>926</v>
      </c>
      <c r="V2623" s="2" t="s">
        <v>1650</v>
      </c>
      <c r="W2623" s="11" t="str">
        <f t="shared" si="43"/>
        <v>_20254</v>
      </c>
      <c r="X2623" s="11" t="s">
        <v>1615</v>
      </c>
    </row>
    <row r="2624" spans="3:24" hidden="1" x14ac:dyDescent="0.35">
      <c r="C2624" s="1">
        <v>45775</v>
      </c>
      <c r="D2624" t="s">
        <v>1585</v>
      </c>
      <c r="E2624" t="s">
        <v>18</v>
      </c>
      <c r="F2624" t="s">
        <v>1981</v>
      </c>
      <c r="G2624" t="s">
        <v>168</v>
      </c>
      <c r="H2624" t="s">
        <v>4075</v>
      </c>
      <c r="I2624" t="s">
        <v>4076</v>
      </c>
      <c r="J2624">
        <f>100%-24.4%</f>
        <v>0.75600000000000001</v>
      </c>
      <c r="R2624" t="s">
        <v>4013</v>
      </c>
      <c r="S2624" s="11" t="s">
        <v>1061</v>
      </c>
      <c r="T2624" s="6" t="s">
        <v>946</v>
      </c>
      <c r="U2624" s="6" t="s">
        <v>926</v>
      </c>
      <c r="V2624" s="2" t="s">
        <v>1650</v>
      </c>
      <c r="W2624" s="11" t="str">
        <f t="shared" ref="W2624:W2653" si="45">CONCATENATE(B2624,"_",V2624,T2624)</f>
        <v>_20254</v>
      </c>
      <c r="X2624" s="11" t="s">
        <v>1615</v>
      </c>
    </row>
    <row r="2625" spans="3:24" hidden="1" x14ac:dyDescent="0.35">
      <c r="C2625" s="1">
        <v>45775</v>
      </c>
      <c r="D2625" t="s">
        <v>4077</v>
      </c>
      <c r="E2625" t="s">
        <v>18</v>
      </c>
      <c r="F2625" t="s">
        <v>1981</v>
      </c>
      <c r="G2625" t="s">
        <v>168</v>
      </c>
      <c r="H2625" t="s">
        <v>4078</v>
      </c>
      <c r="I2625" t="s">
        <v>4079</v>
      </c>
      <c r="J2625">
        <f>100%-25%</f>
        <v>0.75</v>
      </c>
      <c r="R2625" t="s">
        <v>4016</v>
      </c>
      <c r="S2625" s="11" t="s">
        <v>1061</v>
      </c>
      <c r="T2625" s="6" t="s">
        <v>946</v>
      </c>
      <c r="U2625" s="6" t="s">
        <v>926</v>
      </c>
      <c r="V2625" s="2" t="s">
        <v>1650</v>
      </c>
      <c r="W2625" s="11" t="str">
        <f t="shared" si="45"/>
        <v>_20254</v>
      </c>
      <c r="X2625" s="11" t="s">
        <v>1615</v>
      </c>
    </row>
    <row r="2626" spans="3:24" hidden="1" x14ac:dyDescent="0.35">
      <c r="C2626" s="1">
        <v>45775.728229166663</v>
      </c>
      <c r="D2626" t="s">
        <v>4080</v>
      </c>
      <c r="E2626" t="s">
        <v>18</v>
      </c>
      <c r="F2626" t="s">
        <v>1978</v>
      </c>
      <c r="G2626" t="s">
        <v>20</v>
      </c>
      <c r="H2626" t="s">
        <v>4081</v>
      </c>
      <c r="I2626" t="s">
        <v>4082</v>
      </c>
      <c r="J2626">
        <f>100%-25.6%</f>
        <v>0.74399999999999999</v>
      </c>
      <c r="R2626" t="s">
        <v>4016</v>
      </c>
      <c r="S2626" s="11" t="s">
        <v>1061</v>
      </c>
      <c r="T2626" s="6" t="s">
        <v>946</v>
      </c>
      <c r="U2626" s="6" t="s">
        <v>926</v>
      </c>
      <c r="V2626" s="2" t="s">
        <v>1650</v>
      </c>
      <c r="W2626" s="11" t="str">
        <f t="shared" si="45"/>
        <v>_20254</v>
      </c>
      <c r="X2626" s="11" t="s">
        <v>1615</v>
      </c>
    </row>
    <row r="2627" spans="3:24" hidden="1" x14ac:dyDescent="0.35">
      <c r="C2627" s="1">
        <v>45775.728229166663</v>
      </c>
      <c r="D2627" t="s">
        <v>1108</v>
      </c>
      <c r="E2627" t="s">
        <v>18</v>
      </c>
      <c r="F2627" t="s">
        <v>1985</v>
      </c>
      <c r="G2627" t="s">
        <v>20</v>
      </c>
      <c r="H2627" t="s">
        <v>4083</v>
      </c>
      <c r="I2627" t="s">
        <v>1993</v>
      </c>
      <c r="J2627">
        <f>100%-49%</f>
        <v>0.51</v>
      </c>
      <c r="R2627" t="s">
        <v>4016</v>
      </c>
      <c r="S2627" s="11" t="s">
        <v>1061</v>
      </c>
      <c r="T2627" s="6" t="s">
        <v>946</v>
      </c>
      <c r="U2627" s="6" t="s">
        <v>926</v>
      </c>
      <c r="V2627" s="2" t="s">
        <v>1650</v>
      </c>
      <c r="W2627" s="11" t="str">
        <f t="shared" si="45"/>
        <v>_20254</v>
      </c>
      <c r="X2627" s="11" t="s">
        <v>1615</v>
      </c>
    </row>
    <row r="2628" spans="3:24" hidden="1" x14ac:dyDescent="0.35">
      <c r="C2628" s="1">
        <v>45775.728229166663</v>
      </c>
      <c r="D2628" t="s">
        <v>4084</v>
      </c>
      <c r="E2628" t="s">
        <v>18</v>
      </c>
      <c r="F2628" t="s">
        <v>1978</v>
      </c>
      <c r="G2628" t="s">
        <v>149</v>
      </c>
      <c r="H2628" t="s">
        <v>4085</v>
      </c>
      <c r="I2628" t="s">
        <v>4086</v>
      </c>
      <c r="J2628">
        <f>100%-33.6%</f>
        <v>0.66399999999999992</v>
      </c>
      <c r="R2628" t="s">
        <v>4016</v>
      </c>
      <c r="S2628" s="11" t="s">
        <v>1061</v>
      </c>
      <c r="T2628" s="6" t="s">
        <v>946</v>
      </c>
      <c r="U2628" s="6" t="s">
        <v>926</v>
      </c>
      <c r="V2628" s="2" t="s">
        <v>1650</v>
      </c>
      <c r="W2628" s="11" t="str">
        <f t="shared" si="45"/>
        <v>_20254</v>
      </c>
      <c r="X2628" s="11" t="s">
        <v>1615</v>
      </c>
    </row>
    <row r="2629" spans="3:24" hidden="1" x14ac:dyDescent="0.35">
      <c r="C2629" s="1">
        <v>45779.438368055555</v>
      </c>
      <c r="D2629" t="s">
        <v>668</v>
      </c>
      <c r="E2629" t="s">
        <v>18</v>
      </c>
      <c r="F2629" t="s">
        <v>1985</v>
      </c>
      <c r="G2629" t="s">
        <v>20</v>
      </c>
      <c r="H2629" t="s">
        <v>4087</v>
      </c>
      <c r="I2629" t="s">
        <v>4088</v>
      </c>
      <c r="J2629">
        <f>100%-33%</f>
        <v>0.66999999999999993</v>
      </c>
      <c r="R2629" t="s">
        <v>4016</v>
      </c>
      <c r="S2629" s="11" t="s">
        <v>1061</v>
      </c>
      <c r="T2629" s="6" t="s">
        <v>947</v>
      </c>
      <c r="U2629" s="6" t="s">
        <v>921</v>
      </c>
      <c r="V2629" s="2" t="s">
        <v>1650</v>
      </c>
      <c r="W2629" s="11" t="str">
        <f t="shared" si="45"/>
        <v>_20255</v>
      </c>
      <c r="X2629" s="11" t="s">
        <v>1615</v>
      </c>
    </row>
    <row r="2630" spans="3:24" hidden="1" x14ac:dyDescent="0.35">
      <c r="C2630" s="1">
        <v>45786.438368055555</v>
      </c>
      <c r="D2630" t="s">
        <v>4089</v>
      </c>
      <c r="E2630" t="s">
        <v>18</v>
      </c>
      <c r="F2630" t="s">
        <v>1981</v>
      </c>
      <c r="G2630" t="s">
        <v>20</v>
      </c>
      <c r="H2630" t="s">
        <v>4090</v>
      </c>
      <c r="I2630" t="s">
        <v>4091</v>
      </c>
      <c r="J2630">
        <f>100%-50%</f>
        <v>0.5</v>
      </c>
      <c r="R2630" t="s">
        <v>4016</v>
      </c>
      <c r="S2630" s="11" t="s">
        <v>1061</v>
      </c>
      <c r="T2630" s="6" t="s">
        <v>947</v>
      </c>
      <c r="U2630" s="6" t="s">
        <v>942</v>
      </c>
      <c r="V2630" s="2" t="s">
        <v>1650</v>
      </c>
      <c r="W2630" s="11" t="str">
        <f t="shared" si="45"/>
        <v>_20255</v>
      </c>
      <c r="X2630" s="11" t="s">
        <v>1615</v>
      </c>
    </row>
    <row r="2631" spans="3:24" hidden="1" x14ac:dyDescent="0.35">
      <c r="C2631" s="1">
        <v>45790.438368055555</v>
      </c>
      <c r="D2631" t="s">
        <v>4092</v>
      </c>
      <c r="E2631" t="s">
        <v>18</v>
      </c>
      <c r="F2631" t="s">
        <v>4049</v>
      </c>
      <c r="G2631" t="s">
        <v>20</v>
      </c>
      <c r="H2631" t="s">
        <v>4093</v>
      </c>
      <c r="I2631" t="s">
        <v>4094</v>
      </c>
      <c r="J2631">
        <f>100%-34.3%</f>
        <v>0.65700000000000003</v>
      </c>
      <c r="R2631" t="s">
        <v>4013</v>
      </c>
      <c r="S2631" s="11" t="s">
        <v>1061</v>
      </c>
      <c r="T2631" s="6" t="s">
        <v>947</v>
      </c>
      <c r="U2631" s="6" t="s">
        <v>950</v>
      </c>
      <c r="V2631" s="2" t="s">
        <v>1650</v>
      </c>
      <c r="W2631" s="11" t="str">
        <f t="shared" si="45"/>
        <v>_20255</v>
      </c>
      <c r="X2631" s="11" t="s">
        <v>1615</v>
      </c>
    </row>
    <row r="2632" spans="3:24" hidden="1" x14ac:dyDescent="0.35">
      <c r="C2632" s="1">
        <v>45791</v>
      </c>
      <c r="D2632" t="s">
        <v>4095</v>
      </c>
      <c r="E2632" t="s">
        <v>18</v>
      </c>
      <c r="F2632" t="s">
        <v>1991</v>
      </c>
      <c r="G2632" t="s">
        <v>149</v>
      </c>
      <c r="H2632" t="s">
        <v>4096</v>
      </c>
      <c r="I2632" t="s">
        <v>4097</v>
      </c>
      <c r="J2632">
        <f>100%-18.8%</f>
        <v>0.81200000000000006</v>
      </c>
      <c r="R2632" t="s">
        <v>4016</v>
      </c>
      <c r="S2632" s="11" t="s">
        <v>1061</v>
      </c>
      <c r="T2632" s="6" t="s">
        <v>947</v>
      </c>
      <c r="U2632" s="6" t="s">
        <v>951</v>
      </c>
      <c r="V2632" s="2" t="s">
        <v>1650</v>
      </c>
      <c r="W2632" s="11" t="str">
        <f t="shared" si="45"/>
        <v>_20255</v>
      </c>
      <c r="X2632" s="11" t="s">
        <v>1615</v>
      </c>
    </row>
    <row r="2633" spans="3:24" hidden="1" x14ac:dyDescent="0.35">
      <c r="C2633" s="1">
        <v>45805</v>
      </c>
      <c r="D2633" t="s">
        <v>4098</v>
      </c>
      <c r="E2633" t="s">
        <v>18</v>
      </c>
      <c r="F2633" t="s">
        <v>4049</v>
      </c>
      <c r="G2633" t="s">
        <v>20</v>
      </c>
      <c r="H2633" t="s">
        <v>4099</v>
      </c>
      <c r="I2633" t="s">
        <v>3288</v>
      </c>
      <c r="J2633">
        <f>100%-40.2%</f>
        <v>0.59799999999999998</v>
      </c>
      <c r="R2633" t="s">
        <v>4016</v>
      </c>
      <c r="S2633" s="11" t="s">
        <v>1061</v>
      </c>
      <c r="T2633" s="6" t="s">
        <v>947</v>
      </c>
      <c r="U2633" s="6" t="s">
        <v>926</v>
      </c>
      <c r="V2633" s="2" t="s">
        <v>1650</v>
      </c>
      <c r="W2633" s="11" t="str">
        <f t="shared" si="45"/>
        <v>_20255</v>
      </c>
      <c r="X2633" s="11" t="s">
        <v>1615</v>
      </c>
    </row>
    <row r="2634" spans="3:24" hidden="1" x14ac:dyDescent="0.35">
      <c r="C2634" s="1">
        <v>45805</v>
      </c>
      <c r="D2634" t="s">
        <v>4100</v>
      </c>
      <c r="E2634" t="s">
        <v>18</v>
      </c>
      <c r="F2634" t="s">
        <v>4049</v>
      </c>
      <c r="G2634" t="s">
        <v>20</v>
      </c>
      <c r="H2634" t="s">
        <v>4101</v>
      </c>
      <c r="I2634" t="s">
        <v>3288</v>
      </c>
      <c r="J2634">
        <f>100%-31.3%</f>
        <v>0.68700000000000006</v>
      </c>
      <c r="R2634" t="s">
        <v>4016</v>
      </c>
      <c r="S2634" s="11" t="s">
        <v>1061</v>
      </c>
      <c r="T2634" s="6" t="s">
        <v>947</v>
      </c>
      <c r="U2634" s="6" t="s">
        <v>926</v>
      </c>
      <c r="V2634" s="2" t="s">
        <v>1650</v>
      </c>
      <c r="W2634" s="11" t="str">
        <f t="shared" si="45"/>
        <v>_20255</v>
      </c>
      <c r="X2634" s="11" t="s">
        <v>1615</v>
      </c>
    </row>
    <row r="2635" spans="3:24" hidden="1" x14ac:dyDescent="0.35">
      <c r="C2635" s="1">
        <v>45825.712627314817</v>
      </c>
      <c r="D2635" t="s">
        <v>4102</v>
      </c>
      <c r="E2635" t="s">
        <v>18</v>
      </c>
      <c r="F2635" t="s">
        <v>1978</v>
      </c>
      <c r="G2635" t="s">
        <v>20</v>
      </c>
      <c r="H2635" t="s">
        <v>4103</v>
      </c>
      <c r="I2635" t="s">
        <v>4104</v>
      </c>
      <c r="J2635">
        <f>100%-43.1%</f>
        <v>0.56899999999999995</v>
      </c>
      <c r="R2635" t="s">
        <v>4010</v>
      </c>
      <c r="S2635" s="11" t="s">
        <v>1061</v>
      </c>
      <c r="T2635" s="6" t="s">
        <v>927</v>
      </c>
      <c r="U2635" s="6" t="s">
        <v>929</v>
      </c>
      <c r="V2635" s="2" t="s">
        <v>1650</v>
      </c>
      <c r="W2635" s="11" t="str">
        <f t="shared" si="45"/>
        <v>_20256</v>
      </c>
      <c r="X2635" s="11" t="s">
        <v>1615</v>
      </c>
    </row>
    <row r="2636" spans="3:24" hidden="1" x14ac:dyDescent="0.35">
      <c r="C2636" s="1">
        <v>45826</v>
      </c>
      <c r="D2636" t="s">
        <v>4105</v>
      </c>
      <c r="E2636" t="s">
        <v>18</v>
      </c>
      <c r="F2636" t="s">
        <v>4106</v>
      </c>
      <c r="G2636" t="s">
        <v>20</v>
      </c>
      <c r="H2636" t="s">
        <v>4107</v>
      </c>
      <c r="I2636" t="s">
        <v>4108</v>
      </c>
      <c r="J2636">
        <f>100%-73.3%</f>
        <v>0.26700000000000002</v>
      </c>
      <c r="R2636" t="s">
        <v>4010</v>
      </c>
      <c r="S2636" s="11" t="s">
        <v>1061</v>
      </c>
      <c r="T2636" s="6" t="s">
        <v>927</v>
      </c>
      <c r="U2636" s="6" t="s">
        <v>930</v>
      </c>
      <c r="V2636" s="2" t="s">
        <v>1650</v>
      </c>
      <c r="W2636" s="11" t="str">
        <f t="shared" si="45"/>
        <v>_20256</v>
      </c>
      <c r="X2636" s="11" t="s">
        <v>1615</v>
      </c>
    </row>
    <row r="2637" spans="3:24" hidden="1" x14ac:dyDescent="0.35">
      <c r="C2637" s="1">
        <v>45826</v>
      </c>
      <c r="D2637" t="s">
        <v>4109</v>
      </c>
      <c r="E2637" t="s">
        <v>18</v>
      </c>
      <c r="F2637" t="s">
        <v>1981</v>
      </c>
      <c r="G2637" t="s">
        <v>20</v>
      </c>
      <c r="H2637" t="s">
        <v>4110</v>
      </c>
      <c r="I2637" t="s">
        <v>4111</v>
      </c>
      <c r="J2637">
        <f>100%-55.4%</f>
        <v>0.44600000000000006</v>
      </c>
      <c r="R2637" t="s">
        <v>4013</v>
      </c>
      <c r="S2637" s="11" t="s">
        <v>1061</v>
      </c>
      <c r="T2637" s="6" t="s">
        <v>927</v>
      </c>
      <c r="U2637" s="6" t="s">
        <v>930</v>
      </c>
      <c r="V2637" s="2" t="s">
        <v>1650</v>
      </c>
      <c r="W2637" s="11" t="str">
        <f t="shared" si="45"/>
        <v>_20256</v>
      </c>
      <c r="X2637" s="11" t="s">
        <v>1615</v>
      </c>
    </row>
    <row r="2638" spans="3:24" hidden="1" x14ac:dyDescent="0.35">
      <c r="C2638" s="1">
        <v>45841.634004629632</v>
      </c>
      <c r="D2638" t="s">
        <v>4112</v>
      </c>
      <c r="E2638" t="s">
        <v>18</v>
      </c>
      <c r="F2638" t="s">
        <v>1985</v>
      </c>
      <c r="G2638" t="s">
        <v>20</v>
      </c>
      <c r="H2638" t="s">
        <v>461</v>
      </c>
      <c r="I2638" t="s">
        <v>4113</v>
      </c>
      <c r="J2638">
        <f>100%-17.6%</f>
        <v>0.82399999999999995</v>
      </c>
      <c r="R2638" t="s">
        <v>4010</v>
      </c>
      <c r="S2638" s="11" t="s">
        <v>1061</v>
      </c>
      <c r="T2638" s="6" t="s">
        <v>936</v>
      </c>
      <c r="U2638" s="6" t="s">
        <v>941</v>
      </c>
      <c r="V2638" s="2" t="s">
        <v>1650</v>
      </c>
      <c r="W2638" s="11" t="str">
        <f t="shared" si="45"/>
        <v>_20257</v>
      </c>
      <c r="X2638" s="11" t="s">
        <v>1615</v>
      </c>
    </row>
    <row r="2639" spans="3:24" hidden="1" x14ac:dyDescent="0.35">
      <c r="C2639" s="1">
        <v>45841.634004629632</v>
      </c>
      <c r="D2639" t="s">
        <v>623</v>
      </c>
      <c r="E2639" t="s">
        <v>18</v>
      </c>
      <c r="F2639" t="s">
        <v>2079</v>
      </c>
      <c r="G2639" t="s">
        <v>20</v>
      </c>
      <c r="H2639" t="s">
        <v>4114</v>
      </c>
      <c r="I2639" t="s">
        <v>4115</v>
      </c>
      <c r="J2639">
        <f>100%-53.8%</f>
        <v>0.46200000000000008</v>
      </c>
      <c r="R2639" t="s">
        <v>4016</v>
      </c>
      <c r="S2639" s="11" t="s">
        <v>1061</v>
      </c>
      <c r="T2639" s="6" t="s">
        <v>936</v>
      </c>
      <c r="U2639" s="6" t="s">
        <v>941</v>
      </c>
      <c r="V2639" s="2" t="s">
        <v>1650</v>
      </c>
      <c r="W2639" s="11" t="str">
        <f t="shared" si="45"/>
        <v>_20257</v>
      </c>
      <c r="X2639" s="11" t="s">
        <v>1615</v>
      </c>
    </row>
    <row r="2640" spans="3:24" hidden="1" x14ac:dyDescent="0.35">
      <c r="C2640" s="1">
        <v>45895.62605324074</v>
      </c>
      <c r="D2640" t="s">
        <v>4116</v>
      </c>
      <c r="E2640" t="s">
        <v>18</v>
      </c>
      <c r="F2640" t="s">
        <v>1981</v>
      </c>
      <c r="G2640" t="s">
        <v>20</v>
      </c>
      <c r="H2640" t="s">
        <v>4117</v>
      </c>
      <c r="I2640" t="s">
        <v>4118</v>
      </c>
      <c r="J2640">
        <f>100%-30.2%</f>
        <v>0.69799999999999995</v>
      </c>
      <c r="R2640" t="s">
        <v>4016</v>
      </c>
      <c r="S2640" s="11" t="s">
        <v>1061</v>
      </c>
      <c r="T2640" s="6" t="s">
        <v>940</v>
      </c>
      <c r="U2640" s="6" t="s">
        <v>924</v>
      </c>
      <c r="V2640" s="2" t="s">
        <v>1650</v>
      </c>
      <c r="W2640" s="11" t="str">
        <f t="shared" si="45"/>
        <v>_20258</v>
      </c>
      <c r="X2640" s="11" t="s">
        <v>1615</v>
      </c>
    </row>
    <row r="2641" spans="1:24" hidden="1" x14ac:dyDescent="0.35">
      <c r="C2641" s="1">
        <v>45896</v>
      </c>
      <c r="D2641" t="s">
        <v>4119</v>
      </c>
      <c r="E2641" t="s">
        <v>18</v>
      </c>
      <c r="F2641" t="s">
        <v>1981</v>
      </c>
      <c r="G2641" t="s">
        <v>20</v>
      </c>
      <c r="H2641" t="s">
        <v>4120</v>
      </c>
      <c r="I2641" t="s">
        <v>4121</v>
      </c>
      <c r="J2641">
        <f>100%-45.3%</f>
        <v>0.54700000000000004</v>
      </c>
      <c r="R2641" t="s">
        <v>4013</v>
      </c>
      <c r="S2641" s="11" t="s">
        <v>1061</v>
      </c>
      <c r="T2641" s="6" t="s">
        <v>940</v>
      </c>
      <c r="U2641" s="6" t="s">
        <v>925</v>
      </c>
      <c r="V2641" s="2" t="s">
        <v>1650</v>
      </c>
      <c r="W2641" s="11" t="str">
        <f t="shared" si="45"/>
        <v>_20258</v>
      </c>
      <c r="X2641" s="11" t="s">
        <v>1615</v>
      </c>
    </row>
    <row r="2642" spans="1:24" hidden="1" x14ac:dyDescent="0.35">
      <c r="C2642" s="1">
        <v>45909.426562499997</v>
      </c>
      <c r="D2642" t="s">
        <v>4122</v>
      </c>
      <c r="E2642" t="s">
        <v>18</v>
      </c>
      <c r="F2642" t="s">
        <v>2070</v>
      </c>
      <c r="G2642" t="s">
        <v>20</v>
      </c>
      <c r="H2642" t="s">
        <v>4123</v>
      </c>
      <c r="I2642" t="s">
        <v>4124</v>
      </c>
      <c r="J2642">
        <f>100%-12.5%</f>
        <v>0.875</v>
      </c>
      <c r="R2642" t="s">
        <v>4010</v>
      </c>
      <c r="S2642" s="11" t="s">
        <v>1061</v>
      </c>
      <c r="T2642" s="6" t="s">
        <v>942</v>
      </c>
      <c r="U2642" s="6" t="s">
        <v>942</v>
      </c>
      <c r="V2642" s="2" t="s">
        <v>1650</v>
      </c>
      <c r="W2642" s="11" t="str">
        <f t="shared" si="45"/>
        <v>_20259</v>
      </c>
      <c r="X2642" s="11" t="s">
        <v>1615</v>
      </c>
    </row>
    <row r="2643" spans="1:24" hidden="1" x14ac:dyDescent="0.35">
      <c r="C2643" s="1">
        <v>45937.438368055555</v>
      </c>
      <c r="D2643" t="s">
        <v>4125</v>
      </c>
      <c r="E2643" t="s">
        <v>18</v>
      </c>
      <c r="F2643" t="s">
        <v>2079</v>
      </c>
      <c r="G2643" t="s">
        <v>168</v>
      </c>
      <c r="H2643" t="s">
        <v>4126</v>
      </c>
      <c r="I2643" t="s">
        <v>4127</v>
      </c>
      <c r="J2643">
        <f>100%-71%</f>
        <v>0.29000000000000004</v>
      </c>
      <c r="R2643" t="s">
        <v>4016</v>
      </c>
      <c r="S2643" s="11" t="s">
        <v>1061</v>
      </c>
      <c r="T2643" s="6" t="s">
        <v>948</v>
      </c>
      <c r="U2643" s="6" t="s">
        <v>936</v>
      </c>
      <c r="V2643" s="2" t="s">
        <v>1650</v>
      </c>
      <c r="W2643" s="11" t="str">
        <f t="shared" si="45"/>
        <v>_202510</v>
      </c>
      <c r="X2643" s="11" t="s">
        <v>1615</v>
      </c>
    </row>
    <row r="2644" spans="1:24" hidden="1" x14ac:dyDescent="0.35">
      <c r="C2644" s="1">
        <v>45925</v>
      </c>
      <c r="D2644" t="s">
        <v>4128</v>
      </c>
      <c r="E2644" t="s">
        <v>18</v>
      </c>
      <c r="F2644" t="s">
        <v>1981</v>
      </c>
      <c r="G2644" t="s">
        <v>20</v>
      </c>
      <c r="H2644" t="s">
        <v>4129</v>
      </c>
      <c r="I2644" t="s">
        <v>4130</v>
      </c>
      <c r="J2644">
        <f>100%-39.8%</f>
        <v>0.60200000000000009</v>
      </c>
      <c r="R2644" t="s">
        <v>4016</v>
      </c>
      <c r="S2644" s="11" t="s">
        <v>1061</v>
      </c>
      <c r="T2644" s="6" t="s">
        <v>942</v>
      </c>
      <c r="U2644" s="6" t="s">
        <v>922</v>
      </c>
      <c r="V2644" s="2" t="s">
        <v>1650</v>
      </c>
      <c r="W2644" s="11" t="str">
        <f t="shared" si="45"/>
        <v>_20259</v>
      </c>
      <c r="X2644" s="11" t="s">
        <v>1615</v>
      </c>
    </row>
    <row r="2645" spans="1:24" hidden="1" x14ac:dyDescent="0.35">
      <c r="C2645" s="1">
        <v>45929</v>
      </c>
      <c r="D2645" t="s">
        <v>4131</v>
      </c>
      <c r="E2645" t="s">
        <v>18</v>
      </c>
      <c r="F2645" t="s">
        <v>1991</v>
      </c>
      <c r="G2645" t="s">
        <v>92</v>
      </c>
      <c r="H2645" t="s">
        <v>4132</v>
      </c>
      <c r="I2645" t="s">
        <v>1993</v>
      </c>
      <c r="J2645">
        <f>100%-27.1%</f>
        <v>0.72899999999999998</v>
      </c>
      <c r="R2645" t="s">
        <v>4016</v>
      </c>
      <c r="S2645" s="11" t="s">
        <v>1061</v>
      </c>
      <c r="T2645" s="6" t="s">
        <v>942</v>
      </c>
      <c r="U2645" s="6" t="s">
        <v>937</v>
      </c>
      <c r="V2645" s="2" t="s">
        <v>1650</v>
      </c>
      <c r="W2645" s="11" t="str">
        <f t="shared" si="45"/>
        <v>_20259</v>
      </c>
      <c r="X2645" s="11" t="s">
        <v>1615</v>
      </c>
    </row>
    <row r="2646" spans="1:24" hidden="1" x14ac:dyDescent="0.35">
      <c r="C2646" s="1">
        <v>45929</v>
      </c>
      <c r="D2646" t="s">
        <v>1176</v>
      </c>
      <c r="E2646" t="s">
        <v>18</v>
      </c>
      <c r="F2646" t="s">
        <v>1981</v>
      </c>
      <c r="G2646" t="s">
        <v>92</v>
      </c>
      <c r="H2646" t="s">
        <v>4133</v>
      </c>
      <c r="I2646" t="s">
        <v>1993</v>
      </c>
      <c r="J2646">
        <f>100%-26%</f>
        <v>0.74</v>
      </c>
      <c r="R2646" t="s">
        <v>4016</v>
      </c>
      <c r="S2646" s="11" t="s">
        <v>1061</v>
      </c>
      <c r="T2646" s="6" t="s">
        <v>942</v>
      </c>
      <c r="U2646" s="6" t="s">
        <v>937</v>
      </c>
      <c r="V2646" s="2" t="s">
        <v>1650</v>
      </c>
      <c r="W2646" s="11" t="str">
        <f t="shared" si="45"/>
        <v>_20259</v>
      </c>
      <c r="X2646" s="11" t="s">
        <v>1615</v>
      </c>
    </row>
    <row r="2647" spans="1:24" hidden="1" x14ac:dyDescent="0.35">
      <c r="C2647" s="1">
        <v>45929</v>
      </c>
      <c r="D2647" t="s">
        <v>256</v>
      </c>
      <c r="E2647" t="s">
        <v>18</v>
      </c>
      <c r="F2647" t="s">
        <v>1981</v>
      </c>
      <c r="G2647" t="s">
        <v>20</v>
      </c>
      <c r="H2647" t="s">
        <v>4134</v>
      </c>
      <c r="I2647" t="s">
        <v>1993</v>
      </c>
      <c r="J2647">
        <f>100%-25.6%</f>
        <v>0.74399999999999999</v>
      </c>
      <c r="R2647" t="s">
        <v>4013</v>
      </c>
      <c r="S2647" s="11" t="s">
        <v>1061</v>
      </c>
      <c r="T2647" s="6" t="s">
        <v>942</v>
      </c>
      <c r="U2647" s="6" t="s">
        <v>937</v>
      </c>
      <c r="V2647" s="2" t="s">
        <v>1650</v>
      </c>
      <c r="W2647" s="11" t="str">
        <f t="shared" si="45"/>
        <v>_20259</v>
      </c>
      <c r="X2647" s="11" t="s">
        <v>1615</v>
      </c>
    </row>
    <row r="2648" spans="1:24" hidden="1" x14ac:dyDescent="0.35">
      <c r="C2648" s="1">
        <v>45938</v>
      </c>
      <c r="D2648" t="s">
        <v>4135</v>
      </c>
      <c r="E2648" t="s">
        <v>18</v>
      </c>
      <c r="F2648" t="s">
        <v>2079</v>
      </c>
      <c r="G2648" t="s">
        <v>97</v>
      </c>
      <c r="H2648" t="s">
        <v>4136</v>
      </c>
      <c r="I2648" t="s">
        <v>4137</v>
      </c>
      <c r="J2648">
        <f>100%-23.3%</f>
        <v>0.76700000000000002</v>
      </c>
      <c r="R2648" t="s">
        <v>4013</v>
      </c>
      <c r="S2648" s="11" t="s">
        <v>1061</v>
      </c>
      <c r="T2648" s="6" t="s">
        <v>948</v>
      </c>
      <c r="U2648" s="6" t="s">
        <v>940</v>
      </c>
      <c r="V2648" s="2" t="s">
        <v>1650</v>
      </c>
      <c r="W2648" s="11" t="str">
        <f t="shared" si="45"/>
        <v>_202510</v>
      </c>
      <c r="X2648" s="11" t="s">
        <v>1615</v>
      </c>
    </row>
    <row r="2649" spans="1:24" hidden="1" x14ac:dyDescent="0.35">
      <c r="C2649" s="1">
        <v>45946</v>
      </c>
      <c r="D2649" t="s">
        <v>4138</v>
      </c>
      <c r="E2649" t="s">
        <v>18</v>
      </c>
      <c r="F2649" t="s">
        <v>1978</v>
      </c>
      <c r="G2649" t="s">
        <v>20</v>
      </c>
      <c r="H2649" t="s">
        <v>4139</v>
      </c>
      <c r="I2649" t="s">
        <v>4140</v>
      </c>
      <c r="J2649">
        <f>100%-24.5%</f>
        <v>0.755</v>
      </c>
      <c r="R2649" t="s">
        <v>4016</v>
      </c>
      <c r="S2649" s="11" t="s">
        <v>1061</v>
      </c>
      <c r="T2649" s="6" t="s">
        <v>948</v>
      </c>
      <c r="U2649" s="6" t="s">
        <v>928</v>
      </c>
      <c r="V2649" s="2" t="s">
        <v>1650</v>
      </c>
      <c r="W2649" s="11" t="str">
        <f t="shared" si="45"/>
        <v>_202510</v>
      </c>
      <c r="X2649" s="11" t="s">
        <v>1615</v>
      </c>
    </row>
    <row r="2650" spans="1:24" hidden="1" x14ac:dyDescent="0.35">
      <c r="C2650" s="1">
        <v>45950</v>
      </c>
      <c r="D2650" t="s">
        <v>4141</v>
      </c>
      <c r="E2650" t="s">
        <v>18</v>
      </c>
      <c r="F2650" t="s">
        <v>1991</v>
      </c>
      <c r="G2650" t="s">
        <v>20</v>
      </c>
      <c r="H2650" t="s">
        <v>4142</v>
      </c>
      <c r="I2650" t="s">
        <v>1993</v>
      </c>
      <c r="J2650">
        <f>100%-29.2%</f>
        <v>0.70799999999999996</v>
      </c>
      <c r="R2650" t="s">
        <v>4016</v>
      </c>
      <c r="S2650" s="11" t="s">
        <v>1061</v>
      </c>
      <c r="T2650" s="6" t="s">
        <v>948</v>
      </c>
      <c r="U2650" s="6" t="s">
        <v>932</v>
      </c>
      <c r="V2650" s="2" t="s">
        <v>1650</v>
      </c>
      <c r="W2650" s="11" t="str">
        <f t="shared" si="45"/>
        <v>_202510</v>
      </c>
      <c r="X2650" s="11" t="s">
        <v>1615</v>
      </c>
    </row>
    <row r="2651" spans="1:24" hidden="1" x14ac:dyDescent="0.35">
      <c r="C2651" s="1">
        <v>45968</v>
      </c>
      <c r="D2651" t="s">
        <v>4143</v>
      </c>
      <c r="E2651" t="s">
        <v>18</v>
      </c>
      <c r="F2651" t="s">
        <v>1981</v>
      </c>
      <c r="G2651" t="s">
        <v>20</v>
      </c>
      <c r="H2651" t="s">
        <v>4144</v>
      </c>
      <c r="I2651" t="s">
        <v>1993</v>
      </c>
      <c r="J2651">
        <f>100%-38.8%</f>
        <v>0.6120000000000001</v>
      </c>
      <c r="R2651" t="s">
        <v>4010</v>
      </c>
      <c r="S2651" s="11" t="s">
        <v>1061</v>
      </c>
      <c r="T2651" s="6" t="s">
        <v>945</v>
      </c>
      <c r="U2651" s="6" t="s">
        <v>936</v>
      </c>
      <c r="V2651" s="2" t="s">
        <v>1650</v>
      </c>
      <c r="W2651" s="11" t="str">
        <f t="shared" si="45"/>
        <v>_202511</v>
      </c>
      <c r="X2651" s="11" t="s">
        <v>1615</v>
      </c>
    </row>
    <row r="2652" spans="1:24" hidden="1" x14ac:dyDescent="0.35">
      <c r="C2652" s="1">
        <v>45989</v>
      </c>
      <c r="D2652" t="s">
        <v>4145</v>
      </c>
      <c r="E2652" t="s">
        <v>18</v>
      </c>
      <c r="F2652" t="s">
        <v>1985</v>
      </c>
      <c r="G2652" t="s">
        <v>20</v>
      </c>
      <c r="H2652" t="s">
        <v>4146</v>
      </c>
      <c r="I2652" t="s">
        <v>1993</v>
      </c>
      <c r="J2652">
        <f>100%-55.3%</f>
        <v>0.44700000000000006</v>
      </c>
      <c r="R2652" t="s">
        <v>4010</v>
      </c>
      <c r="S2652" s="11" t="s">
        <v>1061</v>
      </c>
      <c r="T2652" s="6" t="s">
        <v>945</v>
      </c>
      <c r="U2652" s="6" t="s">
        <v>926</v>
      </c>
      <c r="V2652" s="2" t="s">
        <v>1650</v>
      </c>
      <c r="W2652" s="11" t="str">
        <f t="shared" si="45"/>
        <v>_202511</v>
      </c>
      <c r="X2652" s="11" t="s">
        <v>1615</v>
      </c>
    </row>
    <row r="2653" spans="1:24" hidden="1" x14ac:dyDescent="0.35">
      <c r="C2653" s="1">
        <v>45989</v>
      </c>
      <c r="D2653" t="s">
        <v>4147</v>
      </c>
      <c r="E2653" t="s">
        <v>18</v>
      </c>
      <c r="F2653" t="s">
        <v>2079</v>
      </c>
      <c r="G2653" t="s">
        <v>20</v>
      </c>
      <c r="H2653" t="s">
        <v>1244</v>
      </c>
      <c r="I2653" t="s">
        <v>1993</v>
      </c>
      <c r="J2653">
        <f>100%-57.4%</f>
        <v>0.42600000000000005</v>
      </c>
      <c r="S2653" s="11" t="s">
        <v>1061</v>
      </c>
      <c r="T2653" s="6" t="s">
        <v>945</v>
      </c>
      <c r="U2653" s="6" t="s">
        <v>926</v>
      </c>
      <c r="V2653" s="2" t="s">
        <v>1650</v>
      </c>
      <c r="W2653" s="11" t="str">
        <f t="shared" si="45"/>
        <v>_202511</v>
      </c>
      <c r="X2653" s="11" t="s">
        <v>1615</v>
      </c>
    </row>
    <row r="2654" spans="1:24" hidden="1" x14ac:dyDescent="0.35">
      <c r="A2654">
        <v>1</v>
      </c>
      <c r="B2654" s="3" t="s">
        <v>4150</v>
      </c>
      <c r="C2654" s="4">
        <v>45922</v>
      </c>
      <c r="D2654" t="s">
        <v>4148</v>
      </c>
      <c r="F2654" t="s">
        <v>966</v>
      </c>
      <c r="G2654" t="s">
        <v>964</v>
      </c>
      <c r="H2654" t="s">
        <v>4149</v>
      </c>
      <c r="I2654" t="s">
        <v>974</v>
      </c>
      <c r="J2654">
        <v>0.17899999999999999</v>
      </c>
      <c r="R2654" t="s">
        <v>4013</v>
      </c>
      <c r="S2654" s="3" t="s">
        <v>958</v>
      </c>
      <c r="T2654" s="6" t="s">
        <v>942</v>
      </c>
      <c r="U2654" s="6" t="s">
        <v>933</v>
      </c>
      <c r="V2654" s="2" t="s">
        <v>1650</v>
      </c>
      <c r="W2654" t="str">
        <f t="shared" ref="W2654:W2657" si="46">CONCATENATE(B2654,"_",V2654,T2654)</f>
        <v>G_20259</v>
      </c>
      <c r="X2654" s="2" t="s">
        <v>1615</v>
      </c>
    </row>
    <row r="2655" spans="1:24" hidden="1" x14ac:dyDescent="0.35">
      <c r="A2655">
        <v>2</v>
      </c>
      <c r="B2655" s="3" t="s">
        <v>1093</v>
      </c>
      <c r="C2655" s="4">
        <v>45988</v>
      </c>
      <c r="D2655" t="s">
        <v>961</v>
      </c>
      <c r="F2655" t="s">
        <v>966</v>
      </c>
      <c r="G2655" t="s">
        <v>964</v>
      </c>
      <c r="H2655" t="s">
        <v>970</v>
      </c>
      <c r="I2655" t="s">
        <v>974</v>
      </c>
      <c r="J2655">
        <v>0.17799999999999999</v>
      </c>
      <c r="R2655" t="s">
        <v>4013</v>
      </c>
      <c r="S2655" s="3" t="s">
        <v>958</v>
      </c>
      <c r="T2655" s="6" t="s">
        <v>945</v>
      </c>
      <c r="U2655" s="6" t="s">
        <v>925</v>
      </c>
      <c r="V2655" s="2" t="s">
        <v>1650</v>
      </c>
      <c r="W2655" t="str">
        <f t="shared" si="46"/>
        <v>D_202511</v>
      </c>
      <c r="X2655" s="2" t="s">
        <v>1615</v>
      </c>
    </row>
    <row r="2656" spans="1:24" hidden="1" x14ac:dyDescent="0.35">
      <c r="A2656">
        <v>3</v>
      </c>
      <c r="B2656" s="3" t="s">
        <v>1094</v>
      </c>
      <c r="C2656" s="4">
        <v>45699.38958333333</v>
      </c>
      <c r="D2656" t="s">
        <v>963</v>
      </c>
      <c r="F2656" t="s">
        <v>966</v>
      </c>
      <c r="G2656" t="s">
        <v>964</v>
      </c>
      <c r="H2656" t="s">
        <v>972</v>
      </c>
      <c r="I2656" t="s">
        <v>974</v>
      </c>
      <c r="J2656">
        <v>0.20100000000000001</v>
      </c>
      <c r="R2656" t="s">
        <v>4013</v>
      </c>
      <c r="S2656" s="3" t="s">
        <v>958</v>
      </c>
      <c r="T2656" s="6" t="s">
        <v>945</v>
      </c>
      <c r="U2656" s="6" t="s">
        <v>921</v>
      </c>
      <c r="V2656" s="2" t="s">
        <v>1650</v>
      </c>
      <c r="W2656" t="str">
        <f t="shared" si="46"/>
        <v>E_202511</v>
      </c>
      <c r="X2656" s="2" t="s">
        <v>1615</v>
      </c>
    </row>
    <row r="2657" spans="1:24" hidden="1" x14ac:dyDescent="0.35">
      <c r="A2657">
        <v>4</v>
      </c>
      <c r="B2657" s="3" t="s">
        <v>1095</v>
      </c>
      <c r="C2657" s="4">
        <v>45972.45208333333</v>
      </c>
      <c r="D2657" t="s">
        <v>962</v>
      </c>
      <c r="F2657" t="s">
        <v>966</v>
      </c>
      <c r="G2657" t="s">
        <v>964</v>
      </c>
      <c r="H2657" t="s">
        <v>971</v>
      </c>
      <c r="I2657" t="s">
        <v>975</v>
      </c>
      <c r="J2657">
        <v>0.27500000000000002</v>
      </c>
      <c r="R2657" t="s">
        <v>4016</v>
      </c>
      <c r="S2657" s="3" t="s">
        <v>958</v>
      </c>
      <c r="T2657" s="6" t="s">
        <v>945</v>
      </c>
      <c r="U2657" s="6" t="s">
        <v>945</v>
      </c>
      <c r="V2657" s="2" t="s">
        <v>1650</v>
      </c>
      <c r="W2657" t="str">
        <f t="shared" si="46"/>
        <v>F_202511</v>
      </c>
      <c r="X2657" s="2" t="s">
        <v>1615</v>
      </c>
    </row>
    <row r="2658" spans="1:24" hidden="1" x14ac:dyDescent="0.35">
      <c r="A2658">
        <v>1</v>
      </c>
      <c r="B2658">
        <v>2000070277</v>
      </c>
      <c r="C2658" s="1">
        <v>46027</v>
      </c>
      <c r="D2658" t="s">
        <v>4159</v>
      </c>
      <c r="E2658" t="s">
        <v>18</v>
      </c>
      <c r="F2658" t="s">
        <v>1698</v>
      </c>
      <c r="G2658" t="s">
        <v>20</v>
      </c>
      <c r="H2658" t="s">
        <v>4160</v>
      </c>
      <c r="I2658" t="s">
        <v>41</v>
      </c>
      <c r="J2658">
        <v>0.89</v>
      </c>
      <c r="K2658">
        <v>3</v>
      </c>
      <c r="L2658">
        <v>3</v>
      </c>
      <c r="M2658">
        <v>0.76</v>
      </c>
      <c r="N2658" t="s">
        <v>28</v>
      </c>
      <c r="O2658" s="1">
        <v>46757</v>
      </c>
      <c r="S2658" t="s">
        <v>915</v>
      </c>
      <c r="T2658" s="5" t="s">
        <v>953</v>
      </c>
      <c r="U2658" s="5" t="s">
        <v>947</v>
      </c>
      <c r="V2658" t="s">
        <v>4151</v>
      </c>
      <c r="W2658" t="str">
        <f>CONCATENATE(B2658,"_",V2658,T2658)</f>
        <v>2000070277_20261</v>
      </c>
      <c r="X2658" t="s">
        <v>1615</v>
      </c>
    </row>
    <row r="2659" spans="1:24" hidden="1" x14ac:dyDescent="0.35">
      <c r="A2659">
        <v>2</v>
      </c>
      <c r="B2659">
        <v>2000058746</v>
      </c>
      <c r="C2659" s="1">
        <v>46028</v>
      </c>
      <c r="D2659" t="s">
        <v>4161</v>
      </c>
      <c r="E2659" t="s">
        <v>18</v>
      </c>
      <c r="F2659" t="s">
        <v>373</v>
      </c>
      <c r="G2659" t="s">
        <v>20</v>
      </c>
      <c r="H2659" t="s">
        <v>701</v>
      </c>
      <c r="I2659" t="s">
        <v>41</v>
      </c>
      <c r="J2659">
        <v>0.97399999999999998</v>
      </c>
      <c r="K2659">
        <v>3</v>
      </c>
      <c r="L2659">
        <v>0</v>
      </c>
      <c r="M2659">
        <v>0.74</v>
      </c>
      <c r="N2659" t="s">
        <v>368</v>
      </c>
      <c r="O2659" s="1">
        <v>47124</v>
      </c>
      <c r="S2659" t="s">
        <v>915</v>
      </c>
      <c r="T2659" s="5" t="s">
        <v>953</v>
      </c>
      <c r="U2659" s="5" t="s">
        <v>927</v>
      </c>
      <c r="V2659" t="s">
        <v>4151</v>
      </c>
      <c r="W2659" t="str">
        <f t="shared" ref="W2659:W2682" si="47">CONCATENATE(B2659,"_",V2659,T2659)</f>
        <v>2000058746_20261</v>
      </c>
      <c r="X2659" t="s">
        <v>1615</v>
      </c>
    </row>
    <row r="2660" spans="1:24" hidden="1" x14ac:dyDescent="0.35">
      <c r="A2660">
        <v>3</v>
      </c>
      <c r="B2660">
        <v>2000068645</v>
      </c>
      <c r="C2660" s="1">
        <v>46028</v>
      </c>
      <c r="D2660" t="s">
        <v>4162</v>
      </c>
      <c r="E2660" t="s">
        <v>18</v>
      </c>
      <c r="F2660" t="s">
        <v>52</v>
      </c>
      <c r="G2660" t="s">
        <v>20</v>
      </c>
      <c r="H2660" t="s">
        <v>4163</v>
      </c>
      <c r="I2660" t="s">
        <v>41</v>
      </c>
      <c r="J2660">
        <v>1</v>
      </c>
      <c r="K2660">
        <v>3</v>
      </c>
      <c r="L2660">
        <v>0</v>
      </c>
      <c r="M2660">
        <v>0.73</v>
      </c>
      <c r="N2660" t="s">
        <v>368</v>
      </c>
      <c r="O2660" s="1">
        <v>47124</v>
      </c>
      <c r="S2660" t="s">
        <v>915</v>
      </c>
      <c r="T2660" s="5" t="s">
        <v>953</v>
      </c>
      <c r="U2660" s="5" t="s">
        <v>927</v>
      </c>
      <c r="V2660" t="s">
        <v>4151</v>
      </c>
      <c r="W2660" t="str">
        <f t="shared" si="47"/>
        <v>2000068645_20261</v>
      </c>
      <c r="X2660" t="s">
        <v>1615</v>
      </c>
    </row>
    <row r="2661" spans="1:24" hidden="1" x14ac:dyDescent="0.35">
      <c r="A2661">
        <v>4</v>
      </c>
      <c r="B2661">
        <v>2000073589</v>
      </c>
      <c r="C2661" s="1">
        <v>46029</v>
      </c>
      <c r="D2661" t="s">
        <v>1336</v>
      </c>
      <c r="E2661" t="s">
        <v>18</v>
      </c>
      <c r="F2661" t="s">
        <v>52</v>
      </c>
      <c r="G2661" t="s">
        <v>26</v>
      </c>
      <c r="H2661" t="s">
        <v>4164</v>
      </c>
      <c r="I2661" t="s">
        <v>22</v>
      </c>
      <c r="J2661">
        <v>0.89300000000000002</v>
      </c>
      <c r="K2661">
        <v>2.6</v>
      </c>
      <c r="L2661">
        <v>4</v>
      </c>
      <c r="M2661">
        <v>0.79</v>
      </c>
      <c r="N2661" t="s">
        <v>28</v>
      </c>
      <c r="O2661" s="1">
        <v>46759</v>
      </c>
      <c r="S2661" t="s">
        <v>915</v>
      </c>
      <c r="T2661" s="5" t="s">
        <v>953</v>
      </c>
      <c r="U2661" s="5" t="s">
        <v>936</v>
      </c>
      <c r="V2661" t="s">
        <v>4151</v>
      </c>
      <c r="W2661" t="str">
        <f t="shared" si="47"/>
        <v>2000073589_20261</v>
      </c>
      <c r="X2661" t="s">
        <v>1615</v>
      </c>
    </row>
    <row r="2662" spans="1:24" hidden="1" x14ac:dyDescent="0.35">
      <c r="A2662">
        <v>5</v>
      </c>
      <c r="B2662">
        <v>2000056442</v>
      </c>
      <c r="C2662" s="1">
        <v>46031</v>
      </c>
      <c r="D2662" t="s">
        <v>4165</v>
      </c>
      <c r="E2662" t="s">
        <v>18</v>
      </c>
      <c r="F2662" t="s">
        <v>39</v>
      </c>
      <c r="G2662" t="s">
        <v>20</v>
      </c>
      <c r="H2662" t="s">
        <v>4166</v>
      </c>
      <c r="I2662" t="s">
        <v>41</v>
      </c>
      <c r="J2662">
        <v>0.91700000000000004</v>
      </c>
      <c r="K2662">
        <v>2.6</v>
      </c>
      <c r="L2662">
        <v>2</v>
      </c>
      <c r="M2662">
        <v>0.92</v>
      </c>
      <c r="N2662" t="s">
        <v>28</v>
      </c>
      <c r="O2662" s="1">
        <v>46761</v>
      </c>
      <c r="S2662" t="s">
        <v>915</v>
      </c>
      <c r="T2662" s="5" t="s">
        <v>953</v>
      </c>
      <c r="U2662" s="5" t="s">
        <v>942</v>
      </c>
      <c r="V2662" t="s">
        <v>4151</v>
      </c>
      <c r="W2662" t="str">
        <f t="shared" si="47"/>
        <v>2000056442_20261</v>
      </c>
      <c r="X2662" t="s">
        <v>1615</v>
      </c>
    </row>
    <row r="2663" spans="1:24" hidden="1" x14ac:dyDescent="0.35">
      <c r="A2663">
        <v>6</v>
      </c>
      <c r="B2663">
        <v>2000057033</v>
      </c>
      <c r="C2663" s="1">
        <v>46049</v>
      </c>
      <c r="D2663" t="s">
        <v>4167</v>
      </c>
      <c r="E2663" t="s">
        <v>18</v>
      </c>
      <c r="F2663" t="s">
        <v>32</v>
      </c>
      <c r="G2663" t="s">
        <v>20</v>
      </c>
      <c r="H2663" t="s">
        <v>4168</v>
      </c>
      <c r="I2663" t="s">
        <v>22</v>
      </c>
      <c r="J2663">
        <v>0.85699999999999998</v>
      </c>
      <c r="K2663">
        <v>2.6</v>
      </c>
      <c r="L2663">
        <v>3</v>
      </c>
      <c r="M2663">
        <v>0.85</v>
      </c>
      <c r="N2663" t="s">
        <v>28</v>
      </c>
      <c r="O2663" s="1">
        <v>46779</v>
      </c>
      <c r="S2663" t="s">
        <v>915</v>
      </c>
      <c r="T2663" s="5" t="s">
        <v>953</v>
      </c>
      <c r="U2663" s="5" t="s">
        <v>925</v>
      </c>
      <c r="V2663" t="s">
        <v>4151</v>
      </c>
      <c r="W2663" t="str">
        <f t="shared" si="47"/>
        <v>2000057033_20261</v>
      </c>
      <c r="X2663" t="s">
        <v>1615</v>
      </c>
    </row>
    <row r="2664" spans="1:24" hidden="1" x14ac:dyDescent="0.35">
      <c r="A2664">
        <v>7</v>
      </c>
      <c r="B2664">
        <v>2000055092</v>
      </c>
      <c r="C2664" s="1">
        <v>46093</v>
      </c>
      <c r="D2664" t="s">
        <v>4169</v>
      </c>
      <c r="E2664" t="s">
        <v>18</v>
      </c>
      <c r="F2664" t="s">
        <v>19</v>
      </c>
      <c r="G2664" t="s">
        <v>92</v>
      </c>
      <c r="H2664" t="s">
        <v>4170</v>
      </c>
      <c r="I2664" t="s">
        <v>22</v>
      </c>
      <c r="J2664">
        <v>0.98</v>
      </c>
      <c r="K2664">
        <v>2.6</v>
      </c>
      <c r="L2664">
        <v>0</v>
      </c>
      <c r="M2664">
        <v>0.93</v>
      </c>
      <c r="N2664" t="s">
        <v>28</v>
      </c>
      <c r="O2664" s="1">
        <v>46824</v>
      </c>
      <c r="P2664" t="s">
        <v>4171</v>
      </c>
      <c r="Q2664" t="s">
        <v>4172</v>
      </c>
      <c r="S2664" t="s">
        <v>915</v>
      </c>
      <c r="T2664" s="5" t="s">
        <v>941</v>
      </c>
      <c r="U2664" s="5" t="s">
        <v>949</v>
      </c>
      <c r="V2664" t="s">
        <v>4151</v>
      </c>
      <c r="W2664" t="str">
        <f t="shared" si="47"/>
        <v>2000055092_20263</v>
      </c>
      <c r="X2664" t="s">
        <v>1615</v>
      </c>
    </row>
    <row r="2665" spans="1:24" hidden="1" x14ac:dyDescent="0.35">
      <c r="A2665">
        <v>8</v>
      </c>
      <c r="B2665">
        <v>2000071656</v>
      </c>
      <c r="C2665" s="1">
        <v>46097</v>
      </c>
      <c r="D2665" t="s">
        <v>4173</v>
      </c>
      <c r="E2665" t="s">
        <v>18</v>
      </c>
      <c r="F2665" t="s">
        <v>148</v>
      </c>
      <c r="G2665" t="s">
        <v>20</v>
      </c>
      <c r="H2665" t="s">
        <v>4174</v>
      </c>
      <c r="I2665" t="s">
        <v>4175</v>
      </c>
      <c r="J2665">
        <v>0.86799999999999999</v>
      </c>
      <c r="K2665">
        <v>2.8</v>
      </c>
      <c r="L2665">
        <v>3</v>
      </c>
      <c r="M2665">
        <v>0.79</v>
      </c>
      <c r="N2665" t="s">
        <v>28</v>
      </c>
      <c r="O2665" s="1">
        <v>46828</v>
      </c>
      <c r="S2665" t="s">
        <v>915</v>
      </c>
      <c r="T2665" s="5" t="s">
        <v>941</v>
      </c>
      <c r="U2665" s="5" t="s">
        <v>928</v>
      </c>
      <c r="V2665" t="s">
        <v>4151</v>
      </c>
      <c r="W2665" t="str">
        <f t="shared" si="47"/>
        <v>2000071656_20263</v>
      </c>
      <c r="X2665" t="s">
        <v>1615</v>
      </c>
    </row>
    <row r="2666" spans="1:24" hidden="1" x14ac:dyDescent="0.35">
      <c r="A2666">
        <v>9</v>
      </c>
      <c r="B2666">
        <v>2000059107</v>
      </c>
      <c r="C2666" s="1">
        <v>46098</v>
      </c>
      <c r="D2666" t="s">
        <v>4209</v>
      </c>
      <c r="E2666" t="s">
        <v>18</v>
      </c>
      <c r="F2666" t="s">
        <v>19</v>
      </c>
      <c r="G2666" t="s">
        <v>20</v>
      </c>
      <c r="H2666" t="s">
        <v>694</v>
      </c>
      <c r="I2666" t="s">
        <v>41</v>
      </c>
      <c r="J2666">
        <v>0.80400000000000005</v>
      </c>
      <c r="K2666">
        <v>3</v>
      </c>
      <c r="L2666">
        <v>1</v>
      </c>
      <c r="M2666">
        <v>0.67</v>
      </c>
      <c r="N2666" t="s">
        <v>28</v>
      </c>
      <c r="O2666" s="1">
        <v>46829</v>
      </c>
      <c r="S2666" t="s">
        <v>915</v>
      </c>
      <c r="T2666" s="5" t="s">
        <v>941</v>
      </c>
      <c r="U2666" s="5" t="s">
        <v>929</v>
      </c>
      <c r="V2666" t="s">
        <v>4151</v>
      </c>
      <c r="W2666" t="str">
        <f t="shared" si="47"/>
        <v>2000059107_20263</v>
      </c>
      <c r="X2666" t="s">
        <v>1615</v>
      </c>
    </row>
    <row r="2667" spans="1:24" hidden="1" x14ac:dyDescent="0.35">
      <c r="A2667">
        <v>10</v>
      </c>
      <c r="B2667">
        <v>2000056964</v>
      </c>
      <c r="C2667" s="1">
        <v>46098</v>
      </c>
      <c r="D2667" t="s">
        <v>60</v>
      </c>
      <c r="E2667" t="s">
        <v>18</v>
      </c>
      <c r="F2667" t="s">
        <v>43</v>
      </c>
      <c r="G2667" t="s">
        <v>20</v>
      </c>
      <c r="H2667" t="s">
        <v>4176</v>
      </c>
      <c r="I2667" t="s">
        <v>22</v>
      </c>
      <c r="J2667">
        <v>0.84</v>
      </c>
      <c r="K2667">
        <v>2.6</v>
      </c>
      <c r="L2667">
        <v>0</v>
      </c>
      <c r="M2667">
        <v>0.55000000000000004</v>
      </c>
      <c r="N2667" t="s">
        <v>28</v>
      </c>
      <c r="O2667" s="1">
        <v>46829</v>
      </c>
      <c r="S2667" t="s">
        <v>915</v>
      </c>
      <c r="T2667" s="5" t="s">
        <v>941</v>
      </c>
      <c r="U2667" s="5" t="s">
        <v>929</v>
      </c>
      <c r="V2667" t="s">
        <v>4151</v>
      </c>
      <c r="W2667" t="str">
        <f t="shared" si="47"/>
        <v>2000056964_20263</v>
      </c>
      <c r="X2667" t="s">
        <v>1615</v>
      </c>
    </row>
    <row r="2668" spans="1:24" hidden="1" x14ac:dyDescent="0.35">
      <c r="A2668">
        <v>11</v>
      </c>
      <c r="B2668">
        <v>2000057064</v>
      </c>
      <c r="C2668" s="1">
        <v>46104</v>
      </c>
      <c r="D2668" t="s">
        <v>4177</v>
      </c>
      <c r="E2668" t="s">
        <v>18</v>
      </c>
      <c r="F2668" t="s">
        <v>148</v>
      </c>
      <c r="G2668" t="s">
        <v>20</v>
      </c>
      <c r="H2668" t="s">
        <v>404</v>
      </c>
      <c r="I2668" t="s">
        <v>4175</v>
      </c>
      <c r="J2668">
        <v>0.97199999999999998</v>
      </c>
      <c r="K2668">
        <v>2.8</v>
      </c>
      <c r="L2668">
        <v>1</v>
      </c>
      <c r="M2668">
        <v>0.85</v>
      </c>
      <c r="N2668" t="s">
        <v>28</v>
      </c>
      <c r="O2668" s="1">
        <v>46835</v>
      </c>
      <c r="S2668" t="s">
        <v>915</v>
      </c>
      <c r="T2668" s="5" t="s">
        <v>941</v>
      </c>
      <c r="U2668" s="5" t="s">
        <v>934</v>
      </c>
      <c r="V2668" t="s">
        <v>4151</v>
      </c>
      <c r="W2668" t="str">
        <f t="shared" si="47"/>
        <v>2000057064_20263</v>
      </c>
      <c r="X2668" t="s">
        <v>1615</v>
      </c>
    </row>
    <row r="2669" spans="1:24" hidden="1" x14ac:dyDescent="0.35">
      <c r="A2669">
        <v>12</v>
      </c>
      <c r="B2669">
        <v>2000060220</v>
      </c>
      <c r="C2669" s="1">
        <v>46106</v>
      </c>
      <c r="D2669" t="s">
        <v>4178</v>
      </c>
      <c r="E2669" t="s">
        <v>18</v>
      </c>
      <c r="F2669" t="s">
        <v>148</v>
      </c>
      <c r="G2669" t="s">
        <v>92</v>
      </c>
      <c r="H2669" t="s">
        <v>4179</v>
      </c>
      <c r="I2669" t="s">
        <v>4175</v>
      </c>
      <c r="J2669">
        <v>0.89500000000000002</v>
      </c>
      <c r="K2669">
        <v>2.8</v>
      </c>
      <c r="L2669">
        <v>2</v>
      </c>
      <c r="M2669">
        <v>0.68</v>
      </c>
      <c r="N2669" t="s">
        <v>28</v>
      </c>
      <c r="O2669" s="1">
        <v>46837</v>
      </c>
      <c r="S2669" t="s">
        <v>915</v>
      </c>
      <c r="T2669" s="5" t="s">
        <v>941</v>
      </c>
      <c r="U2669" s="5" t="s">
        <v>922</v>
      </c>
      <c r="V2669" t="s">
        <v>4151</v>
      </c>
      <c r="W2669" t="str">
        <f t="shared" si="47"/>
        <v>2000060220_20263</v>
      </c>
      <c r="X2669" t="s">
        <v>1615</v>
      </c>
    </row>
    <row r="2670" spans="1:24" hidden="1" x14ac:dyDescent="0.35">
      <c r="A2670">
        <v>13</v>
      </c>
      <c r="B2670">
        <v>2000060752</v>
      </c>
      <c r="C2670" s="1">
        <v>46107</v>
      </c>
      <c r="D2670" t="s">
        <v>4210</v>
      </c>
      <c r="E2670" t="s">
        <v>18</v>
      </c>
      <c r="F2670" t="s">
        <v>43</v>
      </c>
      <c r="G2670" t="s">
        <v>26</v>
      </c>
      <c r="H2670" t="s">
        <v>4180</v>
      </c>
      <c r="I2670" t="s">
        <v>22</v>
      </c>
      <c r="J2670">
        <v>0.93600000000000005</v>
      </c>
      <c r="K2670">
        <v>3</v>
      </c>
      <c r="L2670">
        <v>1</v>
      </c>
      <c r="M2670">
        <v>0.86</v>
      </c>
      <c r="N2670" t="s">
        <v>368</v>
      </c>
      <c r="O2670" s="1">
        <v>47203</v>
      </c>
      <c r="P2670" t="s">
        <v>4181</v>
      </c>
      <c r="S2670" t="s">
        <v>915</v>
      </c>
      <c r="T2670" s="5" t="s">
        <v>941</v>
      </c>
      <c r="U2670" s="5" t="s">
        <v>924</v>
      </c>
      <c r="V2670" t="s">
        <v>4151</v>
      </c>
      <c r="W2670" t="str">
        <f t="shared" si="47"/>
        <v>2000060752_20263</v>
      </c>
      <c r="X2670" t="s">
        <v>1615</v>
      </c>
    </row>
    <row r="2671" spans="1:24" x14ac:dyDescent="0.35">
      <c r="A2671">
        <v>14</v>
      </c>
      <c r="B2671">
        <v>2000057153</v>
      </c>
      <c r="C2671" s="1">
        <v>46107</v>
      </c>
      <c r="D2671" t="s">
        <v>4182</v>
      </c>
      <c r="E2671" t="s">
        <v>18</v>
      </c>
      <c r="F2671" t="s">
        <v>43</v>
      </c>
      <c r="G2671" t="s">
        <v>26</v>
      </c>
      <c r="H2671" t="s">
        <v>696</v>
      </c>
      <c r="I2671" t="s">
        <v>22</v>
      </c>
      <c r="J2671">
        <v>0.95199999999999996</v>
      </c>
      <c r="K2671">
        <v>3</v>
      </c>
      <c r="L2671">
        <v>0</v>
      </c>
      <c r="M2671">
        <v>0.81</v>
      </c>
      <c r="N2671" t="s">
        <v>368</v>
      </c>
      <c r="O2671" s="1">
        <v>47203</v>
      </c>
      <c r="Q2671" t="s">
        <v>4183</v>
      </c>
      <c r="S2671" t="s">
        <v>915</v>
      </c>
      <c r="T2671" s="5" t="s">
        <v>941</v>
      </c>
      <c r="U2671" s="5" t="s">
        <v>924</v>
      </c>
      <c r="V2671" t="s">
        <v>4151</v>
      </c>
      <c r="W2671" t="str">
        <f t="shared" si="47"/>
        <v>2000057153_20263</v>
      </c>
      <c r="X2671" t="s">
        <v>1615</v>
      </c>
    </row>
    <row r="2672" spans="1:24" hidden="1" x14ac:dyDescent="0.35">
      <c r="A2672">
        <v>15</v>
      </c>
      <c r="B2672">
        <v>2000074929</v>
      </c>
      <c r="C2672" s="1">
        <v>46108</v>
      </c>
      <c r="D2672" t="s">
        <v>4184</v>
      </c>
      <c r="E2672" t="s">
        <v>18</v>
      </c>
      <c r="F2672" t="s">
        <v>43</v>
      </c>
      <c r="G2672" t="s">
        <v>20</v>
      </c>
      <c r="H2672" t="s">
        <v>4185</v>
      </c>
      <c r="I2672" t="s">
        <v>22</v>
      </c>
      <c r="J2672">
        <v>0.9</v>
      </c>
      <c r="K2672">
        <v>2.4</v>
      </c>
      <c r="L2672">
        <v>2</v>
      </c>
      <c r="M2672">
        <v>0.74</v>
      </c>
      <c r="N2672" t="s">
        <v>28</v>
      </c>
      <c r="O2672" s="1">
        <v>46839</v>
      </c>
      <c r="P2672" t="s">
        <v>4181</v>
      </c>
      <c r="S2672" t="s">
        <v>915</v>
      </c>
      <c r="T2672" s="5" t="s">
        <v>941</v>
      </c>
      <c r="U2672" s="5" t="s">
        <v>925</v>
      </c>
      <c r="V2672" t="s">
        <v>4151</v>
      </c>
      <c r="W2672" t="str">
        <f t="shared" si="47"/>
        <v>2000074929_20263</v>
      </c>
      <c r="X2672" t="s">
        <v>1615</v>
      </c>
    </row>
    <row r="2673" spans="1:24" hidden="1" x14ac:dyDescent="0.35">
      <c r="A2673">
        <v>16</v>
      </c>
      <c r="B2673" t="s">
        <v>726</v>
      </c>
      <c r="C2673" s="1">
        <v>46094</v>
      </c>
      <c r="D2673" t="s">
        <v>4186</v>
      </c>
      <c r="E2673" t="s">
        <v>18</v>
      </c>
      <c r="F2673" t="s">
        <v>43</v>
      </c>
      <c r="G2673" t="s">
        <v>4187</v>
      </c>
      <c r="H2673" t="s">
        <v>4188</v>
      </c>
      <c r="I2673" t="s">
        <v>22</v>
      </c>
      <c r="J2673">
        <v>0.95</v>
      </c>
      <c r="K2673">
        <v>0.88</v>
      </c>
      <c r="P2673" t="s">
        <v>4189</v>
      </c>
      <c r="Q2673" t="s">
        <v>3437</v>
      </c>
      <c r="S2673" t="s">
        <v>726</v>
      </c>
      <c r="T2673" s="5" t="s">
        <v>941</v>
      </c>
      <c r="U2673" s="5" t="s">
        <v>950</v>
      </c>
      <c r="V2673" t="s">
        <v>4151</v>
      </c>
      <c r="W2673" t="str">
        <f t="shared" si="47"/>
        <v>New_20263</v>
      </c>
      <c r="X2673" t="s">
        <v>1615</v>
      </c>
    </row>
    <row r="2674" spans="1:24" hidden="1" x14ac:dyDescent="0.35">
      <c r="A2674">
        <v>17</v>
      </c>
      <c r="B2674" t="s">
        <v>1092</v>
      </c>
      <c r="C2674" s="1">
        <v>46174.394444444442</v>
      </c>
      <c r="D2674" t="s">
        <v>4190</v>
      </c>
      <c r="E2674" t="s">
        <v>18</v>
      </c>
      <c r="F2674" t="s">
        <v>4191</v>
      </c>
      <c r="G2674" t="s">
        <v>168</v>
      </c>
      <c r="H2674" t="s">
        <v>4192</v>
      </c>
      <c r="I2674" t="s">
        <v>1993</v>
      </c>
      <c r="J2674">
        <v>0.57599999999999996</v>
      </c>
      <c r="S2674" t="s">
        <v>1092</v>
      </c>
      <c r="T2674" s="5" t="s">
        <v>927</v>
      </c>
      <c r="U2674" s="5" t="s">
        <v>953</v>
      </c>
      <c r="V2674" t="s">
        <v>4151</v>
      </c>
      <c r="W2674" t="str">
        <f t="shared" si="47"/>
        <v>SA_New_20266</v>
      </c>
      <c r="X2674" t="s">
        <v>1615</v>
      </c>
    </row>
    <row r="2675" spans="1:24" hidden="1" x14ac:dyDescent="0.35">
      <c r="A2675">
        <v>18</v>
      </c>
      <c r="B2675" t="s">
        <v>1092</v>
      </c>
      <c r="C2675" s="1">
        <v>46051</v>
      </c>
      <c r="D2675" t="s">
        <v>4193</v>
      </c>
      <c r="E2675" t="s">
        <v>18</v>
      </c>
      <c r="F2675" t="s">
        <v>1978</v>
      </c>
      <c r="G2675" t="s">
        <v>553</v>
      </c>
      <c r="H2675" t="s">
        <v>4194</v>
      </c>
      <c r="I2675" t="s">
        <v>1983</v>
      </c>
      <c r="J2675">
        <v>0.53800000000000003</v>
      </c>
      <c r="S2675" t="s">
        <v>1092</v>
      </c>
      <c r="T2675" s="5" t="s">
        <v>953</v>
      </c>
      <c r="U2675" s="5" t="s">
        <v>937</v>
      </c>
      <c r="V2675" t="s">
        <v>4151</v>
      </c>
      <c r="W2675" t="str">
        <f t="shared" si="47"/>
        <v>SA_New_20261</v>
      </c>
      <c r="X2675" t="s">
        <v>1615</v>
      </c>
    </row>
    <row r="2676" spans="1:24" hidden="1" x14ac:dyDescent="0.35">
      <c r="A2676">
        <v>19</v>
      </c>
      <c r="B2676" t="s">
        <v>1092</v>
      </c>
      <c r="C2676" s="1">
        <v>46144.600902777776</v>
      </c>
      <c r="D2676" t="s">
        <v>4195</v>
      </c>
      <c r="E2676" t="s">
        <v>18</v>
      </c>
      <c r="F2676" t="s">
        <v>2079</v>
      </c>
      <c r="G2676" t="s">
        <v>1059</v>
      </c>
      <c r="H2676" t="s">
        <v>4196</v>
      </c>
      <c r="I2676" t="s">
        <v>1993</v>
      </c>
      <c r="J2676">
        <v>0.86399999999999999</v>
      </c>
      <c r="S2676" t="s">
        <v>1092</v>
      </c>
      <c r="T2676" s="5" t="s">
        <v>947</v>
      </c>
      <c r="U2676" s="5" t="s">
        <v>921</v>
      </c>
      <c r="V2676" t="s">
        <v>4151</v>
      </c>
      <c r="W2676" t="str">
        <f t="shared" si="47"/>
        <v>SA_New_20265</v>
      </c>
      <c r="X2676" t="s">
        <v>1615</v>
      </c>
    </row>
    <row r="2677" spans="1:24" hidden="1" x14ac:dyDescent="0.35">
      <c r="A2677">
        <v>20</v>
      </c>
      <c r="B2677" t="s">
        <v>1092</v>
      </c>
      <c r="C2677" s="1">
        <v>46144.613182870373</v>
      </c>
      <c r="D2677" t="s">
        <v>4197</v>
      </c>
      <c r="E2677" t="s">
        <v>18</v>
      </c>
      <c r="F2677" t="s">
        <v>1978</v>
      </c>
      <c r="G2677" t="s">
        <v>1059</v>
      </c>
      <c r="H2677" t="s">
        <v>4198</v>
      </c>
      <c r="I2677" t="s">
        <v>1974</v>
      </c>
      <c r="J2677">
        <v>0.84199999999999997</v>
      </c>
      <c r="S2677" t="s">
        <v>1092</v>
      </c>
      <c r="T2677" s="5" t="s">
        <v>947</v>
      </c>
      <c r="U2677" s="5" t="s">
        <v>921</v>
      </c>
      <c r="V2677" t="s">
        <v>4151</v>
      </c>
      <c r="W2677" t="str">
        <f t="shared" si="47"/>
        <v>SA_New_20265</v>
      </c>
      <c r="X2677" t="s">
        <v>1615</v>
      </c>
    </row>
    <row r="2678" spans="1:24" hidden="1" x14ac:dyDescent="0.35">
      <c r="A2678">
        <v>21</v>
      </c>
      <c r="B2678" t="s">
        <v>1092</v>
      </c>
      <c r="C2678" s="1">
        <v>46144.618298611109</v>
      </c>
      <c r="D2678" t="s">
        <v>4199</v>
      </c>
      <c r="E2678" t="s">
        <v>18</v>
      </c>
      <c r="F2678" t="s">
        <v>2079</v>
      </c>
      <c r="G2678" t="s">
        <v>92</v>
      </c>
      <c r="H2678" t="s">
        <v>4200</v>
      </c>
      <c r="I2678" t="s">
        <v>1993</v>
      </c>
      <c r="J2678">
        <v>0.81899999999999995</v>
      </c>
      <c r="S2678" t="s">
        <v>1092</v>
      </c>
      <c r="T2678" s="5" t="s">
        <v>947</v>
      </c>
      <c r="U2678" s="5" t="s">
        <v>921</v>
      </c>
      <c r="V2678" t="s">
        <v>4151</v>
      </c>
      <c r="W2678" t="str">
        <f t="shared" si="47"/>
        <v>SA_New_20265</v>
      </c>
      <c r="X2678" t="s">
        <v>1615</v>
      </c>
    </row>
    <row r="2679" spans="1:24" hidden="1" x14ac:dyDescent="0.35">
      <c r="A2679">
        <v>22</v>
      </c>
      <c r="B2679" t="s">
        <v>1092</v>
      </c>
      <c r="C2679" s="1">
        <v>46080</v>
      </c>
      <c r="D2679" t="s">
        <v>4201</v>
      </c>
      <c r="E2679" t="s">
        <v>18</v>
      </c>
      <c r="F2679" t="s">
        <v>4202</v>
      </c>
      <c r="G2679" t="s">
        <v>20</v>
      </c>
      <c r="H2679" t="s">
        <v>4203</v>
      </c>
      <c r="I2679" t="s">
        <v>1983</v>
      </c>
      <c r="J2679">
        <v>0.5</v>
      </c>
      <c r="S2679" t="s">
        <v>1092</v>
      </c>
      <c r="T2679" s="5" t="s">
        <v>921</v>
      </c>
      <c r="U2679" s="5" t="s">
        <v>925</v>
      </c>
      <c r="V2679" t="s">
        <v>4151</v>
      </c>
      <c r="W2679" t="str">
        <f t="shared" si="47"/>
        <v>SA_New_20262</v>
      </c>
      <c r="X2679" t="s">
        <v>1615</v>
      </c>
    </row>
    <row r="2680" spans="1:24" hidden="1" x14ac:dyDescent="0.35">
      <c r="A2680">
        <v>23</v>
      </c>
      <c r="B2680" t="s">
        <v>1092</v>
      </c>
      <c r="C2680" s="1">
        <v>46329.442361111112</v>
      </c>
      <c r="D2680" t="s">
        <v>4204</v>
      </c>
      <c r="E2680" t="s">
        <v>18</v>
      </c>
      <c r="F2680" t="s">
        <v>1981</v>
      </c>
      <c r="G2680" t="s">
        <v>20</v>
      </c>
      <c r="H2680" t="s">
        <v>4205</v>
      </c>
      <c r="I2680" t="s">
        <v>1993</v>
      </c>
      <c r="J2680">
        <v>0.76</v>
      </c>
      <c r="S2680" t="s">
        <v>1092</v>
      </c>
      <c r="T2680" s="5" t="s">
        <v>945</v>
      </c>
      <c r="U2680" s="5" t="s">
        <v>941</v>
      </c>
      <c r="V2680" t="s">
        <v>4151</v>
      </c>
      <c r="W2680" t="str">
        <f t="shared" si="47"/>
        <v>SA_New_202611</v>
      </c>
      <c r="X2680" t="s">
        <v>1615</v>
      </c>
    </row>
    <row r="2681" spans="1:24" hidden="1" x14ac:dyDescent="0.35">
      <c r="A2681">
        <v>24</v>
      </c>
      <c r="B2681" t="s">
        <v>1092</v>
      </c>
      <c r="C2681" s="1">
        <v>46359.650254629632</v>
      </c>
      <c r="D2681" t="s">
        <v>4206</v>
      </c>
      <c r="E2681" t="s">
        <v>18</v>
      </c>
      <c r="F2681" t="s">
        <v>1978</v>
      </c>
      <c r="G2681" t="s">
        <v>149</v>
      </c>
      <c r="H2681" t="s">
        <v>4207</v>
      </c>
      <c r="I2681" t="s">
        <v>1976</v>
      </c>
      <c r="J2681">
        <v>0.70799999999999996</v>
      </c>
      <c r="S2681" t="s">
        <v>1092</v>
      </c>
      <c r="T2681" s="5" t="s">
        <v>949</v>
      </c>
      <c r="U2681" s="5" t="s">
        <v>941</v>
      </c>
      <c r="V2681" t="s">
        <v>4151</v>
      </c>
      <c r="W2681" t="str">
        <f t="shared" si="47"/>
        <v>SA_New_202612</v>
      </c>
      <c r="X2681" t="s">
        <v>1615</v>
      </c>
    </row>
    <row r="2682" spans="1:24" hidden="1" x14ac:dyDescent="0.35">
      <c r="A2682">
        <v>25</v>
      </c>
      <c r="B2682" t="s">
        <v>1092</v>
      </c>
      <c r="C2682" s="1">
        <v>46100</v>
      </c>
      <c r="D2682" t="s">
        <v>1410</v>
      </c>
      <c r="E2682" t="s">
        <v>18</v>
      </c>
      <c r="F2682" t="s">
        <v>1991</v>
      </c>
      <c r="G2682" t="s">
        <v>20</v>
      </c>
      <c r="H2682" t="s">
        <v>4208</v>
      </c>
      <c r="I2682" t="s">
        <v>1993</v>
      </c>
      <c r="J2682">
        <v>0.64800000000000002</v>
      </c>
      <c r="S2682" t="s">
        <v>1092</v>
      </c>
      <c r="T2682" s="5" t="s">
        <v>941</v>
      </c>
      <c r="U2682" s="5" t="s">
        <v>931</v>
      </c>
      <c r="V2682" t="s">
        <v>4151</v>
      </c>
      <c r="W2682" t="str">
        <f t="shared" si="47"/>
        <v>SA_New_20263</v>
      </c>
      <c r="X2682" t="s">
        <v>1615</v>
      </c>
    </row>
  </sheetData>
  <autoFilter ref="A1:X2682" xr:uid="{00000000-0001-0000-0000-000000000000}">
    <filterColumn colId="3">
      <filters>
        <filter val="CN CTY TNHH Behn Meyer VN Tại Bắc Ninh"/>
        <filter val="Công Ty TNHH Behn Meyer Việt Nam"/>
      </filters>
    </filterColumn>
  </autoFilter>
  <sortState xmlns:xlrd2="http://schemas.microsoft.com/office/spreadsheetml/2017/richdata2" ref="A2:X2128">
    <sortCondition ref="B2:B2128"/>
  </sortState>
  <phoneticPr fontId="2" type="noConversion"/>
  <conditionalFormatting sqref="B2449">
    <cfRule type="duplicateValues" dxfId="8" priority="7"/>
  </conditionalFormatting>
  <conditionalFormatting sqref="B2519 B2450:B2454 B1:B2442 B2465:B2492 B2588:B1048576">
    <cfRule type="duplicateValues" dxfId="7" priority="9"/>
  </conditionalFormatting>
  <conditionalFormatting sqref="B2527:B2542">
    <cfRule type="duplicateValues" dxfId="6" priority="2"/>
  </conditionalFormatting>
  <conditionalFormatting sqref="D2443:D2448 B2443:B2448">
    <cfRule type="duplicateValues" dxfId="5" priority="6"/>
  </conditionalFormatting>
  <conditionalFormatting sqref="D2449:D2450">
    <cfRule type="duplicateValues" dxfId="4" priority="8"/>
  </conditionalFormatting>
  <conditionalFormatting sqref="D2493:D2499 B2493:B2499">
    <cfRule type="duplicateValues" dxfId="3" priority="5"/>
  </conditionalFormatting>
  <conditionalFormatting sqref="D2520:D2526 B2520:B2526">
    <cfRule type="duplicateValues" dxfId="2" priority="4"/>
  </conditionalFormatting>
  <conditionalFormatting sqref="D2527:D2542">
    <cfRule type="duplicateValues" dxfId="1" priority="3"/>
  </conditionalFormatting>
  <conditionalFormatting sqref="D2585:D2586 B2585:B2586">
    <cfRule type="duplicateValues" dxfId="0" priority="1"/>
  </conditionalFormatting>
  <dataValidations count="2">
    <dataValidation type="list" allowBlank="1" showInputMessage="1" showErrorMessage="1" sqref="N1560:N1681 N1484:N1546" xr:uid="{94CC6775-31B6-4C50-8AF8-F02AC919E77D}">
      <formula1>"2 Years, 1 Year, 06 Months"</formula1>
    </dataValidation>
    <dataValidation type="list" allowBlank="1" showInputMessage="1" showErrorMessage="1" sqref="I1470:I1660 I1682:I2092 I2455:I2460 I2500:I2510 F2500:F2510 F2587 I2587" xr:uid="{94C4ACF9-1898-4DB9-ACC5-25647DEDA87A}">
      <formula1>"Farmers, Supplier, Manufacturer, Services"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Hang</dc:creator>
  <cp:lastModifiedBy>Pham Phuong Lam</cp:lastModifiedBy>
  <dcterms:created xsi:type="dcterms:W3CDTF">2024-08-22T01:43:55Z</dcterms:created>
  <dcterms:modified xsi:type="dcterms:W3CDTF">2026-04-02T10:25:37Z</dcterms:modified>
</cp:coreProperties>
</file>